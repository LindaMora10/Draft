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k Queue" sheetId="1" state="visible" r:id="rId3"/>
    <sheet name="All Claims - Draft" sheetId="2" state="visible" r:id="rId4"/>
    <sheet name="Denial Codes" sheetId="3" state="visible" r:id="rId5"/>
    <sheet name="Lists" sheetId="4" state="visible" r:id="rId6"/>
    <sheet name="Change Log" sheetId="5" state="visible" r:id="rId7"/>
  </sheets>
  <definedNames>
    <definedName function="false" hidden="true" localSheetId="1" name="_xlnm._FilterDatabase" vbProcedure="false">'All Claims - Draft'!$A$1:$BJ$494</definedName>
    <definedName function="false" hidden="true" localSheetId="2" name="_xlnm._FilterDatabase" vbProcedure="false">'Denial Codes'!$A$1:$F$122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Linked - reads the Claim Status you typed in the matching specialty sheet of the monthly workbook. Do not type over it.</t>
        </r>
      </text>
    </comment>
    <comment ref="B1" authorId="0">
      <text>
        <r>
          <rPr>
            <sz val="10"/>
            <rFont val="Arial"/>
            <family val="2"/>
          </rPr>
          <t xml:space="preserve">Linked - reads the Notes you typed in the matching specialty sheet of the monthly workbook. Do not type over it.</t>
        </r>
      </text>
    </comment>
    <comment ref="C1" authorId="0">
      <text>
        <r>
          <rPr>
            <sz val="10"/>
            <rFont val="Arial"/>
            <family val="2"/>
          </rPr>
          <t xml:space="preserve">The master workbook matches on this column to pull Claim Status, Notes, Processed Date and Latest Date Worked back from this file with INDEX/MATCH, so you can freely sort or filter these rows without breaking the link. Do not edit it.</t>
        </r>
      </text>
    </comment>
    <comment ref="D1" authorId="0">
      <text>
        <r>
          <rPr>
            <sz val="10"/>
            <rFont val="Arial"/>
            <family val="2"/>
          </rPr>
          <t xml:space="preserve">Linked - reads the Processed Date entered in the matching specialty sheet of the monthly workbook, shown MM/DD/YYYY. Do not type over it.</t>
        </r>
      </text>
    </comment>
    <comment ref="K1" authorId="0">
      <text>
        <r>
          <rPr>
            <sz val="10"/>
            <rFont val="Arial"/>
            <family val="2"/>
          </rPr>
          <t xml:space="preserve">Linked - reads the Latest Date Worked entered in the matching specialty sheet of the monthly workbook, shown MM/DD/YYYY. Do not type over it.</t>
        </r>
      </text>
    </comment>
    <comment ref="L1" authorId="0">
      <text>
        <r>
          <rPr>
            <sz val="10"/>
            <rFont val="Arial"/>
            <family val="2"/>
          </rPr>
          <t xml:space="preserve">Live formula: Filing Deadline minus TODAY(). Negative means the filing window has already closed; blank means no limit is on file. Rows were sorted on 12 August 2026 - sort ascending on this column to bring the order back up to date.</t>
        </r>
      </text>
    </comment>
    <comment ref="M1" authorId="0">
      <text>
        <r>
          <rPr>
            <sz val="10"/>
            <rFont val="Arial"/>
            <family val="2"/>
          </rPr>
          <t xml:space="preserve">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text>
        <r>
          <rPr>
            <sz val="10"/>
            <rFont val="Arial"/>
            <family val="2"/>
          </rPr>
          <t xml:space="preserve">Live formula: days left to file a reconsideration or appeal, counted from whichever date the carrier uses - see Appeal From. Blank means either no window is on file or, on a processed-date carrier, that Processed Date is still empty.</t>
        </r>
      </text>
    </comment>
    <comment ref="O1" authorId="0">
      <text>
        <r>
          <rPr>
            <sz val="10"/>
            <rFont val="Arial"/>
            <family val="2"/>
          </rPr>
          <t xml:space="preserve">Date of Service plus the primary payer's timely filing limit, from Carrier_Timely_Filing_Reference.xlsx. Blank means no limit is on file for that payer.</t>
        </r>
      </text>
    </comment>
    <comment ref="P1" authorId="0">
      <text>
        <r>
          <rPr>
            <sz val="10"/>
            <rFont val="Arial"/>
            <family val="2"/>
          </rPr>
          <t xml:space="preserve">The limit applied to this row, as days or calendar months.</t>
        </r>
      </text>
    </comment>
    <comment ref="Q1" authorId="0">
      <text>
        <r>
          <rPr>
            <sz val="10"/>
            <rFont val="Arial"/>
            <family val="2"/>
          </rPr>
          <t xml:space="preserve">The carrier row in Carrier_Timely_Filing_Reference.xlsx that the primary payer was matched to.</t>
        </r>
      </text>
    </comment>
    <comment ref="R1" authorId="0">
      <text>
        <r>
          <rPr>
            <sz val="10"/>
            <rFont val="Arial"/>
            <family val="2"/>
          </rPr>
          <t xml:space="preserve">Corrected claim window from Carrier_Timely_Filing_Reference.xlsx.</t>
        </r>
      </text>
    </comment>
    <comment ref="S1" authorId="0">
      <text>
        <r>
          <rPr>
            <sz val="10"/>
            <rFont val="Arial"/>
            <family val="2"/>
          </rPr>
          <t xml:space="preserve">Whether the carrier counts the corrected claim window from the date of service or from the processed date.</t>
        </r>
      </text>
    </comment>
    <comment ref="T1" authorId="0">
      <text>
        <r>
          <rPr>
            <sz val="10"/>
            <rFont val="Arial"/>
            <family val="2"/>
          </rPr>
          <t xml:space="preserve">Reconsideration / appeal window from Carrier_Timely_Filing_Reference.xlsx.</t>
        </r>
      </text>
    </comment>
    <comment ref="U1" authorId="0">
      <text>
        <r>
          <rPr>
            <sz val="10"/>
            <rFont val="Arial"/>
            <family val="2"/>
          </rPr>
          <t xml:space="preserve">Whether the carrier counts the appeal window from the date of service or from the processed date.</t>
        </r>
      </text>
    </comment>
  </commentList>
</comments>
</file>

<file path=xl/sharedStrings.xml><?xml version="1.0" encoding="utf-8"?>
<sst xmlns="http://schemas.openxmlformats.org/spreadsheetml/2006/main" count="13871" uniqueCount="2047">
  <si>
    <t xml:space="preserve">Work Queue - counts update automatically from All Claims - Draft</t>
  </si>
  <si>
    <t xml:space="preserve">Follow-up Status</t>
  </si>
  <si>
    <t xml:space="preserve">Claims</t>
  </si>
  <si>
    <t xml:space="preserve">How to use</t>
  </si>
  <si>
    <t xml:space="preserve">OVERDUE</t>
  </si>
  <si>
    <t xml:space="preserve">• Orange headers on All Claims = columns you type in. Navy = report data. Grey = helper formulas (don't type there).</t>
  </si>
  <si>
    <t xml:space="preserve">Due within 7 days</t>
  </si>
  <si>
    <t xml:space="preserve">• Filter "Follow-up Status" = OVERDUE to get today's worklist.</t>
  </si>
  <si>
    <t xml:space="preserve">No review date set</t>
  </si>
  <si>
    <t xml:space="preserve">• Filter "Missing Info" (non-blank) to see what each claim still needs.</t>
  </si>
  <si>
    <t xml:space="preserve">Scheduled</t>
  </si>
  <si>
    <t xml:space="preserve">• "Suggested Denial Reason" reads the Denial Code; "Suggested Next Step" reads the Denial Reason.</t>
  </si>
  <si>
    <t xml:space="preserve">Closed</t>
  </si>
  <si>
    <t xml:space="preserve">• Dropdowns are on Claim Status, Last Action, Denial Reason, Denial Code and both Adjustment Code columns; you can still type a value not on the list.</t>
  </si>
  <si>
    <t xml:space="preserve">• See the Change Log tab for every cell changed when this copy was made.</t>
  </si>
  <si>
    <t xml:space="preserve">Claim Status</t>
  </si>
  <si>
    <t xml:space="preserve">Finalized</t>
  </si>
  <si>
    <t xml:space="preserve">Denied</t>
  </si>
  <si>
    <t xml:space="preserve">Under Review</t>
  </si>
  <si>
    <t xml:space="preserve">Pending</t>
  </si>
  <si>
    <t xml:space="preserve">PAID</t>
  </si>
  <si>
    <t xml:space="preserve">Rejected</t>
  </si>
  <si>
    <t xml:space="preserve">Received</t>
  </si>
  <si>
    <t xml:space="preserve">Not found</t>
  </si>
  <si>
    <t xml:space="preserve">Claims missing this field</t>
  </si>
  <si>
    <t xml:space="preserve">Notes</t>
  </si>
  <si>
    <t xml:space="preserve">Latest Date Worked</t>
  </si>
  <si>
    <t xml:space="preserve">Last Action</t>
  </si>
  <si>
    <t xml:space="preserve">Denial Reason</t>
  </si>
  <si>
    <t xml:space="preserve">Denial Code</t>
  </si>
  <si>
    <t xml:space="preserve">Next Review Date</t>
  </si>
  <si>
    <t xml:space="preserve">Next Step</t>
  </si>
  <si>
    <t xml:space="preserve">CPT outcome</t>
  </si>
  <si>
    <t xml:space="preserve">Open claims by Denial Reason (not Finalized)</t>
  </si>
  <si>
    <t xml:space="preserve">No authorization</t>
  </si>
  <si>
    <t xml:space="preserve">Timely filing</t>
  </si>
  <si>
    <t xml:space="preserve">Medical records needed</t>
  </si>
  <si>
    <t xml:space="preserve">Bundled / NCCI edit</t>
  </si>
  <si>
    <t xml:space="preserve">Modifier issue</t>
  </si>
  <si>
    <t xml:space="preserve">Diagnosis issue</t>
  </si>
  <si>
    <t xml:space="preserve">Coding / billing error</t>
  </si>
  <si>
    <t xml:space="preserve">Not covered by plan</t>
  </si>
  <si>
    <t xml:space="preserve">Not covered by secondary</t>
  </si>
  <si>
    <t xml:space="preserve">Medical necessity / frequency</t>
  </si>
  <si>
    <t xml:space="preserve">Wrong payer / vendor</t>
  </si>
  <si>
    <t xml:space="preserve">Other insurance / COB</t>
  </si>
  <si>
    <t xml:space="preserve">Eligibility / member ID</t>
  </si>
  <si>
    <t xml:space="preserve">Credentialing / out of network</t>
  </si>
  <si>
    <t xml:space="preserve">Referral / referring provider</t>
  </si>
  <si>
    <t xml:space="preserve">Same or similar equipment (DME)</t>
  </si>
  <si>
    <t xml:space="preserve">Place of service</t>
  </si>
  <si>
    <t xml:space="preserve">Accident / work related</t>
  </si>
  <si>
    <t xml:space="preserve">Duplicate claim</t>
  </si>
  <si>
    <t xml:space="preserve">Claim not found </t>
  </si>
  <si>
    <t xml:space="preserve">NO DENIAL</t>
  </si>
  <si>
    <t xml:space="preserve">Other</t>
  </si>
  <si>
    <t xml:space="preserve">Primary Claim ID</t>
  </si>
  <si>
    <t xml:space="preserve">Processed Date</t>
  </si>
  <si>
    <t xml:space="preserve">Chart Number</t>
  </si>
  <si>
    <t xml:space="preserve">Date of Service</t>
  </si>
  <si>
    <t xml:space="preserve">Responsible Payer</t>
  </si>
  <si>
    <t xml:space="preserve">Primary Payer Name</t>
  </si>
  <si>
    <t xml:space="preserve">Secondary Payer Name</t>
  </si>
  <si>
    <t xml:space="preserve">Procedure Code</t>
  </si>
  <si>
    <t xml:space="preserve">Days Until Deadline</t>
  </si>
  <si>
    <t xml:space="preserve">Days Until Corrected Claim Deadline</t>
  </si>
  <si>
    <t xml:space="preserve">Days Until Appeal Deadline</t>
  </si>
  <si>
    <t xml:space="preserve">Filing Deadline</t>
  </si>
  <si>
    <t xml:space="preserve">Filing Limit</t>
  </si>
  <si>
    <t xml:space="preserve">Limit Carrier</t>
  </si>
  <si>
    <t xml:space="preserve">Corrected Claim Limit</t>
  </si>
  <si>
    <t xml:space="preserve">Corrected Claim From</t>
  </si>
  <si>
    <t xml:space="preserve">Appeal Limit</t>
  </si>
  <si>
    <t xml:space="preserve">Appeal From</t>
  </si>
  <si>
    <t xml:space="preserve">Service Month</t>
  </si>
  <si>
    <t xml:space="preserve">Specialty</t>
  </si>
  <si>
    <t xml:space="preserve">Modifier 1</t>
  </si>
  <si>
    <t xml:space="preserve">Modifier 2</t>
  </si>
  <si>
    <t xml:space="preserve">Modifier 3</t>
  </si>
  <si>
    <t xml:space="preserve">Units</t>
  </si>
  <si>
    <t xml:space="preserve">AR Age by Service Date</t>
  </si>
  <si>
    <t xml:space="preserve">Procedure Code 1</t>
  </si>
  <si>
    <t xml:space="preserve">Procedure Code 2</t>
  </si>
  <si>
    <t xml:space="preserve">Procedure Code 3</t>
  </si>
  <si>
    <t xml:space="preserve">Procedure Code 4</t>
  </si>
  <si>
    <t xml:space="preserve">Procedure Code 5</t>
  </si>
  <si>
    <t xml:space="preserve">Procedure Code 6</t>
  </si>
  <si>
    <t xml:space="preserve">Procedure Code 7</t>
  </si>
  <si>
    <t xml:space="preserve">Diagnosis Code 1</t>
  </si>
  <si>
    <t xml:space="preserve">Diagnosis Code 2</t>
  </si>
  <si>
    <t xml:space="preserve">Diagnosis Code 3</t>
  </si>
  <si>
    <t xml:space="preserve">Diagnosis Code 4</t>
  </si>
  <si>
    <t xml:space="preserve">Secondary Claim ID</t>
  </si>
  <si>
    <t xml:space="preserve">Rendering Provider</t>
  </si>
  <si>
    <t xml:space="preserve">Location Name</t>
  </si>
  <si>
    <t xml:space="preserve">Created Date</t>
  </si>
  <si>
    <t xml:space="preserve">CPT Codes Adjusted (not payable)</t>
  </si>
  <si>
    <t xml:space="preserve">Adjustment Code</t>
  </si>
  <si>
    <t xml:space="preserve">CPT Codes Adjusted (payable)</t>
  </si>
  <si>
    <t xml:space="preserve">Adjustment Code (payable)</t>
  </si>
  <si>
    <t xml:space="preserve">CPT Codes Paid</t>
  </si>
  <si>
    <t xml:space="preserve">CPT Codes Worked - Adjusted</t>
  </si>
  <si>
    <t xml:space="preserve">CPT Codes Worked</t>
  </si>
  <si>
    <t xml:space="preserve">Prior Actions</t>
  </si>
  <si>
    <t xml:space="preserve">Reference #</t>
  </si>
  <si>
    <t xml:space="preserve">Days Since Worked</t>
  </si>
  <si>
    <t xml:space="preserve">Missing Info</t>
  </si>
  <si>
    <t xml:space="preserve">Suggested Denial Reason (from code)</t>
  </si>
  <si>
    <t xml:space="preserve">Suggested Next Step (from reason)</t>
  </si>
  <si>
    <t xml:space="preserve">OP</t>
  </si>
  <si>
    <t xml:space="preserve">HF514237620</t>
  </si>
  <si>
    <t xml:space="preserve">Aetna Legacy</t>
  </si>
  <si>
    <t xml:space="preserve">DME Region D</t>
  </si>
  <si>
    <t xml:space="preserve">A6023+A1 x10</t>
  </si>
  <si>
    <t xml:space="preserve">365 days</t>
  </si>
  <si>
    <t xml:space="preserve">MEDICARE</t>
  </si>
  <si>
    <t xml:space="preserve">Processed date</t>
  </si>
  <si>
    <t xml:space="preserve">120 days</t>
  </si>
  <si>
    <t xml:space="preserve">2026-01 January</t>
  </si>
  <si>
    <t xml:space="preserve">DME</t>
  </si>
  <si>
    <t xml:space="preserve">A1</t>
  </si>
  <si>
    <t xml:space="preserve">10</t>
  </si>
  <si>
    <t xml:space="preserve">A6023</t>
  </si>
  <si>
    <t xml:space="preserve">G894</t>
  </si>
  <si>
    <t xml:space="preserve">M48062</t>
  </si>
  <si>
    <t xml:space="preserve">Advanced Spine and Pain LLC DME SUR</t>
  </si>
  <si>
    <t xml:space="preserve">Advanced Spine and Pain LLC DME - Surprise Reems</t>
  </si>
  <si>
    <t xml:space="preserve">HF450934372</t>
  </si>
  <si>
    <t xml:space="preserve">Gold Kidney Health Plan</t>
  </si>
  <si>
    <t xml:space="preserve">No Payer</t>
  </si>
  <si>
    <t xml:space="preserve">22845+58+59 x1; 22853+58+59 x1; 22853+58 x1; 22845+58+59 x1</t>
  </si>
  <si>
    <t xml:space="preserve">Not on reference list</t>
  </si>
  <si>
    <t xml:space="preserve">ORTHO</t>
  </si>
  <si>
    <t xml:space="preserve">58</t>
  </si>
  <si>
    <t xml:space="preserve">59</t>
  </si>
  <si>
    <t xml:space="preserve">4</t>
  </si>
  <si>
    <t xml:space="preserve">22845</t>
  </si>
  <si>
    <t xml:space="preserve">22853</t>
  </si>
  <si>
    <t xml:space="preserve">M4316</t>
  </si>
  <si>
    <t xml:space="preserve">M5416</t>
  </si>
  <si>
    <t xml:space="preserve">MAYURAN, VIKRAM</t>
  </si>
  <si>
    <t xml:space="preserve">Banner Desert Medical Center</t>
  </si>
  <si>
    <t xml:space="preserve">Check Gold Kidney portal once the account is reactivated</t>
  </si>
  <si>
    <t xml:space="preserve">Added anatomical modifiers, and resubmitted</t>
  </si>
  <si>
    <t xml:space="preserve">HF548529635</t>
  </si>
  <si>
    <t xml:space="preserve">Mercy Care Plan (AHCCCS) - Complete Care &amp; Long Term Care (LTC)</t>
  </si>
  <si>
    <t xml:space="preserve">L3916+NU x1; L3916+NU x1</t>
  </si>
  <si>
    <t xml:space="preserve">180 days</t>
  </si>
  <si>
    <t xml:space="preserve">MERCY CARE MEDICAID</t>
  </si>
  <si>
    <t xml:space="preserve">Date of service</t>
  </si>
  <si>
    <t xml:space="preserve">2026-02 February</t>
  </si>
  <si>
    <t xml:space="preserve">NU</t>
  </si>
  <si>
    <t xml:space="preserve">2</t>
  </si>
  <si>
    <t xml:space="preserve">L3916</t>
  </si>
  <si>
    <t xml:space="preserve">M19031, M19032</t>
  </si>
  <si>
    <t xml:space="preserve">Arshad, Jawad</t>
  </si>
  <si>
    <t xml:space="preserve">ASAP - Mesa</t>
  </si>
  <si>
    <t xml:space="preserve">L3916+RT</t>
  </si>
  <si>
    <t xml:space="preserve">L3916+LT</t>
  </si>
  <si>
    <t xml:space="preserve">Resubmitted</t>
  </si>
  <si>
    <t xml:space="preserve">CO_18 - Exact duplicate claim/service</t>
  </si>
  <si>
    <t xml:space="preserve">Provider TAX ID/NPI Combination is not on file with BCBS AZ</t>
  </si>
  <si>
    <t xml:space="preserve">HF527802572</t>
  </si>
  <si>
    <t xml:space="preserve">Blue Cross Blue Shield of Arizona (BCBS AZ)</t>
  </si>
  <si>
    <t xml:space="preserve">63045 x1; 63048 x1</t>
  </si>
  <si>
    <t xml:space="preserve">90 days</t>
  </si>
  <si>
    <t xml:space="preserve">BCBS</t>
  </si>
  <si>
    <t xml:space="preserve">2026-03 March</t>
  </si>
  <si>
    <t xml:space="preserve">63045</t>
  </si>
  <si>
    <t xml:space="preserve">63048</t>
  </si>
  <si>
    <t xml:space="preserve">M5412</t>
  </si>
  <si>
    <t xml:space="preserve">M5010</t>
  </si>
  <si>
    <t xml:space="preserve">M4722</t>
  </si>
  <si>
    <t xml:space="preserve">M960</t>
  </si>
  <si>
    <t xml:space="preserve">MCCUNNIFF, PETER</t>
  </si>
  <si>
    <t xml:space="preserve">ASAP Surgery Centers North Valley LLC</t>
  </si>
  <si>
    <t xml:space="preserve">63045, 63048</t>
  </si>
  <si>
    <t xml:space="preserve">N290 - Missing/incomplete/invalid rendering provider primary identifier</t>
  </si>
  <si>
    <t xml:space="preserve">Resubmitted to primary plan Arizona Ufcw Employers Health</t>
  </si>
  <si>
    <t xml:space="preserve">HF507623401</t>
  </si>
  <si>
    <t xml:space="preserve">United Healthcare</t>
  </si>
  <si>
    <t xml:space="preserve">99494 x1; 99492 x1</t>
  </si>
  <si>
    <t xml:space="preserve">UHC COMMERCIAL</t>
  </si>
  <si>
    <t xml:space="preserve">BH</t>
  </si>
  <si>
    <t xml:space="preserve">99494</t>
  </si>
  <si>
    <t xml:space="preserve">99492</t>
  </si>
  <si>
    <t xml:space="preserve">F1190</t>
  </si>
  <si>
    <t xml:space="preserve">MORALES, DAVID</t>
  </si>
  <si>
    <t xml:space="preserve">ASAP - DEER VALLEY</t>
  </si>
  <si>
    <t xml:space="preserve">99492, 99494</t>
  </si>
  <si>
    <t xml:space="preserve">OA_22 - This care may be covered by another payer per coordination of benefits</t>
  </si>
  <si>
    <t xml:space="preserve">Uploaded MR - Transaction Submission Confirmation Case ID# 18151</t>
  </si>
  <si>
    <t xml:space="preserve">HF532203609</t>
  </si>
  <si>
    <t xml:space="preserve">UMR Wausau / UHIS</t>
  </si>
  <si>
    <t xml:space="preserve">93970 x1</t>
  </si>
  <si>
    <t xml:space="preserve">UMR / WAUSAU</t>
  </si>
  <si>
    <t xml:space="preserve">US</t>
  </si>
  <si>
    <t xml:space="preserve">1</t>
  </si>
  <si>
    <t xml:space="preserve">93970</t>
  </si>
  <si>
    <t xml:space="preserve">I10</t>
  </si>
  <si>
    <t xml:space="preserve">R2243</t>
  </si>
  <si>
    <t xml:space="preserve">LEATHEM, JARRETT</t>
  </si>
  <si>
    <t xml:space="preserve">ASAP - Gilbert</t>
  </si>
  <si>
    <t xml:space="preserve">Uploaded MR</t>
  </si>
  <si>
    <t xml:space="preserve">CO_252 - An attachment/other documentation is required to adjudicate this claim/service</t>
  </si>
  <si>
    <t xml:space="preserve">Case ID# 18151</t>
  </si>
  <si>
    <t xml:space="preserve">Added mod 24, and resubmitted - DND Proc 99493 is included in the global period of HxProc 64635 on Claim ID RC2772466500 Line ID 1 on date of service 03/24/2026.</t>
  </si>
  <si>
    <t xml:space="preserve">HF523425107</t>
  </si>
  <si>
    <t xml:space="preserve">UnitedHealthcare Community Plan / Arizona Long Term Care</t>
  </si>
  <si>
    <t xml:space="preserve">99494 x1; 99493 x1</t>
  </si>
  <si>
    <t xml:space="preserve">UHC COMMUNITY</t>
  </si>
  <si>
    <t xml:space="preserve">99493</t>
  </si>
  <si>
    <t xml:space="preserve">F4323</t>
  </si>
  <si>
    <t xml:space="preserve">TURLEY, TODD</t>
  </si>
  <si>
    <t xml:space="preserve">99493, 99494</t>
  </si>
  <si>
    <t xml:space="preserve">CO_97 - The benefit for this service is included in the payment/allowance for another service/procedure already adjudicated</t>
  </si>
  <si>
    <t xml:space="preserve">I need to ask Juan for MR  </t>
  </si>
  <si>
    <t xml:space="preserve">HF452729341</t>
  </si>
  <si>
    <t xml:space="preserve">HealthSpring Medicare Advantage</t>
  </si>
  <si>
    <t xml:space="preserve">93925 x1</t>
  </si>
  <si>
    <t xml:space="preserve">CIGNA / CIGNA MEDICARE</t>
  </si>
  <si>
    <t xml:space="preserve">2026-04 April</t>
  </si>
  <si>
    <t xml:space="preserve">93925</t>
  </si>
  <si>
    <t xml:space="preserve">I70213</t>
  </si>
  <si>
    <t xml:space="preserve">ASAP - DEER VALLEY 240</t>
  </si>
  <si>
    <t xml:space="preserve">Waiting on full recoup to bill PT - ABN signed - Bundling with HHA episode on DOS - HOME HEALTH SCOTTSDALE, LLC NPI 1154898542</t>
  </si>
  <si>
    <t xml:space="preserve">HF541770771</t>
  </si>
  <si>
    <t xml:space="preserve">Tricare for Life (All Regions)</t>
  </si>
  <si>
    <t xml:space="preserve">A6023+A2 x20</t>
  </si>
  <si>
    <t xml:space="preserve">A2</t>
  </si>
  <si>
    <t xml:space="preserve">20</t>
  </si>
  <si>
    <t xml:space="preserve">Advanced Spine and Pain LLC DME PEO</t>
  </si>
  <si>
    <t xml:space="preserve">Advanced Spine and Pain LLC DME - Peoria</t>
  </si>
  <si>
    <t xml:space="preserve">Waiting on payer</t>
  </si>
  <si>
    <t xml:space="preserve">N88 Alert: 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</si>
  <si>
    <t xml:space="preserve">Waiting on full recoup to bill PT</t>
  </si>
  <si>
    <t xml:space="preserve">Uploaded MR - Transaction Submission Confirmation Case ID# 18149</t>
  </si>
  <si>
    <t xml:space="preserve">HF460572363</t>
  </si>
  <si>
    <t xml:space="preserve">E1142</t>
  </si>
  <si>
    <t xml:space="preserve">E7849</t>
  </si>
  <si>
    <t xml:space="preserve">Case ID# 18149</t>
  </si>
  <si>
    <t xml:space="preserve">Uploaded MR on portal</t>
  </si>
  <si>
    <t xml:space="preserve">HF530285792</t>
  </si>
  <si>
    <t xml:space="preserve">Tricare West</t>
  </si>
  <si>
    <t xml:space="preserve">63047 x1</t>
  </si>
  <si>
    <t xml:space="preserve">TRICARE WEST</t>
  </si>
  <si>
    <t xml:space="preserve">63047</t>
  </si>
  <si>
    <t xml:space="preserve">M5450</t>
  </si>
  <si>
    <t xml:space="preserve">TFierro30 corrected claim and resubmitted - Filed reconsideration with MR - PIQ-89945925</t>
  </si>
  <si>
    <t xml:space="preserve">HF331720981</t>
  </si>
  <si>
    <t xml:space="preserve">63685 x1</t>
  </si>
  <si>
    <t xml:space="preserve">63685</t>
  </si>
  <si>
    <t xml:space="preserve">T85122A</t>
  </si>
  <si>
    <t xml:space="preserve">Z4542</t>
  </si>
  <si>
    <t xml:space="preserve">M961</t>
  </si>
  <si>
    <t xml:space="preserve">BURGHER, ABRAM</t>
  </si>
  <si>
    <t xml:space="preserve">63663, 63685</t>
  </si>
  <si>
    <t xml:space="preserve">CO_50 - Non-covered services because this is not deemed a 'medical necessity' by the payer</t>
  </si>
  <si>
    <t xml:space="preserve">Resubmitted - RENEE OROC credentialing issue - Denied Remark MA130 Multiple submission/billing errors unable to adjudicate claim as submitted</t>
  </si>
  <si>
    <t xml:space="preserve">HF508283049</t>
  </si>
  <si>
    <t xml:space="preserve">Medicare Part B Arizona *</t>
  </si>
  <si>
    <t xml:space="preserve">A6023+A1 x20</t>
  </si>
  <si>
    <t xml:space="preserve">OROC, RENEE</t>
  </si>
  <si>
    <t xml:space="preserve">PR_96 - Non-covered charge(s)</t>
  </si>
  <si>
    <t xml:space="preserve">Edited referring provider, and resubmitted</t>
  </si>
  <si>
    <t xml:space="preserve">HF474490292</t>
  </si>
  <si>
    <t xml:space="preserve">2026-05 May</t>
  </si>
  <si>
    <t xml:space="preserve">I872</t>
  </si>
  <si>
    <t xml:space="preserve">ASAP - Surprise - Reems</t>
  </si>
  <si>
    <t xml:space="preserve">CO_183 - The referring provider is not eligible to refer the service billed</t>
  </si>
  <si>
    <t xml:space="preserve">HF550801271</t>
  </si>
  <si>
    <t xml:space="preserve">AARP United Healthcare</t>
  </si>
  <si>
    <t xml:space="preserve">A6010+A1 x10</t>
  </si>
  <si>
    <t xml:space="preserve">A6010</t>
  </si>
  <si>
    <t xml:space="preserve">Advanced Spine and Pain LLC DME GWY</t>
  </si>
  <si>
    <t xml:space="preserve">Advanced Spine and Pain LLC DME - Greenway</t>
  </si>
  <si>
    <t xml:space="preserve">N88 Alert: 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</si>
  <si>
    <t xml:space="preserve">Rejected due to invalid/missing modifier</t>
  </si>
  <si>
    <t xml:space="preserve">WC-559349596</t>
  </si>
  <si>
    <t xml:space="preserve">Arizona Complete Health (Centene)</t>
  </si>
  <si>
    <t xml:space="preserve">99484+95 x1</t>
  </si>
  <si>
    <t xml:space="preserve">AZ COMPLETE</t>
  </si>
  <si>
    <t xml:space="preserve">95</t>
  </si>
  <si>
    <t xml:space="preserve">99484</t>
  </si>
  <si>
    <t xml:space="preserve">Z79891</t>
  </si>
  <si>
    <t xml:space="preserve">Z1331</t>
  </si>
  <si>
    <t xml:space="preserve">WILSON, JARED</t>
  </si>
  <si>
    <t xml:space="preserve">99204, 99484</t>
  </si>
  <si>
    <t xml:space="preserve">Waiting for D's reply </t>
  </si>
  <si>
    <t xml:space="preserve">HF559630348</t>
  </si>
  <si>
    <t xml:space="preserve">M546</t>
  </si>
  <si>
    <t xml:space="preserve">M542</t>
  </si>
  <si>
    <t xml:space="preserve">Checking with D to see if I adjust or ask scriber to adjust </t>
  </si>
  <si>
    <t xml:space="preserve">HF559271506</t>
  </si>
  <si>
    <t xml:space="preserve">N776 - This service is not a covered Telehealth service</t>
  </si>
  <si>
    <t xml:space="preserve">I need to confirm with D if 99204 would be adjusted or we can change the encounter notes</t>
  </si>
  <si>
    <t xml:space="preserve">HF559317309</t>
  </si>
  <si>
    <t xml:space="preserve">M4804</t>
  </si>
  <si>
    <t xml:space="preserve">K5903</t>
  </si>
  <si>
    <t xml:space="preserve">CO_151 - Payer deems the information submitted does not support this many/frequency of services</t>
  </si>
  <si>
    <t xml:space="preserve">I need to confirm with D if 99204 would be adjusted or we can change the encounter notes - if I can resubmit with 99214 I need to bill with POS 11 and remove mod 95</t>
  </si>
  <si>
    <t xml:space="preserve">HF480446510</t>
  </si>
  <si>
    <t xml:space="preserve">L0637+KX x1</t>
  </si>
  <si>
    <t xml:space="preserve">2026-06 June</t>
  </si>
  <si>
    <t xml:space="preserve">KX</t>
  </si>
  <si>
    <t xml:space="preserve">L0637</t>
  </si>
  <si>
    <t xml:space="preserve">M47816</t>
  </si>
  <si>
    <t xml:space="preserve">BARCOME, MARYBETH</t>
  </si>
  <si>
    <t xml:space="preserve">ASAP Peoria</t>
  </si>
  <si>
    <t xml:space="preserve">We need to renfund BCBS</t>
  </si>
  <si>
    <t xml:space="preserve">HF537547660</t>
  </si>
  <si>
    <t xml:space="preserve">M5116</t>
  </si>
  <si>
    <t xml:space="preserve">M48061</t>
  </si>
  <si>
    <t xml:space="preserve">Remove 25 from 62323 and add it to 99204, and resubmitted</t>
  </si>
  <si>
    <t xml:space="preserve">HF563557943</t>
  </si>
  <si>
    <t xml:space="preserve">62323+25 x1</t>
  </si>
  <si>
    <t xml:space="preserve">25</t>
  </si>
  <si>
    <t xml:space="preserve">62323</t>
  </si>
  <si>
    <t xml:space="preserve">ASAP - Tucson</t>
  </si>
  <si>
    <t xml:space="preserve">99204, G3002, 99484</t>
  </si>
  <si>
    <t xml:space="preserve">CO_4 - The procedure code is inconsistent with the modifier used, or a required modifier is missing</t>
  </si>
  <si>
    <t xml:space="preserve">TFierro30 Called Az priority care and BCBS HAve a claifiction requested escalated to see who the payer was Call ref# 12696890 rep MousamK - Resubmitted to APCP - Rep Heather - The member is assigned to an affiliated network - Arizona Priority Care</t>
  </si>
  <si>
    <t xml:space="preserve">HF527306886</t>
  </si>
  <si>
    <t xml:space="preserve">Arizona Priority Care Plus</t>
  </si>
  <si>
    <t xml:space="preserve">60 days</t>
  </si>
  <si>
    <t xml:space="preserve">AZ PRIORITY CARE</t>
  </si>
  <si>
    <t xml:space="preserve">KALLGREN, MARK</t>
  </si>
  <si>
    <t xml:space="preserve">Premier Endoscopy Center, LLC</t>
  </si>
  <si>
    <t xml:space="preserve">Contacted payer</t>
  </si>
  <si>
    <t xml:space="preserve">Resubmitted; Contacted payer</t>
  </si>
  <si>
    <t xml:space="preserve">Call ref # 12696890; Call ref # 10627708</t>
  </si>
  <si>
    <t xml:space="preserve">secondary - Corrected adjustments, and resubmitted</t>
  </si>
  <si>
    <t xml:space="preserve">HF503610126</t>
  </si>
  <si>
    <t xml:space="preserve">Humana</t>
  </si>
  <si>
    <t xml:space="preserve">HUMANA COMMERCIAL</t>
  </si>
  <si>
    <t xml:space="preserve">G90513</t>
  </si>
  <si>
    <t xml:space="preserve">MCMURDIE, TODD</t>
  </si>
  <si>
    <t xml:space="preserve">Cross over claim to secondary</t>
  </si>
  <si>
    <t xml:space="preserve">HF532613047</t>
  </si>
  <si>
    <t xml:space="preserve">99494 x1</t>
  </si>
  <si>
    <t xml:space="preserve">F4320</t>
  </si>
  <si>
    <t xml:space="preserve">MEARS, CHAD</t>
  </si>
  <si>
    <t xml:space="preserve">PIQ-82135368</t>
  </si>
  <si>
    <t xml:space="preserve">HF331360774</t>
  </si>
  <si>
    <t xml:space="preserve">SARKAR, AWNIK</t>
  </si>
  <si>
    <t xml:space="preserve">Locate active plan on DOS (checking with Tricare)</t>
  </si>
  <si>
    <t xml:space="preserve">HF537320032</t>
  </si>
  <si>
    <t xml:space="preserve">Humana Gold Plus HMO</t>
  </si>
  <si>
    <t xml:space="preserve">HUMANA MA</t>
  </si>
  <si>
    <t xml:space="preserve">540 days</t>
  </si>
  <si>
    <t xml:space="preserve">I739</t>
  </si>
  <si>
    <t xml:space="preserve">Void original claim 547459229 (overpayment)</t>
  </si>
  <si>
    <t xml:space="preserve">Filed reconsideration - Optum letter reference # 70293624 said cpt 99492 denied because: The medical records submitted indicate this procedure was performed in office (place of service code 11). However, the claim form indicates a different place of service, specifically telehealth provided in patients home(place of service code 10). This discrepancy means we can't verify the validity and accuracy of the claim - Jess uploaded MR</t>
  </si>
  <si>
    <t xml:space="preserve">HF537684538</t>
  </si>
  <si>
    <t xml:space="preserve">Recon filed</t>
  </si>
  <si>
    <t xml:space="preserve">PIQ-92429715; Optum letter ref # 70293624</t>
  </si>
  <si>
    <t xml:space="preserve">No waiver for 63047 - Recon BOT3951067 sent with MR: A0 Carrum exclusion lists fusion; 63047 is decompression, no fusion billed. Asked to reprocess or to provide denial the plan language</t>
  </si>
  <si>
    <t xml:space="preserve">HF533641085</t>
  </si>
  <si>
    <t xml:space="preserve">CIGNA</t>
  </si>
  <si>
    <t xml:space="preserve">O'NEIL, ROY</t>
  </si>
  <si>
    <t xml:space="preserve">Recon # BOT3951067</t>
  </si>
  <si>
    <t xml:space="preserve">HF456567442</t>
  </si>
  <si>
    <t xml:space="preserve">G90523</t>
  </si>
  <si>
    <t xml:space="preserve">Payment posted</t>
  </si>
  <si>
    <t xml:space="preserve">HF442148430</t>
  </si>
  <si>
    <t xml:space="preserve">Cigna Medicare Advantage</t>
  </si>
  <si>
    <t xml:space="preserve">Void original claim 547855520 (overpayment)</t>
  </si>
  <si>
    <t xml:space="preserve">Added Date of Current Illness, claim note, and resubmitted</t>
  </si>
  <si>
    <t xml:space="preserve">HF434792716</t>
  </si>
  <si>
    <t xml:space="preserve">Optum Care Medical Network of Arizona, Utah, &amp; Washington (LifePrint)</t>
  </si>
  <si>
    <t xml:space="preserve">99493 x1</t>
  </si>
  <si>
    <t xml:space="preserve">OPTUM</t>
  </si>
  <si>
    <t xml:space="preserve">OA_246 - This non-payable code is for required reporting only</t>
  </si>
  <si>
    <t xml:space="preserve">Prof claim, no rev code needed. Recon sent w/ duplex report - Uploaded MR</t>
  </si>
  <si>
    <t xml:space="preserve">HF526889546</t>
  </si>
  <si>
    <t xml:space="preserve">R600</t>
  </si>
  <si>
    <t xml:space="preserve">M50 - Missing/incomplete/invalid revenue code(s)</t>
  </si>
  <si>
    <t xml:space="preserve">PIQ-92451354; PIQ-83025067</t>
  </si>
  <si>
    <t xml:space="preserve">TAT 15 days - Rep Muthamma</t>
  </si>
  <si>
    <t xml:space="preserve">HF537685966</t>
  </si>
  <si>
    <t xml:space="preserve">F330</t>
  </si>
  <si>
    <t xml:space="preserve">Call ref # 10605826</t>
  </si>
  <si>
    <t xml:space="preserve">secondary - Resubmitted to AmeTrust</t>
  </si>
  <si>
    <t xml:space="preserve">HF359780591</t>
  </si>
  <si>
    <t xml:space="preserve">TRIADA GAP BENEFITS</t>
  </si>
  <si>
    <t xml:space="preserve">F411</t>
  </si>
  <si>
    <t xml:space="preserve">CO_45 - Charge exceeds fee schedule/maximum allowable or contracted/legislated fee arrangement</t>
  </si>
  <si>
    <t xml:space="preserve">Handled by Deanne - Rep Heather AZ BCBS - Per the provider's contractual agreement, the allowed amount is $0.00, the contractual adjustment reflects the difference between the billed charges and the non covered/denied allowed amount, rather than a payable allowance - Case #10628911 - Rep Mage E - Ins canceled appeal, claim was forwarded to Anthem with zero price and no allowed amount - Pricing issue with local plan - Filed appeal - Request APP-COMM-6695304</t>
  </si>
  <si>
    <t xml:space="preserve">HF524606724</t>
  </si>
  <si>
    <t xml:space="preserve">Contacted payer; Appeal filed</t>
  </si>
  <si>
    <t xml:space="preserve">Case # 10628911; Call ref # I-55636628; Appeal APP-COMM-6695304</t>
  </si>
  <si>
    <t xml:space="preserve">secondary - Edited charges for A6219, and resubmitted</t>
  </si>
  <si>
    <t xml:space="preserve">HF518924824</t>
  </si>
  <si>
    <t xml:space="preserve">Allwell - All States (Centene)</t>
  </si>
  <si>
    <t xml:space="preserve">A6023+A2 x10</t>
  </si>
  <si>
    <t xml:space="preserve">95 days</t>
  </si>
  <si>
    <t xml:space="preserve">WELLCARE BY ALLWELL</t>
  </si>
  <si>
    <t xml:space="preserve">A6219, A6023</t>
  </si>
  <si>
    <t xml:space="preserve">Resubmitted - no changes</t>
  </si>
  <si>
    <t xml:space="preserve">HF475536429</t>
  </si>
  <si>
    <t xml:space="preserve">99492 x1; 99494 x1</t>
  </si>
  <si>
    <t xml:space="preserve">Resubmitted with 99492 - Recon filed - Claim 26A635462200 DOS 01/27/26 99493 denied no prior CoCM 6mo. Prior 99493 DOS 12/16/25 paid clm 26A070631100 under old ID 2062477. Req reprocess; PRA attached - Added Date of Current Illness, claim note, and resubmitted</t>
  </si>
  <si>
    <t xml:space="preserve">HF431164004</t>
  </si>
  <si>
    <t xml:space="preserve">F331</t>
  </si>
  <si>
    <t xml:space="preserve">ASAP - Goodyear</t>
  </si>
  <si>
    <t xml:space="preserve">99493, 99492</t>
  </si>
  <si>
    <t xml:space="preserve">Recon filed; Resubmitted</t>
  </si>
  <si>
    <t xml:space="preserve">Request ID TT2647830</t>
  </si>
  <si>
    <t xml:space="preserve">Not shifting - working on it Shifted to PR - Ins didn't receive PT update</t>
  </si>
  <si>
    <t xml:space="preserve">HF535417942</t>
  </si>
  <si>
    <t xml:space="preserve">LIEN 05</t>
  </si>
  <si>
    <t xml:space="preserve">Shifted to patient</t>
  </si>
  <si>
    <t xml:space="preserve">Follow up: PT said she would update the COB questionnaire (IQ) with the insurance - then ask for reprocessing</t>
  </si>
  <si>
    <t xml:space="preserve">Recon PIQ-92451492 - 93970 denial - Sent signed report showing bilateral compression/augmentation - Jess uploaded MR</t>
  </si>
  <si>
    <t xml:space="preserve">M79604</t>
  </si>
  <si>
    <t xml:space="preserve">M79605</t>
  </si>
  <si>
    <t xml:space="preserve">CO_150 - Payer deems the information submitted does not support this level of service</t>
  </si>
  <si>
    <t xml:space="preserve">PIQ-92451492</t>
  </si>
  <si>
    <t xml:space="preserve">Rep Briana - Jarrett Leathem is not contracted with member's Focus Network - Reference number 11216220</t>
  </si>
  <si>
    <t xml:space="preserve">HF499806568</t>
  </si>
  <si>
    <t xml:space="preserve">Call ref # 11216220</t>
  </si>
  <si>
    <t xml:space="preserve">Deanne is reviewing this one - Rep Jessie - Claim contains a non anesthesia service, and rendering is listed as an anesthesiologist on ins end</t>
  </si>
  <si>
    <t xml:space="preserve">HF540909294</t>
  </si>
  <si>
    <t xml:space="preserve">63048 x1; 63047 x1</t>
  </si>
  <si>
    <t xml:space="preserve">99493 x1; 99494 x1</t>
  </si>
  <si>
    <t xml:space="preserve">Edited dx to G894, added auth #, and resubmitted - but VA doesn't cover BH - Rejected due to invalid dx - ASAP DEER VALLEY NPI missing - Resubmitted</t>
  </si>
  <si>
    <t xml:space="preserve">HF342585384</t>
  </si>
  <si>
    <t xml:space="preserve">TRIWEST VA CCN CLAIMS</t>
  </si>
  <si>
    <t xml:space="preserve">99494 x2; 99493 x1</t>
  </si>
  <si>
    <t xml:space="preserve">TRIWEST</t>
  </si>
  <si>
    <t xml:space="preserve">2, 1</t>
  </si>
  <si>
    <t xml:space="preserve">Provider active, resubmitted</t>
  </si>
  <si>
    <t xml:space="preserve">HF489558936</t>
  </si>
  <si>
    <t xml:space="preserve">36246+59+RT x1; 75710+XU+RT x1; 76937 x1; 75774+XU x4; 36248+59 x3; 37242 x1</t>
  </si>
  <si>
    <t xml:space="preserve">GAE</t>
  </si>
  <si>
    <t xml:space="preserve">59, XU</t>
  </si>
  <si>
    <t xml:space="preserve">RT</t>
  </si>
  <si>
    <t xml:space="preserve">1, 4, 3</t>
  </si>
  <si>
    <t xml:space="preserve">36246</t>
  </si>
  <si>
    <t xml:space="preserve">75710</t>
  </si>
  <si>
    <t xml:space="preserve">76937</t>
  </si>
  <si>
    <t xml:space="preserve">75774</t>
  </si>
  <si>
    <t xml:space="preserve">36248</t>
  </si>
  <si>
    <t xml:space="preserve">37242</t>
  </si>
  <si>
    <t xml:space="preserve">M1711</t>
  </si>
  <si>
    <t xml:space="preserve">I798</t>
  </si>
  <si>
    <t xml:space="preserve">M25561</t>
  </si>
  <si>
    <t xml:space="preserve">HUNTER, DREW</t>
  </si>
  <si>
    <t xml:space="preserve">Auth issue - Bri resubmitted - Provider TAX ID/NPI Combination is not on file with BCBS AZ.</t>
  </si>
  <si>
    <t xml:space="preserve">HF513477727</t>
  </si>
  <si>
    <t xml:space="preserve">L0648+KX x1</t>
  </si>
  <si>
    <t xml:space="preserve">L0648</t>
  </si>
  <si>
    <t xml:space="preserve">M51362</t>
  </si>
  <si>
    <t xml:space="preserve">99492 paid on DOS 01/27/2026 - Resubmitted - Awaiting resolution on claim #556349314 (DOS 01/27/2026) before reprocessing DND 99493 This non-payable code is for required reporting only - Added Date of Current Illness, claim note, and resubmitted</t>
  </si>
  <si>
    <t xml:space="preserve">Rep Muthamma</t>
  </si>
  <si>
    <t xml:space="preserve">HF331718997</t>
  </si>
  <si>
    <t xml:space="preserve">99494 x2; 99492 x1</t>
  </si>
  <si>
    <t xml:space="preserve">Call ref # 11253575</t>
  </si>
  <si>
    <t xml:space="preserve">Adjusted balance - No authorization found or requested - Checking if we need auth on Curo portal # 19801266 - Review</t>
  </si>
  <si>
    <t xml:space="preserve">HF544828362</t>
  </si>
  <si>
    <t xml:space="preserve">UHC Group Medicare Advantage</t>
  </si>
  <si>
    <t xml:space="preserve">A6010+A1 x20</t>
  </si>
  <si>
    <t xml:space="preserve">UHC MA</t>
  </si>
  <si>
    <t xml:space="preserve">L97529</t>
  </si>
  <si>
    <t xml:space="preserve">CO_197 - Precertification/authorization/notification/pre-treatment absent</t>
  </si>
  <si>
    <t xml:space="preserve">Adjusted balance</t>
  </si>
  <si>
    <t xml:space="preserve">Curo # 19801266</t>
  </si>
  <si>
    <t xml:space="preserve">PAID - Changed primary code - Used 99492, and resubmitted</t>
  </si>
  <si>
    <t xml:space="preserve">HF460603685</t>
  </si>
  <si>
    <t xml:space="preserve">99492, 99493</t>
  </si>
  <si>
    <t xml:space="preserve">PAID - 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Added Date of Current Illness, claim note, and resubmitted</t>
  </si>
  <si>
    <t xml:space="preserve">HF443112560</t>
  </si>
  <si>
    <t xml:space="preserve">Claim 568613230 was paid - Removed mod 58, and resubmitted  - Added mod 58, and resubmitted</t>
  </si>
  <si>
    <t xml:space="preserve">HF334213960</t>
  </si>
  <si>
    <t xml:space="preserve">63047+58 x1</t>
  </si>
  <si>
    <t xml:space="preserve">PAID - Uploaded MR</t>
  </si>
  <si>
    <t xml:space="preserve">HF333306186</t>
  </si>
  <si>
    <t xml:space="preserve">75710+26+XU+RT x1; 36246+59+RT x1; 75774+26+XU x5</t>
  </si>
  <si>
    <t xml:space="preserve">26, 59</t>
  </si>
  <si>
    <t xml:space="preserve">XU, RT</t>
  </si>
  <si>
    <t xml:space="preserve">1, 5</t>
  </si>
  <si>
    <t xml:space="preserve">75710, 36246, 75774</t>
  </si>
  <si>
    <t xml:space="preserve">PIQ-86274627</t>
  </si>
  <si>
    <t xml:space="preserve">Edited dx order, and resubmitted</t>
  </si>
  <si>
    <t xml:space="preserve">HF539049375</t>
  </si>
  <si>
    <t xml:space="preserve">CIGNA HealthSprings</t>
  </si>
  <si>
    <t xml:space="preserve">93970 x1; 93923 x1</t>
  </si>
  <si>
    <t xml:space="preserve">93923</t>
  </si>
  <si>
    <t xml:space="preserve">E139</t>
  </si>
  <si>
    <t xml:space="preserve">93970, 93923</t>
  </si>
  <si>
    <t xml:space="preserve">CO_131 - Claim specific negotiated discount</t>
  </si>
  <si>
    <t xml:space="preserve">Jess corrected rendering to TIMOTHY BAUGHER, and resubmitted - We had JARRETT LEATHEM</t>
  </si>
  <si>
    <t xml:space="preserve">99493 x1; 99494 x2</t>
  </si>
  <si>
    <t xml:space="preserve">1, 2</t>
  </si>
  <si>
    <t xml:space="preserve">BAUGHER, TIMOTHY</t>
  </si>
  <si>
    <t xml:space="preserve">Recon sent to fax 615-401-4642 by Christian J</t>
  </si>
  <si>
    <t xml:space="preserve">HF517981468</t>
  </si>
  <si>
    <t xml:space="preserve">63048 x1</t>
  </si>
  <si>
    <t xml:space="preserve">M4726</t>
  </si>
  <si>
    <t xml:space="preserve">M4120</t>
  </si>
  <si>
    <t xml:space="preserve">CO_5 - The procedure code/type of bill is inconsistent with the place of service</t>
  </si>
  <si>
    <t xml:space="preserve">PAID - Optum has no record of 99492 - that code was billed to UHC, not Optum - Resubmitted with 99492</t>
  </si>
  <si>
    <t xml:space="preserve">HF372010397</t>
  </si>
  <si>
    <t xml:space="preserve">99492, 99493, 99494</t>
  </si>
  <si>
    <t xml:space="preserve">PAID - Corrected rendering provider, and resubmitted</t>
  </si>
  <si>
    <t xml:space="preserve">HF515864933</t>
  </si>
  <si>
    <t xml:space="preserve">KRAUSE, JEFFREY</t>
  </si>
  <si>
    <t xml:space="preserve">99494, 99492</t>
  </si>
  <si>
    <t xml:space="preserve">CO_B7 - This provider was not certified/eligible to be paid for this procedure/service on this date of service</t>
  </si>
  <si>
    <t xml:space="preserve">secondary - Rep Gloria C - Ins started the refund request - Rep sent claim back to have it reprocessed - Ticket # SF20260903906271400 - TAT 30 bd - OP by secondary insurance</t>
  </si>
  <si>
    <t xml:space="preserve">HF417864409</t>
  </si>
  <si>
    <t xml:space="preserve">F39</t>
  </si>
  <si>
    <t xml:space="preserve">Ticket # SF20260903906271400; Call ref # 188336955</t>
  </si>
  <si>
    <t xml:space="preserve">Follow up on refund/reprocessing ticket SF20260903906271400</t>
  </si>
  <si>
    <t xml:space="preserve">Adjusted balance - Auth only included 62330</t>
  </si>
  <si>
    <t xml:space="preserve">HF490461961</t>
  </si>
  <si>
    <t xml:space="preserve">CO_39 - Services denied at the time authorization/pre-certification was requested</t>
  </si>
  <si>
    <t xml:space="preserve">Filed appeal # Z264AZW09999 on portal - Basis: add-on to auth'd/paid 63047, intraop findings. Op note attached - Add-on 63048 requires auth according to medicaid auth tool - Auth # OP4987640976 didn't include 63048</t>
  </si>
  <si>
    <t xml:space="preserve">HF496014369</t>
  </si>
  <si>
    <t xml:space="preserve">M51370</t>
  </si>
  <si>
    <t xml:space="preserve">Appeal filed</t>
  </si>
  <si>
    <t xml:space="preserve">Appeal # Z264AZW09999; Auth # OP4987640976</t>
  </si>
  <si>
    <t xml:space="preserve">HF537038069</t>
  </si>
  <si>
    <t xml:space="preserve">22853 x1; 22551 x1; 22845+59 x1</t>
  </si>
  <si>
    <t xml:space="preserve">22551</t>
  </si>
  <si>
    <t xml:space="preserve">M4802</t>
  </si>
  <si>
    <t xml:space="preserve">M50021</t>
  </si>
  <si>
    <t xml:space="preserve">Confirm payment is posted</t>
  </si>
  <si>
    <t xml:space="preserve">Resubmitted to Alignment active on DOS</t>
  </si>
  <si>
    <t xml:space="preserve">HF509386349</t>
  </si>
  <si>
    <t xml:space="preserve">Alignment Health Care</t>
  </si>
  <si>
    <t xml:space="preserve">Jess resubmitted claim on 08/31/2026</t>
  </si>
  <si>
    <t xml:space="preserve">HF495165589</t>
  </si>
  <si>
    <t xml:space="preserve">22853 x1; 22845+59 x1; 22551 x1</t>
  </si>
  <si>
    <t xml:space="preserve">M4317</t>
  </si>
  <si>
    <t xml:space="preserve">Adv Spine and Ortho Partners LLC</t>
  </si>
  <si>
    <t xml:space="preserve">22845, 22551</t>
  </si>
  <si>
    <t xml:space="preserve">22853, 22845, 22551</t>
  </si>
  <si>
    <t xml:space="preserve">Uploaded op notes from 03/12/2026 to 03/15/2026 - Jess uploaded MR</t>
  </si>
  <si>
    <t xml:space="preserve">HF536440270</t>
  </si>
  <si>
    <t xml:space="preserve">22853 x1; 22612 x1</t>
  </si>
  <si>
    <t xml:space="preserve">22612</t>
  </si>
  <si>
    <t xml:space="preserve">Request ID 35165602</t>
  </si>
  <si>
    <t xml:space="preserve">HF404885397</t>
  </si>
  <si>
    <t xml:space="preserve">63655 x1; 63685 x1</t>
  </si>
  <si>
    <t xml:space="preserve">63655</t>
  </si>
  <si>
    <t xml:space="preserve">LUKE, TIMOTHY</t>
  </si>
  <si>
    <t xml:space="preserve">PIQ-90849065</t>
  </si>
  <si>
    <t xml:space="preserve">Edited insured's info, and resubmitted</t>
  </si>
  <si>
    <t xml:space="preserve">HF492208813</t>
  </si>
  <si>
    <t xml:space="preserve">Resubmitted to UHC as primary</t>
  </si>
  <si>
    <t xml:space="preserve">HF470511781</t>
  </si>
  <si>
    <t xml:space="preserve">R609</t>
  </si>
  <si>
    <t xml:space="preserve">Corrected cpt codes, added code 7, and resubmitted</t>
  </si>
  <si>
    <t xml:space="preserve">HF505830380</t>
  </si>
  <si>
    <t xml:space="preserve">AARP MedicareComplete (SecureHorizons &amp; Oxford Network)</t>
  </si>
  <si>
    <t xml:space="preserve">93970 x1; 93923 x1; 93925 x1</t>
  </si>
  <si>
    <t xml:space="preserve">AARP MA CHOICE / MEDICARE COMPLETE</t>
  </si>
  <si>
    <t xml:space="preserve">93970, 93923, 93925</t>
  </si>
  <si>
    <t xml:space="preserve">CO_29 - The time limit for filing has expired</t>
  </si>
  <si>
    <t xml:space="preserve">HF341023592</t>
  </si>
  <si>
    <t xml:space="preserve">Filed reconsideration with the 02/27/2026 order notes for BHE prior to SCS trial + March 2026 Monthly Review Summary - Jess uploaded MR</t>
  </si>
  <si>
    <t xml:space="preserve">HF542079660</t>
  </si>
  <si>
    <t xml:space="preserve">PIQ-90338069</t>
  </si>
  <si>
    <t xml:space="preserve">secondary - Resubmitted to Tricare for life - claim sent to tricare west and cant be locate it on Availity</t>
  </si>
  <si>
    <t xml:space="preserve">HF546700195</t>
  </si>
  <si>
    <t xml:space="preserve">Locate claim with Tricare for Life</t>
  </si>
  <si>
    <t xml:space="preserve">HF419953579</t>
  </si>
  <si>
    <t xml:space="preserve">M47817</t>
  </si>
  <si>
    <t xml:space="preserve">ADLER, STEVEN</t>
  </si>
  <si>
    <t xml:space="preserve">Ask Juan for MR</t>
  </si>
  <si>
    <t xml:space="preserve">Duplicate payment - checks VP3502669763 and 5533489. VP3502669763 not found in NGO or Optum. Posting team notified to review - possible OP</t>
  </si>
  <si>
    <t xml:space="preserve">HF550612373</t>
  </si>
  <si>
    <t xml:space="preserve">Follow up with posting team on possible duplicate payment (VP3502669763)</t>
  </si>
  <si>
    <t xml:space="preserve">Sent email to AZ Blue for insights - active coverage on DOS</t>
  </si>
  <si>
    <t xml:space="preserve">HF549281205</t>
  </si>
  <si>
    <t xml:space="preserve">Follow up on email to AZ Blue (coverage terminated denial)</t>
  </si>
  <si>
    <t xml:space="preserve">PAID - Resubmitted to the same payer - Active coverage on DOS</t>
  </si>
  <si>
    <t xml:space="preserve">HF545494297</t>
  </si>
  <si>
    <t xml:space="preserve">M1712</t>
  </si>
  <si>
    <t xml:space="preserve">E785</t>
  </si>
  <si>
    <t xml:space="preserve">HF548742459</t>
  </si>
  <si>
    <t xml:space="preserve">UnitedHealthcare / All Savers Insurance</t>
  </si>
  <si>
    <t xml:space="preserve">L0650+NU x1</t>
  </si>
  <si>
    <t xml:space="preserve">L0650</t>
  </si>
  <si>
    <t xml:space="preserve">M47896</t>
  </si>
  <si>
    <t xml:space="preserve">M5489</t>
  </si>
  <si>
    <t xml:space="preserve">PIQ-92059096</t>
  </si>
  <si>
    <t xml:space="preserve">PAID - Bundling with Claim ID 26F500108500 Line ID 1 on date of service 03/24/2026 CPT 64640</t>
  </si>
  <si>
    <t xml:space="preserve">HF481780302</t>
  </si>
  <si>
    <t xml:space="preserve">99494 x1; 99492+79 x1</t>
  </si>
  <si>
    <t xml:space="preserve">79</t>
  </si>
  <si>
    <t xml:space="preserve">99492 PAID - Resubmitted - Reprocess when claim 570543000 is paid</t>
  </si>
  <si>
    <t xml:space="preserve">Jess resubmitted claim</t>
  </si>
  <si>
    <t xml:space="preserve">HF531362064</t>
  </si>
  <si>
    <t xml:space="preserve">63047 x1; 63048 x1</t>
  </si>
  <si>
    <t xml:space="preserve">M5416, M4807</t>
  </si>
  <si>
    <t xml:space="preserve">M5116, M5417</t>
  </si>
  <si>
    <t xml:space="preserve">M5126</t>
  </si>
  <si>
    <t xml:space="preserve">PIQ-90772964</t>
  </si>
  <si>
    <t xml:space="preserve">Uploaded MR - PIQ-91107053 as per insurance request</t>
  </si>
  <si>
    <t xml:space="preserve">HF535105976</t>
  </si>
  <si>
    <t xml:space="preserve">93923 x1; 93970 x1</t>
  </si>
  <si>
    <t xml:space="preserve">E1140</t>
  </si>
  <si>
    <t xml:space="preserve">PIQ-91107053</t>
  </si>
  <si>
    <t xml:space="preserve">PAID - Edited dx codes, and resubmitted</t>
  </si>
  <si>
    <t xml:space="preserve">HF442066976</t>
  </si>
  <si>
    <t xml:space="preserve">Aetna Medicare PPO</t>
  </si>
  <si>
    <t xml:space="preserve">93970 x1; 93925 x1</t>
  </si>
  <si>
    <t xml:space="preserve">AETNA</t>
  </si>
  <si>
    <t xml:space="preserve">93970, 93925</t>
  </si>
  <si>
    <t xml:space="preserve">M76 - Missing/incomplete/invalid diagnosis or condition</t>
  </si>
  <si>
    <t xml:space="preserve">Appeal form completed with MR and forwarded to April for fax submission to payer - Fax # 855-699-8985</t>
  </si>
  <si>
    <t xml:space="preserve">HF553228745</t>
  </si>
  <si>
    <t xml:space="preserve">M8008XA</t>
  </si>
  <si>
    <t xml:space="preserve">Confirm April faxed the appeal to 855-699-8985</t>
  </si>
  <si>
    <t xml:space="preserve">Adjusted balance for 36246 not included in the auth requested - 36248 add on requires payment for other cpt code - 99153 cant be billed on pos 24</t>
  </si>
  <si>
    <t xml:space="preserve">HF517884474</t>
  </si>
  <si>
    <t xml:space="preserve">36248+59 x1; 75710+26+XU+LT x1; 36246+59+LT x1</t>
  </si>
  <si>
    <t xml:space="preserve">59, 26</t>
  </si>
  <si>
    <t xml:space="preserve">XU, LT</t>
  </si>
  <si>
    <t xml:space="preserve">LT</t>
  </si>
  <si>
    <t xml:space="preserve">M25562</t>
  </si>
  <si>
    <t xml:space="preserve">CO_B15 - This service/procedure requires that a qualifying service/procedure be received and covered</t>
  </si>
  <si>
    <t xml:space="preserve">CO_197 - Precertification/authorization/notification/pre-treatment absent; CO_B15 - This service/procedure requires that a qualifying service/procedure be received and covered</t>
  </si>
  <si>
    <t xml:space="preserve">Call ins - Bundled - but we have an auth for this one</t>
  </si>
  <si>
    <t xml:space="preserve">HF530195235</t>
  </si>
  <si>
    <t xml:space="preserve">Devoted Health Plan</t>
  </si>
  <si>
    <t xml:space="preserve">DEVOTED</t>
  </si>
  <si>
    <t xml:space="preserve">Call ins about the bundling denial - auth is on file</t>
  </si>
  <si>
    <t xml:space="preserve">Added mod XS to 93970, and resubmitted - Anthem Commercial Reimbursement Policy Number: C-23003 - secondary subject to MPPR rules</t>
  </si>
  <si>
    <t xml:space="preserve">HF518562105</t>
  </si>
  <si>
    <t xml:space="preserve">XS</t>
  </si>
  <si>
    <t xml:space="preserve">I83893</t>
  </si>
  <si>
    <t xml:space="preserve">Denied for timily filing but this is a resubmission, so I resubmitted again - Changed 93970 to 93971, and resubmitted</t>
  </si>
  <si>
    <t xml:space="preserve">I82401</t>
  </si>
  <si>
    <t xml:space="preserve">HF469471726</t>
  </si>
  <si>
    <t xml:space="preserve">Mercy Care RBHA</t>
  </si>
  <si>
    <t xml:space="preserve">93970 x1; 93925 x1; 93923 x1</t>
  </si>
  <si>
    <t xml:space="preserve">PIQ-90770826</t>
  </si>
  <si>
    <t xml:space="preserve">Call 800-636-2123</t>
  </si>
  <si>
    <t xml:space="preserve">HF329310676</t>
  </si>
  <si>
    <t xml:space="preserve">M5127</t>
  </si>
  <si>
    <t xml:space="preserve">MARTINEZ, DIANA</t>
  </si>
  <si>
    <t xml:space="preserve">Bill Preferred Homecare (delegated vendor per denial) - call 800-636-2123 to confirm</t>
  </si>
  <si>
    <t xml:space="preserve">HF537334664</t>
  </si>
  <si>
    <t xml:space="preserve">A6010+A2 x20</t>
  </si>
  <si>
    <t xml:space="preserve">Shift to PT - ABN signed - Rep Mark confirmed that Integra is the delegated DME vendor for this PT - Provider OON with Devoted</t>
  </si>
  <si>
    <t xml:space="preserve">ASAP Prescott Valley</t>
  </si>
  <si>
    <t xml:space="preserve">Call ref # CALLX8R53SRA</t>
  </si>
  <si>
    <t xml:space="preserve">Checking with Bri - Dr. Awnik Sarkar OON with member's Independence Blue Cross PPO - Devereux Benefit Plan</t>
  </si>
  <si>
    <t xml:space="preserve">G588</t>
  </si>
  <si>
    <t xml:space="preserve">Follow up with Bri on OON status (Dr. Sarkar)</t>
  </si>
  <si>
    <t xml:space="preserve">HF536642190</t>
  </si>
  <si>
    <t xml:space="preserve">75710+XU+LT x1; 36245+59 x1; 36248+59 x3; 36246+59+LT x1</t>
  </si>
  <si>
    <t xml:space="preserve">XU, 59</t>
  </si>
  <si>
    <t xml:space="preserve">1, 3</t>
  </si>
  <si>
    <t xml:space="preserve">36245</t>
  </si>
  <si>
    <t xml:space="preserve">36248, 36245, 36246, 75710</t>
  </si>
  <si>
    <t xml:space="preserve">99494, 99493</t>
  </si>
  <si>
    <t xml:space="preserve">Uploaded MR - Delete 20936, and resubmitted</t>
  </si>
  <si>
    <t xml:space="preserve">HF525461225</t>
  </si>
  <si>
    <t xml:space="preserve">22845+59 x1; 22853+59 x1; 22551 x1; 22853 x1</t>
  </si>
  <si>
    <t xml:space="preserve">20936</t>
  </si>
  <si>
    <t xml:space="preserve">PIQ-90772754</t>
  </si>
  <si>
    <t xml:space="preserve">Uploaded missing MR to PIQ-85007180 - Jess uploaded POD</t>
  </si>
  <si>
    <t xml:space="preserve">HF550434312</t>
  </si>
  <si>
    <t xml:space="preserve">PIQ-85007180</t>
  </si>
  <si>
    <t xml:space="preserve">HF523440375</t>
  </si>
  <si>
    <t xml:space="preserve">HOLLISTER, ALICIA</t>
  </si>
  <si>
    <t xml:space="preserve">Submitted to bcbs - BCBS is primary and banner aetna secondary - Removed mod 79 - Added mod 24, and resubmitted - Payer edits only allow 79/78/58 on surgical/procedural codes - 99492 is an E/M - Jess resubmitted with mod 79</t>
  </si>
  <si>
    <t xml:space="preserve">HF330559209</t>
  </si>
  <si>
    <t xml:space="preserve">Banner Aetna</t>
  </si>
  <si>
    <t xml:space="preserve">Requested Linda W. fax medical records to 480-499-8744 - TAT I have to send MR 08/18/2026</t>
  </si>
  <si>
    <t xml:space="preserve">HF554254508</t>
  </si>
  <si>
    <t xml:space="preserve">Confirm MR was faxed to 480-499-8744</t>
  </si>
  <si>
    <t xml:space="preserve">secondary - Primary paid</t>
  </si>
  <si>
    <t xml:space="preserve">HF518096784</t>
  </si>
  <si>
    <t xml:space="preserve">Checking with our credentialing team - OON Provider Dr. Sarkar</t>
  </si>
  <si>
    <t xml:space="preserve">Follow up with credentialing on OON status (Dr. Sarkar)</t>
  </si>
  <si>
    <t xml:space="preserve">secondary - Added COB info, and resubmitted - Primary paid</t>
  </si>
  <si>
    <t xml:space="preserve">HF330200116</t>
  </si>
  <si>
    <t xml:space="preserve">75774+26+XU x3; 36246+59+LT x1; 36245+59 x1; 36248+59 x1; 76937+26 x1; 37242 x1; 75710+26+XU+LT x1</t>
  </si>
  <si>
    <t xml:space="preserve">3, 1</t>
  </si>
  <si>
    <t xml:space="preserve">75774, 36246, 36245, 36248, 76937, 37242, 75710</t>
  </si>
  <si>
    <t xml:space="preserve">HF519300380</t>
  </si>
  <si>
    <t xml:space="preserve">M461</t>
  </si>
  <si>
    <t xml:space="preserve">F332</t>
  </si>
  <si>
    <t xml:space="preserve">Uploaded MR - ID 35635409 as per request - All CPT codes denied as no covered</t>
  </si>
  <si>
    <t xml:space="preserve">HF538331188</t>
  </si>
  <si>
    <t xml:space="preserve">22551 x1; 22853 x1; 22845+59 x1; 22853+59 x1</t>
  </si>
  <si>
    <t xml:space="preserve">Request ID 35635409</t>
  </si>
  <si>
    <t xml:space="preserve">Tfierro working on PT eligibility on dos</t>
  </si>
  <si>
    <t xml:space="preserve">HF524312806</t>
  </si>
  <si>
    <t xml:space="preserve">Follow up with Tfierro on PT eligibility for DOS</t>
  </si>
  <si>
    <t xml:space="preserve">START A CHAT AND ASK FOR A PIQ REVIEW OR STATUS</t>
  </si>
  <si>
    <t xml:space="preserve">HF553588238</t>
  </si>
  <si>
    <t xml:space="preserve">Start a chat and ask for a PIQ review or status</t>
  </si>
  <si>
    <t xml:space="preserve">PAID - Added Date of Current Illness, claim note, and resubmitted</t>
  </si>
  <si>
    <t xml:space="preserve">Filed reconsideration - Decision ID #: D600552039 shows NAR</t>
  </si>
  <si>
    <t xml:space="preserve">HF492424635</t>
  </si>
  <si>
    <t xml:space="preserve">22856 x1; 22858 x1</t>
  </si>
  <si>
    <t xml:space="preserve">22856</t>
  </si>
  <si>
    <t xml:space="preserve">22858</t>
  </si>
  <si>
    <t xml:space="preserve">M9971</t>
  </si>
  <si>
    <t xml:space="preserve">M2030</t>
  </si>
  <si>
    <t xml:space="preserve">PIQ-90773073; Decision ID D600552039</t>
  </si>
  <si>
    <t xml:space="preserve">Per Medicare guidelines use of modifier NU is not typical for procedure code L1851. Resubmitted with mods KX+RT - This is a Medicare Advantage plan - Jess resubmitted with only mod NU</t>
  </si>
  <si>
    <t xml:space="preserve">HF528969654</t>
  </si>
  <si>
    <t xml:space="preserve">L1851+NU+RT x1</t>
  </si>
  <si>
    <t xml:space="preserve">L1851</t>
  </si>
  <si>
    <t xml:space="preserve">Resubmitted with Riddle last name - Tricare active on DOS - VA doesn't cover BH</t>
  </si>
  <si>
    <t xml:space="preserve">HF453012792</t>
  </si>
  <si>
    <t xml:space="preserve">Delete 20930 and Dx M54.2 on portal as per action required option got triggered - Dx M542 with M5030 identify two conditions that cannot be reported together - Procedure 20930 is considered inclusive to other services reported - CLAIM DOWNLOADED</t>
  </si>
  <si>
    <t xml:space="preserve">HF534780004</t>
  </si>
  <si>
    <t xml:space="preserve">22845+59 x1; 20930 x1; 22853 x1; 22551 x1</t>
  </si>
  <si>
    <t xml:space="preserve">20930</t>
  </si>
  <si>
    <t xml:space="preserve">M5030</t>
  </si>
  <si>
    <t xml:space="preserve">G8929</t>
  </si>
  <si>
    <t xml:space="preserve">22845, 22853, 22551</t>
  </si>
  <si>
    <t xml:space="preserve">PAID - Added referral # we have for SCS, and resubmitted - Not expected to be paid given that VA doesn't cover BH, and we don't have an RFS</t>
  </si>
  <si>
    <t xml:space="preserve">HF525117988</t>
  </si>
  <si>
    <t xml:space="preserve">Added code 7, and resubmitted</t>
  </si>
  <si>
    <t xml:space="preserve">HF554716705</t>
  </si>
  <si>
    <t xml:space="preserve">93923 x1</t>
  </si>
  <si>
    <t xml:space="preserve">I70213, M79604</t>
  </si>
  <si>
    <t xml:space="preserve">M79605, M79604</t>
  </si>
  <si>
    <t xml:space="preserve">secondary - 1A95CU0TY97</t>
  </si>
  <si>
    <t xml:space="preserve">HF387689153</t>
  </si>
  <si>
    <t xml:space="preserve">Check COB on Noridian; if nothing there, check with April</t>
  </si>
  <si>
    <t xml:space="preserve">HF353314392</t>
  </si>
  <si>
    <t xml:space="preserve">Chat with anthem about medical records being received - Jess sent MR through fax with barcode letter</t>
  </si>
  <si>
    <t xml:space="preserve">Chat with Anthem to confirm MR was received</t>
  </si>
  <si>
    <t xml:space="preserve">Resubmitted again - Aisha review Adlers status on the AHCCCS portal. He is showing active ins 2012 - Rendering OON with Medicaid AHCCCS - Confirming with Bri - DOS we were working on 05/01/2026</t>
  </si>
  <si>
    <t xml:space="preserve">HF384867230</t>
  </si>
  <si>
    <t xml:space="preserve">Follow up with Bri on rendering OON with AHCCCS</t>
  </si>
  <si>
    <t xml:space="preserve">Rep Harold C confirmed claim did not price to the market fee schedule in effect on DOS - Rep sent claim back for reprocessing - TAT 30 days - ERA shows no allowed amount at all - Ins moved the full billed charge to the patient</t>
  </si>
  <si>
    <t xml:space="preserve">HF387811074</t>
  </si>
  <si>
    <t xml:space="preserve">Banner Health &amp; Aetna Health Insurance Company</t>
  </si>
  <si>
    <t xml:space="preserve">22853 x1; 22845+59 x1; 22551 x1; 20930 x1</t>
  </si>
  <si>
    <t xml:space="preserve">BANNER HEALTH &amp; AETNA</t>
  </si>
  <si>
    <t xml:space="preserve">Q068</t>
  </si>
  <si>
    <t xml:space="preserve">22551, 22845</t>
  </si>
  <si>
    <t xml:space="preserve">PR_119 - Benefit maximum for this time period or occurrence has been reached</t>
  </si>
  <si>
    <t xml:space="preserve">Call ref # 372182510</t>
  </si>
  <si>
    <t xml:space="preserve">HF551129077</t>
  </si>
  <si>
    <t xml:space="preserve">Banner Medicare Advantage Prime HMO (BMAH)</t>
  </si>
  <si>
    <t xml:space="preserve">93925 x1; 93923 x1; 93970 x1</t>
  </si>
  <si>
    <t xml:space="preserve">BANNER MEDICARE ADVANTAGE</t>
  </si>
  <si>
    <t xml:space="preserve">65 days</t>
  </si>
  <si>
    <t xml:space="preserve">G9519</t>
  </si>
  <si>
    <t xml:space="preserve">M5417</t>
  </si>
  <si>
    <t xml:space="preserve">Send pending msm to Bri</t>
  </si>
  <si>
    <t xml:space="preserve">Still processing - ins received claim on 07/20/2026</t>
  </si>
  <si>
    <t xml:space="preserve">HF436451045</t>
  </si>
  <si>
    <t xml:space="preserve">Filed dispute ID PDX7G8WCG9 with MR</t>
  </si>
  <si>
    <t xml:space="preserve">HF548665870</t>
  </si>
  <si>
    <t xml:space="preserve">36246+59+RT x1; 36245+59 x1; 75710+26+XU+RT x1; 37242 x1; 36248+59 x3; 76937+26 x1; 75774+26+XU x5</t>
  </si>
  <si>
    <t xml:space="preserve">RT, XU</t>
  </si>
  <si>
    <t xml:space="preserve">1, 3, 5</t>
  </si>
  <si>
    <t xml:space="preserve">Dispute ID PDX7G8WCG9</t>
  </si>
  <si>
    <t xml:space="preserve">Adjusted balance - Submitted claim on portal with MR - No auth request on file - Retro auth not available at this time</t>
  </si>
  <si>
    <t xml:space="preserve">HF497623124</t>
  </si>
  <si>
    <t xml:space="preserve">AMBETTER</t>
  </si>
  <si>
    <t xml:space="preserve">TERRILL, STEPHANIE</t>
  </si>
  <si>
    <t xml:space="preserve">Claim ID 851901307; Confirmation # 843724183</t>
  </si>
  <si>
    <t xml:space="preserve">Requested auth on portal - Current Status: Not certified - NAR received was for 62330, which doesn't require authorization according to portal-Availity</t>
  </si>
  <si>
    <t xml:space="preserve">HF420733336</t>
  </si>
  <si>
    <t xml:space="preserve">Aetna</t>
  </si>
  <si>
    <t xml:space="preserve">Auth requested</t>
  </si>
  <si>
    <t xml:space="preserve">PAID - Edited mod, and resubmitted</t>
  </si>
  <si>
    <t xml:space="preserve">HF529780586</t>
  </si>
  <si>
    <t xml:space="preserve">L1851+KX+RT x1</t>
  </si>
  <si>
    <t xml:space="preserve">Added mod 58, and resubmitted</t>
  </si>
  <si>
    <t xml:space="preserve">HF331075211</t>
  </si>
  <si>
    <t xml:space="preserve">Rebilled again - DND for timily limit - Tina emoved the 80307 and rebilled Corrected claim</t>
  </si>
  <si>
    <t xml:space="preserve">HF331630717</t>
  </si>
  <si>
    <t xml:space="preserve">Resubmitted to AARP MedicareComplete (SecureHorizons &amp; Oxford Network)</t>
  </si>
  <si>
    <t xml:space="preserve">HF480313866</t>
  </si>
  <si>
    <t xml:space="preserve">93923 changed to 93922, and resubmitted - 93923 requires 3 levels and the document only reports ankle + toe = two levels - April resubmitted by mail - DMinker30A uploaded MR</t>
  </si>
  <si>
    <t xml:space="preserve">HF330717562</t>
  </si>
  <si>
    <t xml:space="preserve">United HealthCare Dual Complete</t>
  </si>
  <si>
    <t xml:space="preserve">R202</t>
  </si>
  <si>
    <t xml:space="preserve">93923, 93922, 93925, 93970</t>
  </si>
  <si>
    <t xml:space="preserve">Resubmitted; Uploaded MR</t>
  </si>
  <si>
    <t xml:space="preserve">PAID - Edited rendering provider, and resubmitted</t>
  </si>
  <si>
    <t xml:space="preserve">HF546093906</t>
  </si>
  <si>
    <t xml:space="preserve">Banner University Family Care - Arizona Long Term Care System</t>
  </si>
  <si>
    <t xml:space="preserve">PAID - Added active referral for DOS and resubmitted, but these are non-covered services by VA. We need a separate RFS approval to get BH covarage</t>
  </si>
  <si>
    <t xml:space="preserve">HF549150041</t>
  </si>
  <si>
    <t xml:space="preserve">CO_288 - Referral absent</t>
  </si>
  <si>
    <t xml:space="preserve">Added code 7, and resubmitted - COB was updated by PT as per insurance request </t>
  </si>
  <si>
    <t xml:space="preserve">A6010+A2 x40</t>
  </si>
  <si>
    <t xml:space="preserve">40</t>
  </si>
  <si>
    <t xml:space="preserve">Filed dispute on portal with MR</t>
  </si>
  <si>
    <t xml:space="preserve">HF534608085</t>
  </si>
  <si>
    <t xml:space="preserve">36246+59+RT x1; 36245+59 x1; 75774+26+XU x5; 75710+26+XU+RT x1; 36248+59 x3</t>
  </si>
  <si>
    <t xml:space="preserve">1, 5, 3</t>
  </si>
  <si>
    <t xml:space="preserve">36246, 36245</t>
  </si>
  <si>
    <t xml:space="preserve">75774, 75710</t>
  </si>
  <si>
    <t xml:space="preserve">75774, 75710, 36248</t>
  </si>
  <si>
    <t xml:space="preserve">PAID - DMinker30A corrected claim and resubmitted on 08/03/2026</t>
  </si>
  <si>
    <t xml:space="preserve">HF533821631</t>
  </si>
  <si>
    <t xml:space="preserve">93923 x1; 93925 x1</t>
  </si>
  <si>
    <t xml:space="preserve">I8393</t>
  </si>
  <si>
    <t xml:space="preserve">93923, 93925</t>
  </si>
  <si>
    <t xml:space="preserve">CO_146 - Diagnosis was invalid for the date(s) of service reported</t>
  </si>
  <si>
    <t xml:space="preserve">Removed 20936, and resubmited</t>
  </si>
  <si>
    <t xml:space="preserve">HF549730183</t>
  </si>
  <si>
    <t xml:space="preserve">22845+59 x1; 22853 x1; 22551 x1; 22853+59 x1</t>
  </si>
  <si>
    <t xml:space="preserve">M50022, M50023</t>
  </si>
  <si>
    <t xml:space="preserve">M50023, M5412, M50122</t>
  </si>
  <si>
    <t xml:space="preserve">M50122, M5000, M5412</t>
  </si>
  <si>
    <t xml:space="preserve">M5412, M542, M5000</t>
  </si>
  <si>
    <t xml:space="preserve">HF544192008</t>
  </si>
  <si>
    <t xml:space="preserve">93923 x1; 93970 x1; 93925 x1</t>
  </si>
  <si>
    <t xml:space="preserve">93923, 93970, 93925</t>
  </si>
  <si>
    <t xml:space="preserve">PIQ-88944138</t>
  </si>
  <si>
    <t xml:space="preserve">HF479934906</t>
  </si>
  <si>
    <t xml:space="preserve">F4312</t>
  </si>
  <si>
    <t xml:space="preserve">PIQ-88903761</t>
  </si>
  <si>
    <t xml:space="preserve">HF555357253</t>
  </si>
  <si>
    <t xml:space="preserve">PIQ-88903858</t>
  </si>
  <si>
    <t xml:space="preserve">Resubmitted with 63030+63035 - then rejected due to an invalid original claim number - Corrected and resubmitted</t>
  </si>
  <si>
    <t xml:space="preserve">HF427171307</t>
  </si>
  <si>
    <t xml:space="preserve">63030, 63035</t>
  </si>
  <si>
    <t xml:space="preserve">63030, 63035, 63047</t>
  </si>
  <si>
    <t xml:space="preserve">MR requested - Remove CPT A6219, and resubmitted</t>
  </si>
  <si>
    <t xml:space="preserve">LIEN 03</t>
  </si>
  <si>
    <t xml:space="preserve">M50022</t>
  </si>
  <si>
    <t xml:space="preserve">M50023</t>
  </si>
  <si>
    <t xml:space="preserve">M50122</t>
  </si>
  <si>
    <t xml:space="preserve">A6219</t>
  </si>
  <si>
    <t xml:space="preserve">Get the MR request letter</t>
  </si>
  <si>
    <t xml:space="preserve">On hold - Missing MR - Uploaded MR on portal</t>
  </si>
  <si>
    <t xml:space="preserve">HF475049197</t>
  </si>
  <si>
    <t xml:space="preserve">Checking with auth team</t>
  </si>
  <si>
    <t xml:space="preserve">HF543653317</t>
  </si>
  <si>
    <t xml:space="preserve">TONDINI, JENISE</t>
  </si>
  <si>
    <t xml:space="preserve">Follow up with auth team</t>
  </si>
  <si>
    <t xml:space="preserve">Removed rendering, added servicing, changed from professional to DME, and resubmitted</t>
  </si>
  <si>
    <t xml:space="preserve">HF545888888</t>
  </si>
  <si>
    <t xml:space="preserve">A6023+A2 x40</t>
  </si>
  <si>
    <t xml:space="preserve">Advanced Spine and Pain LLC</t>
  </si>
  <si>
    <t xml:space="preserve">Filed reconsideration with WC denied auth #910943907 and MR - Unchecked employment box, reorganize dx as they were before, and resubmitted - Rejected again - Changed employment dx to primary, added dx Y990, added CLM note, and resubmitted</t>
  </si>
  <si>
    <t xml:space="preserve">WC-509516716</t>
  </si>
  <si>
    <t xml:space="preserve">S335XXA</t>
  </si>
  <si>
    <t xml:space="preserve">Resubmitted; Resubmitted</t>
  </si>
  <si>
    <t xml:space="preserve">PIQ-89349080; WC auth # 910943907</t>
  </si>
  <si>
    <t xml:space="preserve">PAID - Corrected service line 1 to 99492, and resubmitted - Processed date 06/16/2026</t>
  </si>
  <si>
    <t xml:space="preserve">HF494160468</t>
  </si>
  <si>
    <t xml:space="preserve">99494 x1; 99494 x1</t>
  </si>
  <si>
    <t xml:space="preserve">F32A</t>
  </si>
  <si>
    <t xml:space="preserve">N674 - Not covered unless a pre-requisite procedure/service has been provided</t>
  </si>
  <si>
    <t xml:space="preserve">PAID - Corrected service line 1 - Changed to 99492, and resubmitted - Processed date 06/10/2026</t>
  </si>
  <si>
    <t xml:space="preserve">HF485806241</t>
  </si>
  <si>
    <t xml:space="preserve">HF554018380</t>
  </si>
  <si>
    <t xml:space="preserve">63030+RT x1</t>
  </si>
  <si>
    <t xml:space="preserve">63030</t>
  </si>
  <si>
    <t xml:space="preserve">M4807</t>
  </si>
  <si>
    <t xml:space="preserve">PIQ-88975230</t>
  </si>
  <si>
    <t xml:space="preserve">HF556870121</t>
  </si>
  <si>
    <t xml:space="preserve">R2242</t>
  </si>
  <si>
    <t xml:space="preserve">PIQ-89018322</t>
  </si>
  <si>
    <t xml:space="preserve">HF495815066</t>
  </si>
  <si>
    <t xml:space="preserve">PIQ-88958247</t>
  </si>
  <si>
    <t xml:space="preserve">UHC not active on DOS - Resubmitted to Mercy Care (secondary)</t>
  </si>
  <si>
    <t xml:space="preserve">HF528535429</t>
  </si>
  <si>
    <t xml:space="preserve">PAID - Edited dx for 93970, and resubmitted</t>
  </si>
  <si>
    <t xml:space="preserve">HF440522373</t>
  </si>
  <si>
    <t xml:space="preserve">PAID - Filed reconsideration with desicion ID # D606429361</t>
  </si>
  <si>
    <t xml:space="preserve">HF419899260</t>
  </si>
  <si>
    <t xml:space="preserve">22856 x1</t>
  </si>
  <si>
    <t xml:space="preserve">V892XXD</t>
  </si>
  <si>
    <t xml:space="preserve">PIQ-89227438; Decision ID D606429361</t>
  </si>
  <si>
    <t xml:space="preserve">PAID - Edited dx for 93970, delete 93923, and resubmitted</t>
  </si>
  <si>
    <t xml:space="preserve">HF559665893</t>
  </si>
  <si>
    <t xml:space="preserve">I6522</t>
  </si>
  <si>
    <t xml:space="preserve">Uploaded MR - Dispute ID PDXEFY2R66 - Rep Ria U said we needed to send medical records</t>
  </si>
  <si>
    <t xml:space="preserve">HF557656306</t>
  </si>
  <si>
    <t xml:space="preserve">Dispute ID PDXEFY2R66; Call ref # CALLXZ3KC79Y</t>
  </si>
  <si>
    <t xml:space="preserve">Billed 93923 separately on claim 568675091</t>
  </si>
  <si>
    <t xml:space="preserve">HF536050996</t>
  </si>
  <si>
    <t xml:space="preserve">M5459</t>
  </si>
  <si>
    <t xml:space="preserve">M62838</t>
  </si>
  <si>
    <t xml:space="preserve">99492 paid - DOS 02/20/2026 - Resubmitted</t>
  </si>
  <si>
    <t xml:space="preserve">Billed 93923 separately on claim 568676394</t>
  </si>
  <si>
    <t xml:space="preserve">HF554098828</t>
  </si>
  <si>
    <t xml:space="preserve">PAID - Filed seperately claim on portal for 93923</t>
  </si>
  <si>
    <t xml:space="preserve">HF443156488</t>
  </si>
  <si>
    <t xml:space="preserve">M15 - Separately billed services/tests have been bundled as components of the same procedure</t>
  </si>
  <si>
    <t xml:space="preserve">Claim ID 851510753; Confirmation # 843229305</t>
  </si>
  <si>
    <t xml:space="preserve">PAID - Changed POS and location, used 24 instead of 11, updated location to ASAP SURGERY CENTERS NORTH VALLEY, and resubmitted</t>
  </si>
  <si>
    <t xml:space="preserve">HF329710667</t>
  </si>
  <si>
    <t xml:space="preserve">27279+LT x1</t>
  </si>
  <si>
    <t xml:space="preserve">27279</t>
  </si>
  <si>
    <t xml:space="preserve">M51 - Missing/incomplete/invalid procedure code(s)</t>
  </si>
  <si>
    <t xml:space="preserve">HF492807840</t>
  </si>
  <si>
    <t xml:space="preserve">36248+59 x3; 75774+26+XU x5; 36245+59 x1; 37242 x1; 75710+26+XU+RT x1; 76937+26 x1; 36246+59+RT x1</t>
  </si>
  <si>
    <t xml:space="preserve">3, 5, 1</t>
  </si>
  <si>
    <t xml:space="preserve">Filed reconsideration with MR for 76937 - Jess uploaded MR</t>
  </si>
  <si>
    <t xml:space="preserve">HF552622415</t>
  </si>
  <si>
    <t xml:space="preserve">75774+26+XU x4; 36245+59 x1; 36248+59 x2; 76937+26 x1; 75710+26+XU+RT x1; 37242 x1; 36246+59+RT x1</t>
  </si>
  <si>
    <t xml:space="preserve">4, 1, 2</t>
  </si>
  <si>
    <t xml:space="preserve">75774, 75710, 36246</t>
  </si>
  <si>
    <t xml:space="preserve">CO_97 (75774) - The benefit for this service is included in the payment/allowance for another service/procedure already adjudicated; CO_97 (75710) - The benefit for this service is included in the payment/allowance for another service/procedure already adjudicated; CO_96 (36246) - Non-covered charge(s)</t>
  </si>
  <si>
    <t xml:space="preserve">36245, 36248, 37242</t>
  </si>
  <si>
    <t xml:space="preserve">76937, 75774, 36245, 36248, 75710, 37242</t>
  </si>
  <si>
    <t xml:space="preserve">CO_97 - The benefit for this service is included in the payment/allowance for another service/procedure already adjudicated; CO_96 - Non-covered charge(s); N163 - Medical record does not support code billed per the code definition</t>
  </si>
  <si>
    <t xml:space="preserve">PIQ-90417618</t>
  </si>
  <si>
    <t xml:space="preserve">HF548971165</t>
  </si>
  <si>
    <t xml:space="preserve">63047, 63048</t>
  </si>
  <si>
    <t xml:space="preserve">PIQ-90435209</t>
  </si>
  <si>
    <t xml:space="preserve">Edited dx codes for 93970 - Included dxs I83893, R600, and resubmitted</t>
  </si>
  <si>
    <t xml:space="preserve">HF548297248</t>
  </si>
  <si>
    <t xml:space="preserve">Z86718</t>
  </si>
  <si>
    <t xml:space="preserve">secondary</t>
  </si>
  <si>
    <t xml:space="preserve">HF548537700</t>
  </si>
  <si>
    <t xml:space="preserve">99492 x1</t>
  </si>
  <si>
    <t xml:space="preserve">568647541</t>
  </si>
  <si>
    <t xml:space="preserve">HF554317461</t>
  </si>
  <si>
    <t xml:space="preserve">Q7649</t>
  </si>
  <si>
    <t xml:space="preserve">63048, 63047</t>
  </si>
  <si>
    <t xml:space="preserve">PIQ-90435089</t>
  </si>
  <si>
    <t xml:space="preserve">PIQ-90672316</t>
  </si>
  <si>
    <t xml:space="preserve">HF547910822</t>
  </si>
  <si>
    <t xml:space="preserve">CO_164 - Attachment/other documentation referenced on the claim was not received in a timely fashion</t>
  </si>
  <si>
    <t xml:space="preserve">I need to get the MR to payer</t>
  </si>
  <si>
    <t xml:space="preserve">Added mod XU, and resubmitted</t>
  </si>
  <si>
    <t xml:space="preserve">HF354421716</t>
  </si>
  <si>
    <t xml:space="preserve">XU</t>
  </si>
  <si>
    <t xml:space="preserve">HF386554880</t>
  </si>
  <si>
    <t xml:space="preserve">76937 x1; 37242 x1; 36245+59 x1; 36248+59 x3; 75774+XU x5; 75710+XU+LT x1; 36246+59+LT x1</t>
  </si>
  <si>
    <t xml:space="preserve">76937, 37242, 36245, 36246</t>
  </si>
  <si>
    <t xml:space="preserve">76937, 37242, 36245, 36248, 36246</t>
  </si>
  <si>
    <t xml:space="preserve">Deleted service line 20936, and resubmitted</t>
  </si>
  <si>
    <t xml:space="preserve">HF329403331</t>
  </si>
  <si>
    <t xml:space="preserve">22845+59 x1; 22853+59 x1; 22853 x1; 22551 x1</t>
  </si>
  <si>
    <t xml:space="preserve">M50021, M50022</t>
  </si>
  <si>
    <t xml:space="preserve">M50022, M5412</t>
  </si>
  <si>
    <t xml:space="preserve">M5412, M542</t>
  </si>
  <si>
    <t xml:space="preserve">20936, 22845, 22853, 22551</t>
  </si>
  <si>
    <t xml:space="preserve">HF545081997</t>
  </si>
  <si>
    <t xml:space="preserve">20930 x1; 22612 x1; 63042+59+LT x1</t>
  </si>
  <si>
    <t xml:space="preserve">63042</t>
  </si>
  <si>
    <t xml:space="preserve">M4126</t>
  </si>
  <si>
    <t xml:space="preserve">22612, 63042</t>
  </si>
  <si>
    <t xml:space="preserve">20930, 22612, 63042</t>
  </si>
  <si>
    <t xml:space="preserve">Request ID 36199963</t>
  </si>
  <si>
    <t xml:space="preserve">HF525787835</t>
  </si>
  <si>
    <t xml:space="preserve">36245+59 x1; 75774+26+XU x4; 75710+26+XU+LT x1; 37242 x1; 36246+59 x1; 76937+26 x1; 36246+59+LT x1</t>
  </si>
  <si>
    <t xml:space="preserve">1, 4</t>
  </si>
  <si>
    <t xml:space="preserve">36245, 37242</t>
  </si>
  <si>
    <t xml:space="preserve">36245, 75774, 75710, 37242, 36246, 76937</t>
  </si>
  <si>
    <t xml:space="preserve">PIQ-90417669</t>
  </si>
  <si>
    <t xml:space="preserve">Added mod RT to 36245, edited dxs order, and resubmitted</t>
  </si>
  <si>
    <t xml:space="preserve">HF330028627</t>
  </si>
  <si>
    <t xml:space="preserve">36248+59 x3; 75710+26+XU+RT x1; 36246+59+RT x1; 36245+59 x1; 75774+26+XU x5</t>
  </si>
  <si>
    <t xml:space="preserve">3, 1, 5</t>
  </si>
  <si>
    <t xml:space="preserve">36245, 36248, 75710, 36246, 75774</t>
  </si>
  <si>
    <t xml:space="preserve">Balance shifted to patient </t>
  </si>
  <si>
    <t xml:space="preserve">HF464911322</t>
  </si>
  <si>
    <t xml:space="preserve">KOMINSKY, STEPHEN</t>
  </si>
  <si>
    <t xml:space="preserve">Call ins to get bar code letter if needed and insights on denials</t>
  </si>
  <si>
    <t xml:space="preserve">HF537490920</t>
  </si>
  <si>
    <t xml:space="preserve">Call ins for bar code letter (if needed) and details on the denials</t>
  </si>
  <si>
    <t xml:space="preserve">PAID - Added Date of Current Illness, claim note, and resubmitted - Prior CoCM on DOS 03/05/2026</t>
  </si>
  <si>
    <t xml:space="preserve">PAID - Filed reconsideration with MR</t>
  </si>
  <si>
    <t xml:space="preserve">HF506477391</t>
  </si>
  <si>
    <t xml:space="preserve">PIQ-90417169</t>
  </si>
  <si>
    <t xml:space="preserve">HF549710983</t>
  </si>
  <si>
    <t xml:space="preserve">M25571</t>
  </si>
  <si>
    <t xml:space="preserve">M792</t>
  </si>
  <si>
    <t xml:space="preserve">M79671</t>
  </si>
  <si>
    <t xml:space="preserve">PIQ-90420851</t>
  </si>
  <si>
    <t xml:space="preserve">PAID - Added mod 24, and resubmitted</t>
  </si>
  <si>
    <t xml:space="preserve">HF527805618</t>
  </si>
  <si>
    <t xml:space="preserve">(Appeal) Fax sent to 602-544-5601 by April - Incorrectly sent - 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t>
  </si>
  <si>
    <t xml:space="preserve">HF545581499</t>
  </si>
  <si>
    <t xml:space="preserve">93925 x1; 93923 x1</t>
  </si>
  <si>
    <t xml:space="preserve">93925, 93923</t>
  </si>
  <si>
    <t xml:space="preserve">HF556915332</t>
  </si>
  <si>
    <t xml:space="preserve">Added mods 79 and RT, and resubmitted</t>
  </si>
  <si>
    <t xml:space="preserve">27279 x1</t>
  </si>
  <si>
    <t xml:space="preserve">N525 - These services are not covered when performed within the global period of another service</t>
  </si>
  <si>
    <t xml:space="preserve">Jess sent MR throught fax</t>
  </si>
  <si>
    <t xml:space="preserve">Check BCBS Alabama portal once access is granted</t>
  </si>
  <si>
    <t xml:space="preserve">Claim not found - Resubmitted - Asked April to print</t>
  </si>
  <si>
    <t xml:space="preserve">HF400854650</t>
  </si>
  <si>
    <t xml:space="preserve">63685 x1; 63655 x1</t>
  </si>
  <si>
    <t xml:space="preserve">T85122D</t>
  </si>
  <si>
    <t xml:space="preserve">63685, 63655</t>
  </si>
  <si>
    <t xml:space="preserve">PAID - Jess uploaded MR</t>
  </si>
  <si>
    <t xml:space="preserve">HF329739318</t>
  </si>
  <si>
    <t xml:space="preserve">ASAP - Avondale</t>
  </si>
  <si>
    <t xml:space="preserve">PIQ-90804442</t>
  </si>
  <si>
    <t xml:space="preserve">HF559372689</t>
  </si>
  <si>
    <t xml:space="preserve">99484 x1</t>
  </si>
  <si>
    <t xml:space="preserve">Start chat on UHC portal to check the rendering provider status</t>
  </si>
  <si>
    <t xml:space="preserve">HF499093825</t>
  </si>
  <si>
    <t xml:space="preserve">Call ins to check provider status on DOS</t>
  </si>
  <si>
    <t xml:space="preserve">Confirm April mailed the printed claim</t>
  </si>
  <si>
    <t xml:space="preserve">Shifted charges to PT - ABN signed - Non-coverage - Policy Number: MP.009.35</t>
  </si>
  <si>
    <t xml:space="preserve">PR_204 - This service/equipment/drug is not covered under the patient's current benefit plan</t>
  </si>
  <si>
    <t xml:space="preserve">Expected to denied as it's not covered - Resubmitted to BCBS AZ - Group corrected to MAY001 for BCBSAZ (53589) per BCBSAZ portal. A0021 is Medica-side group only</t>
  </si>
  <si>
    <t xml:space="preserve">PAID - Uploaded MR - Action required on portal</t>
  </si>
  <si>
    <t xml:space="preserve">HF441046082</t>
  </si>
  <si>
    <t xml:space="preserve">PIQ-90437788</t>
  </si>
  <si>
    <t xml:space="preserve">Line with 20930 removed, and resubmitted</t>
  </si>
  <si>
    <t xml:space="preserve">HF342712719</t>
  </si>
  <si>
    <t xml:space="preserve">20930 x1; 22840+59 x1; 22840 x1</t>
  </si>
  <si>
    <t xml:space="preserve">22840</t>
  </si>
  <si>
    <t xml:space="preserve">M4692</t>
  </si>
  <si>
    <t xml:space="preserve">M4322</t>
  </si>
  <si>
    <t xml:space="preserve">20930, 22840</t>
  </si>
  <si>
    <t xml:space="preserve">76937+26 x1; 75774+26+XU x4; 36245+59 x4; 75710+26+XU+RT x1; 37242 x1</t>
  </si>
  <si>
    <t xml:space="preserve">PIQ-91109634</t>
  </si>
  <si>
    <t xml:space="preserve">37242 x1; 75774+XU x4; 36245+59 x4; 76937 x1; 75710+XU+LT x1</t>
  </si>
  <si>
    <t xml:space="preserve">37242, 76937</t>
  </si>
  <si>
    <t xml:space="preserve">37242, 75774, 76937, 75710</t>
  </si>
  <si>
    <t xml:space="preserve">Request ID 36638918</t>
  </si>
  <si>
    <t xml:space="preserve">HF482747140</t>
  </si>
  <si>
    <t xml:space="preserve">A6010+A2 x10</t>
  </si>
  <si>
    <t xml:space="preserve">N216 - We do not offer coverage for this type of service or the patient is not enrolled in this portion of our benefit package</t>
  </si>
  <si>
    <t xml:space="preserve">Bill Preferred Homecare (delegated vendor per denial)</t>
  </si>
  <si>
    <t xml:space="preserve">HF330403020</t>
  </si>
  <si>
    <t xml:space="preserve">PIQ-91193475</t>
  </si>
  <si>
    <t xml:space="preserve">Uploaded MR - Barcode OC2007391060002</t>
  </si>
  <si>
    <t xml:space="preserve">HF469884720</t>
  </si>
  <si>
    <t xml:space="preserve">L0637+NU x1</t>
  </si>
  <si>
    <t xml:space="preserve">Barcode OC2007391060002; Confirmation # 1000086071082</t>
  </si>
  <si>
    <t xml:space="preserve">HF544048268</t>
  </si>
  <si>
    <t xml:space="preserve">22612 x1</t>
  </si>
  <si>
    <t xml:space="preserve">M7138</t>
  </si>
  <si>
    <t xml:space="preserve">PIQ-91109484</t>
  </si>
  <si>
    <t xml:space="preserve">Claims Inquiry Message - #ICN#100015364807 has been sent</t>
  </si>
  <si>
    <t xml:space="preserve">PR_8 - The procedure code is inconsistent with the provider type/specialty (taxonomy)</t>
  </si>
  <si>
    <t xml:space="preserve">ICN 100015364807</t>
  </si>
  <si>
    <t xml:space="preserve">Follow up on claims inquiry ICN 100015364807</t>
  </si>
  <si>
    <t xml:space="preserve">HF562904021</t>
  </si>
  <si>
    <t xml:space="preserve">PAID - Dropped dx M54.16, and resubmitted</t>
  </si>
  <si>
    <t xml:space="preserve">HF547456904</t>
  </si>
  <si>
    <t xml:space="preserve">N314 - Missing/incomplete/invalid diagnosis date</t>
  </si>
  <si>
    <t xml:space="preserve">HF372182502</t>
  </si>
  <si>
    <t xml:space="preserve">G9009</t>
  </si>
  <si>
    <t xml:space="preserve">93970, 93925, 93923</t>
  </si>
  <si>
    <t xml:space="preserve">PIQ-90513385</t>
  </si>
  <si>
    <t xml:space="preserve">Follow up on PIQ-90513385 (MR review)</t>
  </si>
  <si>
    <t xml:space="preserve">HF560559288</t>
  </si>
  <si>
    <t xml:space="preserve">CURRIE, DAVID</t>
  </si>
  <si>
    <t xml:space="preserve">PIQ-91150157</t>
  </si>
  <si>
    <t xml:space="preserve">Deleted referring provider, and resubmitted - Rejected for invalid EDI. reasons 1. invalid id dataelement text (2), see entity type qualifier at position 2, nmi, nm1dn2insurancexx1356950653</t>
  </si>
  <si>
    <t xml:space="preserve">HF496850534</t>
  </si>
  <si>
    <t xml:space="preserve">Surest (A United Healthcare Company - Formerly BIND)</t>
  </si>
  <si>
    <t xml:space="preserve">M50222</t>
  </si>
  <si>
    <t xml:space="preserve">Filed Reconsideration Ticket Number: PIQ-91152640</t>
  </si>
  <si>
    <t xml:space="preserve">HF535371970</t>
  </si>
  <si>
    <t xml:space="preserve">63030+LT x1</t>
  </si>
  <si>
    <t xml:space="preserve">PIQ-91152640</t>
  </si>
  <si>
    <t xml:space="preserve">99492 paid on DOS 01/27/2026 - Resubmitted - Awaiting resolution on claim #556349314 (DOS 01/27/2026) before reprocessing</t>
  </si>
  <si>
    <t xml:space="preserve">Aetna termed date March 31, 2026</t>
  </si>
  <si>
    <t xml:space="preserve">HF539945835</t>
  </si>
  <si>
    <t xml:space="preserve">Call PT - Aetna termed 03/31/2026, get current coverage</t>
  </si>
  <si>
    <t xml:space="preserve">secondary - Possible OP</t>
  </si>
  <si>
    <t xml:space="preserve">HF475689954</t>
  </si>
  <si>
    <t xml:space="preserve">568648953</t>
  </si>
  <si>
    <t xml:space="preserve">Confirm whether secondary overpaid</t>
  </si>
  <si>
    <t xml:space="preserve">Uploaded MR - Barcode OC2007391060001</t>
  </si>
  <si>
    <t xml:space="preserve">HF330419338</t>
  </si>
  <si>
    <t xml:space="preserve">M47814</t>
  </si>
  <si>
    <t xml:space="preserve">Barcode OC2007391060001; Confirmation # 1000086072612</t>
  </si>
  <si>
    <t xml:space="preserve">PAID - Added plan # FEP 105, and resubmitted</t>
  </si>
  <si>
    <t xml:space="preserve">ASAP - Biltmore</t>
  </si>
  <si>
    <t xml:space="preserve">N245 - Incomplete/invalid plan information for other insurance</t>
  </si>
  <si>
    <t xml:space="preserve">Uploaded MR on portal - Jess uploaded MR</t>
  </si>
  <si>
    <t xml:space="preserve">HF498472279</t>
  </si>
  <si>
    <t xml:space="preserve">75774+26+XU x4; 36245+59 x4; 37242 x1; 75710+26+XU+RT x1; 76937+26 x1</t>
  </si>
  <si>
    <t xml:space="preserve">4, 1</t>
  </si>
  <si>
    <t xml:space="preserve">75774, 36245, 75710, 76937</t>
  </si>
  <si>
    <t xml:space="preserve">75774, 36245, 37242, 75710, 76937</t>
  </si>
  <si>
    <t xml:space="preserve">Request ID 36466407</t>
  </si>
  <si>
    <t xml:space="preserve">HF540421253</t>
  </si>
  <si>
    <t xml:space="preserve">76937 x1; 37242+LT x1; 36247+LT x1</t>
  </si>
  <si>
    <t xml:space="preserve">36247</t>
  </si>
  <si>
    <t xml:space="preserve">M722</t>
  </si>
  <si>
    <t xml:space="preserve">PIQ-91178548</t>
  </si>
  <si>
    <t xml:space="preserve">HF554188284</t>
  </si>
  <si>
    <t xml:space="preserve">Banner University Family Care / ACC (AHCCS Complete Care)</t>
  </si>
  <si>
    <t xml:space="preserve">93923 x1; 93925 x1; 93970 x1</t>
  </si>
  <si>
    <t xml:space="preserve">M79662</t>
  </si>
  <si>
    <t xml:space="preserve">93923, 93925, 93970</t>
  </si>
  <si>
    <t xml:space="preserve">Jess uploaded MR</t>
  </si>
  <si>
    <t xml:space="preserve">HF330426606</t>
  </si>
  <si>
    <t xml:space="preserve">TFierro30 rebill with auth</t>
  </si>
  <si>
    <t xml:space="preserve">HF510131965</t>
  </si>
  <si>
    <t xml:space="preserve">Secondary - Deleted duplicated PR line, and resubmitted - Rejected Duplicate Line Level COB Adjustment Reason Code (PR) not allowed within the same Service Line (1) Adjustment Group for Insurance sequence (1). X12 Info- 2430-CAS - Primary paid</t>
  </si>
  <si>
    <t xml:space="preserve">HF545433577</t>
  </si>
  <si>
    <t xml:space="preserve">Deleted referring provider, added ordering provider, and resubmitted - Referring Provider First and Last Name is invalid or missing</t>
  </si>
  <si>
    <t xml:space="preserve">HF521915818</t>
  </si>
  <si>
    <t xml:space="preserve">R1PRF - Invalid referral format</t>
  </si>
  <si>
    <t xml:space="preserve">Added referral #, and resubmitted</t>
  </si>
  <si>
    <t xml:space="preserve">HF557103622</t>
  </si>
  <si>
    <t xml:space="preserve">secondary - added COB info, and sent claim to print - Primary paid</t>
  </si>
  <si>
    <t xml:space="preserve">HF368912344</t>
  </si>
  <si>
    <t xml:space="preserve">CareGuard</t>
  </si>
  <si>
    <t xml:space="preserve">Payment approved - Submitted claim on portal only with dx M4802 - Added auth # OP5257461084 - Rejected due to Diagnosis pointer invalid</t>
  </si>
  <si>
    <t xml:space="preserve">HF495192860</t>
  </si>
  <si>
    <t xml:space="preserve">M50222, M50322</t>
  </si>
  <si>
    <t xml:space="preserve">Claim ID 852068025; Confirmation # 843932557; Auth # OP5257461084</t>
  </si>
  <si>
    <t xml:space="preserve">Confirm check is received and posted</t>
  </si>
  <si>
    <t xml:space="preserve">Edited mod NU+A2 this time, and resubmitted - Edited mod from A2 to KX, and resubmitted</t>
  </si>
  <si>
    <t xml:space="preserve">HF513154140</t>
  </si>
  <si>
    <t xml:space="preserve">MUE issue - CALL INS</t>
  </si>
  <si>
    <t xml:space="preserve">HF551547091</t>
  </si>
  <si>
    <t xml:space="preserve">Oscar Health</t>
  </si>
  <si>
    <t xml:space="preserve">OSCAR HEALTH</t>
  </si>
  <si>
    <t xml:space="preserve">Van Dyke, Sandra</t>
  </si>
  <si>
    <t xml:space="preserve">Call ins about the MUE denial</t>
  </si>
  <si>
    <t xml:space="preserve">PAID - Removed Dx M5116, and resubmitted - Dx M5116 and M5416 can't be billed together</t>
  </si>
  <si>
    <t xml:space="preserve">HF526296603</t>
  </si>
  <si>
    <t xml:space="preserve">ASAP Sun City</t>
  </si>
  <si>
    <t xml:space="preserve">HF512498576</t>
  </si>
  <si>
    <t xml:space="preserve">Mercy Care Health Plan Advantage (AHCCCS)</t>
  </si>
  <si>
    <t xml:space="preserve">64708 x1</t>
  </si>
  <si>
    <t xml:space="preserve">150 days</t>
  </si>
  <si>
    <t xml:space="preserve">MERCY CARE ADVANTAGE</t>
  </si>
  <si>
    <t xml:space="preserve">64708</t>
  </si>
  <si>
    <t xml:space="preserve">G542</t>
  </si>
  <si>
    <t xml:space="preserve">NYSTROM, NILS</t>
  </si>
  <si>
    <t xml:space="preserve">Resubmitted to primary - Medicare</t>
  </si>
  <si>
    <t xml:space="preserve">HF538936351</t>
  </si>
  <si>
    <t xml:space="preserve">Health Choice Arizona</t>
  </si>
  <si>
    <t xml:space="preserve">L0457+KX x1</t>
  </si>
  <si>
    <t xml:space="preserve">L0457</t>
  </si>
  <si>
    <t xml:space="preserve">MA04 - Secondary payment cannot be considered without the identity of or payment information from the primary payer. The information was either not reported or was illegible.</t>
  </si>
  <si>
    <t xml:space="preserve">Filed recon with Health Choice AZ for 75710/75774 - Op note attached</t>
  </si>
  <si>
    <t xml:space="preserve">HF495515510</t>
  </si>
  <si>
    <t xml:space="preserve">75710+XU+LT x1; 75774+XU x5</t>
  </si>
  <si>
    <t xml:space="preserve">HEALTH CHOICE MEDICAID</t>
  </si>
  <si>
    <t xml:space="preserve">75710, 75774</t>
  </si>
  <si>
    <t xml:space="preserve">CL41-CVCUN - National Correct Coding Initiative denial for Column I/Column II procedures</t>
  </si>
  <si>
    <t xml:space="preserve">Request ID 228223</t>
  </si>
  <si>
    <t xml:space="preserve">Resubmitted to primary on DOS BCBS</t>
  </si>
  <si>
    <t xml:space="preserve">HF347481536</t>
  </si>
  <si>
    <t xml:space="preserve">22853 x1; 22612 x1; 22840 x1</t>
  </si>
  <si>
    <t xml:space="preserve">Honor Health Deer Valley Medical Center</t>
  </si>
  <si>
    <t xml:space="preserve">Edited mods - Resubmitted with NU+A2</t>
  </si>
  <si>
    <t xml:space="preserve">HF541974005</t>
  </si>
  <si>
    <t xml:space="preserve">Secondary</t>
  </si>
  <si>
    <t xml:space="preserve">HF512527332</t>
  </si>
  <si>
    <t xml:space="preserve">99492 x1; 99494 x2</t>
  </si>
  <si>
    <t xml:space="preserve">Confirm secondary check is received and posted</t>
  </si>
  <si>
    <t xml:space="preserve">Resubmitted again - Aisha said peoria is active from jan 2026 - Reprocessing claim - Confirmation Number: 26119900211</t>
  </si>
  <si>
    <t xml:space="preserve">HF355458320</t>
  </si>
  <si>
    <t xml:space="preserve">Confirmation # 26119900211</t>
  </si>
  <si>
    <t xml:space="preserve">Secondary - Added COB info, and resubmitted ellectronically - claim not found - primary paid</t>
  </si>
  <si>
    <t xml:space="preserve">HF529978681</t>
  </si>
  <si>
    <t xml:space="preserve">F4322</t>
  </si>
  <si>
    <t xml:space="preserve">Resubmited to Humana - Active plan on Jan</t>
  </si>
  <si>
    <t xml:space="preserve">HF436968693</t>
  </si>
  <si>
    <t xml:space="preserve">CO_24 - Charges are covered under a capitation agreement/managed care plan</t>
  </si>
  <si>
    <t xml:space="preserve">OP - Secondary paid twice - 211.63 have to be returned to secondary</t>
  </si>
  <si>
    <t xml:space="preserve">HF532831698</t>
  </si>
  <si>
    <t xml:space="preserve">Bankers Life Colonial Penn Life</t>
  </si>
  <si>
    <t xml:space="preserve">36248+59 x3; 36245+59 x1; 75774+26+XU x5; 75710+26+XU+RT x1; 76937+26 x1; 36246+59+RT x1</t>
  </si>
  <si>
    <t xml:space="preserve">36248, 36245, 75774, 75710, 76937, 36246</t>
  </si>
  <si>
    <t xml:space="preserve">Return $211.63 overpayment to secondary</t>
  </si>
  <si>
    <t xml:space="preserve">Secondary - Added COB info, and resubmitted - claim not found - primary paid</t>
  </si>
  <si>
    <t xml:space="preserve">HF411566237</t>
  </si>
  <si>
    <t xml:space="preserve">Blue Cross Blue Shield of Arizona</t>
  </si>
  <si>
    <t xml:space="preserve">Reprocess claim</t>
  </si>
  <si>
    <t xml:space="preserve">HF411712712</t>
  </si>
  <si>
    <t xml:space="preserve">CCN 26084823876002</t>
  </si>
  <si>
    <t xml:space="preserve">Check reprocessing status of CCN 26084823876002</t>
  </si>
  <si>
    <t xml:space="preserve">HF460854286</t>
  </si>
  <si>
    <t xml:space="preserve">75710+26+XU+LT x1; 76937+26 x1; 75774+26+XU x4; 36245+59 x1; 36248+59 x3</t>
  </si>
  <si>
    <t xml:space="preserve">UHC DUAL COMPLETE</t>
  </si>
  <si>
    <t xml:space="preserve">75710, 76937, 75774, 36245, 36248</t>
  </si>
  <si>
    <t xml:space="preserve">PIQ-83274799</t>
  </si>
  <si>
    <t xml:space="preserve">secondary - Primary paid - Edited referring provider, and resubmitted</t>
  </si>
  <si>
    <t xml:space="preserve">HF544172142</t>
  </si>
  <si>
    <t xml:space="preserve">M79672</t>
  </si>
  <si>
    <t xml:space="preserve">Z8781</t>
  </si>
  <si>
    <t xml:space="preserve">Corrected units from 3 to 2 on portal - Confirmation Number: 4726236494120 - 76937 Medicare MUE is 2 per DOS</t>
  </si>
  <si>
    <t xml:space="preserve">HF538917701</t>
  </si>
  <si>
    <t xml:space="preserve">76937+26 x3</t>
  </si>
  <si>
    <t xml:space="preserve">26</t>
  </si>
  <si>
    <t xml:space="preserve">3</t>
  </si>
  <si>
    <t xml:space="preserve">Confirmation # 4726236494120</t>
  </si>
  <si>
    <t xml:space="preserve">Correct the secondary claim once Medicare pays</t>
  </si>
  <si>
    <t xml:space="preserve">secondary - primary paid</t>
  </si>
  <si>
    <t xml:space="preserve">HF540630932</t>
  </si>
  <si>
    <t xml:space="preserve">Cross over to secondary once primary payment is posted</t>
  </si>
  <si>
    <t xml:space="preserve">HF467995431</t>
  </si>
  <si>
    <t xml:space="preserve">I872, I70213</t>
  </si>
  <si>
    <t xml:space="preserve">secondary - Added primary claim ID and submitted electronically - Medicare paid as primary - Resubmitted to Medicare</t>
  </si>
  <si>
    <t xml:space="preserve">HF548452117</t>
  </si>
  <si>
    <t xml:space="preserve">G9050</t>
  </si>
  <si>
    <t xml:space="preserve">HF497918792</t>
  </si>
  <si>
    <t xml:space="preserve">Cross over to secondary</t>
  </si>
  <si>
    <t xml:space="preserve">75774+26+XU x5; 75710+26+XU+RT x1; 36245+59 x1</t>
  </si>
  <si>
    <t xml:space="preserve">5, 1</t>
  </si>
  <si>
    <t xml:space="preserve">75774, 75710, 36245</t>
  </si>
  <si>
    <t xml:space="preserve">PIQ-83275318</t>
  </si>
  <si>
    <t xml:space="preserve">HF497596195</t>
  </si>
  <si>
    <t xml:space="preserve">secondary - Added primary claim ID and submitted electronically</t>
  </si>
  <si>
    <t xml:space="preserve">HF444976688</t>
  </si>
  <si>
    <t xml:space="preserve">Gilbert - jurisdiction issue</t>
  </si>
  <si>
    <t xml:space="preserve">HF498304433</t>
  </si>
  <si>
    <t xml:space="preserve">DME Region C</t>
  </si>
  <si>
    <t xml:space="preserve">Advanced Spine and Pain LLC DME GIL</t>
  </si>
  <si>
    <t xml:space="preserve">Advanced Spine and Pain LLC DME - Gilbert</t>
  </si>
  <si>
    <t xml:space="preserve">Resolve DME jurisdiction issue (Gilbert)</t>
  </si>
  <si>
    <t xml:space="preserve">Added service line with 63030 - Split bilateral service with mod RT and LT, and resubmitted</t>
  </si>
  <si>
    <t xml:space="preserve">HF544045379</t>
  </si>
  <si>
    <t xml:space="preserve">Mutual of Omaha Medicare Advantage OFAP</t>
  </si>
  <si>
    <t xml:space="preserve">63030+LT x1; 63047 x1; 63030+RT x1</t>
  </si>
  <si>
    <t xml:space="preserve">LT, RT</t>
  </si>
  <si>
    <t xml:space="preserve">63030, 63047</t>
  </si>
  <si>
    <t xml:space="preserve">CO_236 - Procedure or procedure/modifier combination not compatible with another procedure on the same day (NCCI)</t>
  </si>
  <si>
    <t xml:space="preserve">Corrected auth #, and resubmitted - UTN # required</t>
  </si>
  <si>
    <t xml:space="preserve">HF339893207</t>
  </si>
  <si>
    <t xml:space="preserve">63655 x1</t>
  </si>
  <si>
    <t xml:space="preserve">Claim sent back for reprocessing - Confirmation Number: 4726257491890 - Rendering provider MCCUNNIFF</t>
  </si>
  <si>
    <t xml:space="preserve">HF538467882</t>
  </si>
  <si>
    <t xml:space="preserve">Confirmation # 4726257491890</t>
  </si>
  <si>
    <t xml:space="preserve">Corrected ordering/referring provider, and resubmitted</t>
  </si>
  <si>
    <t xml:space="preserve">I8312</t>
  </si>
  <si>
    <t xml:space="preserve">secondary - Primary paid - Updated Supplemental insurance info, and resubmitted</t>
  </si>
  <si>
    <t xml:space="preserve">HF550420682</t>
  </si>
  <si>
    <t xml:space="preserve">Payment approved - DX updated new one M54.16 resubmitted by Felipe</t>
  </si>
  <si>
    <t xml:space="preserve">HF455478612</t>
  </si>
  <si>
    <t xml:space="preserve">G609</t>
  </si>
  <si>
    <t xml:space="preserve">G5783</t>
  </si>
  <si>
    <t xml:space="preserve">Claim sent back for reprocessing - Confirmation Number: 4726257492330 - Rendering provider MCCUNNIFF</t>
  </si>
  <si>
    <t xml:space="preserve">HF538308641</t>
  </si>
  <si>
    <t xml:space="preserve">63047+XS x1; 63048 x1; 22612 x1</t>
  </si>
  <si>
    <t xml:space="preserve">M5416, M4317</t>
  </si>
  <si>
    <t xml:space="preserve">M48062, M4807</t>
  </si>
  <si>
    <t xml:space="preserve">Confirmation # 4726257492330</t>
  </si>
  <si>
    <t xml:space="preserve">Added UTN, and resubmitted</t>
  </si>
  <si>
    <t xml:space="preserve">HF473973377</t>
  </si>
  <si>
    <t xml:space="preserve">L0650+KX x1</t>
  </si>
  <si>
    <t xml:space="preserve">secondary - Added COB info to crossover electronically - Primary paid</t>
  </si>
  <si>
    <t xml:space="preserve">HF425603516</t>
  </si>
  <si>
    <t xml:space="preserve">ChampVA - HAC</t>
  </si>
  <si>
    <t xml:space="preserve">Added COB info, and resubmitted - secondary denied payment due to timely filing - Primary paid - Edited rendering and referral provider, and resubmitted - Invalid rendering provider NPIInvalid rendering provider NPI</t>
  </si>
  <si>
    <t xml:space="preserve">secondary - Medicare didn't crossover to Mercy Care - Transmit electronically - Primary paid</t>
  </si>
  <si>
    <t xml:space="preserve">HF329719904</t>
  </si>
  <si>
    <t xml:space="preserve">HF539238719</t>
  </si>
  <si>
    <t xml:space="preserve">Resubmitted to Banner - Expected to be denied due to timely filing</t>
  </si>
  <si>
    <t xml:space="preserve">HF550289743</t>
  </si>
  <si>
    <t xml:space="preserve">HF553586044</t>
  </si>
  <si>
    <t xml:space="preserve">I4891</t>
  </si>
  <si>
    <t xml:space="preserve">PAID - Resubmitted to Humana - HCO/HMO listed Humana</t>
  </si>
  <si>
    <t xml:space="preserve">HF534535040</t>
  </si>
  <si>
    <t xml:space="preserve">Filed appeal with MR on portal - Confirmation Number: 148586224 - L1851 requires auth, and we didn't get one</t>
  </si>
  <si>
    <t xml:space="preserve">HF543718565</t>
  </si>
  <si>
    <t xml:space="preserve">G5781</t>
  </si>
  <si>
    <t xml:space="preserve">Confirmation # 148586224</t>
  </si>
  <si>
    <t xml:space="preserve">Filed new authorization on zyter # OPIXSO0914152025 - Authorization OPSQQU0402203650 was approved for 63655, but only from 06/30/2026 to 07/01/2026</t>
  </si>
  <si>
    <t xml:space="preserve">Zyter auth request # OPIXSO0914152025; Auth # OPSQQU0402203650</t>
  </si>
  <si>
    <t xml:space="preserve">secondary - Primary paid - Filed authorization on zyter - Details Overview - OPFOEY0914142230 - No auth request found for 63655</t>
  </si>
  <si>
    <t xml:space="preserve">HF331440491</t>
  </si>
  <si>
    <t xml:space="preserve">Physicians Mutual Insurance Company - ENS</t>
  </si>
  <si>
    <t xml:space="preserve">Zyter auth request # OPFOEY0914142230</t>
  </si>
  <si>
    <t xml:space="preserve">HF342287357</t>
  </si>
  <si>
    <t xml:space="preserve">93925 x1; 93970 x1; 93923 x1</t>
  </si>
  <si>
    <t xml:space="preserve">93925, 93970, 93923</t>
  </si>
  <si>
    <t xml:space="preserve">N575 - Mismatch between the submitted ordering/referring provider name and the name stored in our records</t>
  </si>
  <si>
    <t xml:space="preserve">HF509774874</t>
  </si>
  <si>
    <t xml:space="preserve">Continental Benefits</t>
  </si>
  <si>
    <t xml:space="preserve">HF456620712</t>
  </si>
  <si>
    <t xml:space="preserve">37242 x1; 36246+59+RT x1; 36245+59 x1; 36248+59 x1; 75710+26+XU+RT x1; 75774+26+XU x3; 76937+26 x1</t>
  </si>
  <si>
    <t xml:space="preserve">37242, 36245, 76937</t>
  </si>
  <si>
    <t xml:space="preserve">37242, 36246, 36245, 36248, 75710, 75774, 76937</t>
  </si>
  <si>
    <t xml:space="preserve">PIQ-90772350</t>
  </si>
  <si>
    <t xml:space="preserve">Resubmitted to Medicare Part B - Resubmitted to Region B - PT state on portal: WI</t>
  </si>
  <si>
    <t xml:space="preserve">HF465696073</t>
  </si>
  <si>
    <t xml:space="preserve">N104 - This claim/service is not payable under our claims jurisdiction area</t>
  </si>
  <si>
    <t xml:space="preserve">Filed new authorization on zyter # OPVWYI0914150455 - Authorization OPDCEJ0408161241 was approved for 63655, but only from 04/08/2026 to 04/09/2026</t>
  </si>
  <si>
    <t xml:space="preserve">HF470696196</t>
  </si>
  <si>
    <t xml:space="preserve">Zyter auth request # OPVWYI0914150455; Auth # OPDCEJ0408161241</t>
  </si>
  <si>
    <t xml:space="preserve">PAID - Primary paid - Deanne removed RT mod, and resubmitted</t>
  </si>
  <si>
    <t xml:space="preserve">HF546095290</t>
  </si>
  <si>
    <t xml:space="preserve">63047+RT x1</t>
  </si>
  <si>
    <t xml:space="preserve">secondary - Edited COB info, and resubmitted - Primary paid</t>
  </si>
  <si>
    <t xml:space="preserve">MBI updated - Resubmitted</t>
  </si>
  <si>
    <t xml:space="preserve">HF342328217</t>
  </si>
  <si>
    <t xml:space="preserve">Unicare Life and Health Insurance (Anthem)</t>
  </si>
  <si>
    <t xml:space="preserve">secondary - crossover to secondary - primary paid</t>
  </si>
  <si>
    <t xml:space="preserve">HF555347656</t>
  </si>
  <si>
    <t xml:space="preserve">secondary - Sent on 06/08/2026 - None of the secon claims are paid - Primary paid</t>
  </si>
  <si>
    <t xml:space="preserve">HF505008638</t>
  </si>
  <si>
    <t xml:space="preserve">ILWU PMA COASTWISE</t>
  </si>
  <si>
    <t xml:space="preserve">Medicare Railroad (RR Medicare MetraHealth) 00882</t>
  </si>
  <si>
    <t xml:space="preserve">HF465024111</t>
  </si>
  <si>
    <t xml:space="preserve">G2581</t>
  </si>
  <si>
    <t xml:space="preserve">MBI updated on chart, and resubmitted</t>
  </si>
  <si>
    <t xml:space="preserve">HF330326072</t>
  </si>
  <si>
    <t xml:space="preserve">M9963</t>
  </si>
  <si>
    <t xml:space="preserve">HF552793919</t>
  </si>
  <si>
    <t xml:space="preserve">Aetna Senior Supplemental (AESSI) - Secondary Only 62118</t>
  </si>
  <si>
    <t xml:space="preserve">93880 x1; 93923 x1; 93970 x1</t>
  </si>
  <si>
    <t xml:space="preserve">93880</t>
  </si>
  <si>
    <t xml:space="preserve">I7110</t>
  </si>
  <si>
    <t xml:space="preserve">93880, 93923, 93970</t>
  </si>
  <si>
    <t xml:space="preserve">HF549224659</t>
  </si>
  <si>
    <t xml:space="preserve">PAID - Corrected ordering/referring provider, and resubmitted</t>
  </si>
  <si>
    <t xml:space="preserve">HF509011086</t>
  </si>
  <si>
    <t xml:space="preserve">93923, 93970</t>
  </si>
  <si>
    <t xml:space="preserve">Secondary - Added rendering NPI 1518261023 to box 24j, cob info, and resubmitted</t>
  </si>
  <si>
    <t xml:space="preserve">HF454494056</t>
  </si>
  <si>
    <t xml:space="preserve">PAID - Deanne removed mod, and resubmitted</t>
  </si>
  <si>
    <t xml:space="preserve">HF499790971</t>
  </si>
  <si>
    <t xml:space="preserve">63047+LT x1</t>
  </si>
  <si>
    <t xml:space="preserve">PAID - MBI updated on chart, and resubmitted - MBI End Date 04/14/2026</t>
  </si>
  <si>
    <t xml:space="preserve">HF480155713</t>
  </si>
  <si>
    <t xml:space="preserve">N382 - Missing/incomplete/invalid patient identifier</t>
  </si>
  <si>
    <t xml:space="preserve">secondary - Added adjustments and resubmitted to secondary due to rejection  - Primary paid - CPT 63663 Resubmitted with 1Unit instead of 2 BY Tina - denied due to frequency issue - MBI updated on chart, and resubmitted</t>
  </si>
  <si>
    <t xml:space="preserve">T85123D</t>
  </si>
  <si>
    <t xml:space="preserve">Z9682</t>
  </si>
  <si>
    <t xml:space="preserve">Check the claim didn’t bounce again </t>
  </si>
  <si>
    <t xml:space="preserve">HF552240602</t>
  </si>
  <si>
    <t xml:space="preserve">Mesa - MBI updated on chart, and resubmitted - MBI End Date 04/14/2026</t>
  </si>
  <si>
    <t xml:space="preserve">HF551706140</t>
  </si>
  <si>
    <t xml:space="preserve">Advanced Spine and Pain LLC DME MSA</t>
  </si>
  <si>
    <t xml:space="preserve">Advanced Spine and Pain LLC DME - Mesa</t>
  </si>
  <si>
    <t xml:space="preserve">HF449199201</t>
  </si>
  <si>
    <t xml:space="preserve">Surprise Reems</t>
  </si>
  <si>
    <t xml:space="preserve">HF557330085</t>
  </si>
  <si>
    <t xml:space="preserve">M4312</t>
  </si>
  <si>
    <t xml:space="preserve">secondary - MBI updated on chart, and resubmitted - MBI End Date 04/14/2026</t>
  </si>
  <si>
    <t xml:space="preserve">HF514978991</t>
  </si>
  <si>
    <t xml:space="preserve">Gilbert - MBI updated on chart, and resubmitted - MBI End Date 04/14/2026</t>
  </si>
  <si>
    <t xml:space="preserve">HF418448812</t>
  </si>
  <si>
    <t xml:space="preserve">M4306</t>
  </si>
  <si>
    <t xml:space="preserve">PAID - MBI typo corrected, and resubmitted</t>
  </si>
  <si>
    <t xml:space="preserve">HF555898882</t>
  </si>
  <si>
    <t xml:space="preserve">36246+59+LT x1; 37242 x1; 36245+59 x1; 76937+26 x1; 75710+26+XU+LT x1; 36248+59 x3; 75774+26+XU x5</t>
  </si>
  <si>
    <t xml:space="preserve">LT, XU</t>
  </si>
  <si>
    <t xml:space="preserve">36246, 37242, 36245, 76937, 75710, 36248, 75774</t>
  </si>
  <si>
    <t xml:space="preserve">Filed appeal for 63685 - Confirmation Number: 2686931212 - TAT 60 days - Filed auth on Zyter - No auth found</t>
  </si>
  <si>
    <t xml:space="preserve">HF535853050</t>
  </si>
  <si>
    <t xml:space="preserve">Confirmation # 2686931212; Auth # OPRJYT0825190856; Auth # QPBUGF0822223530</t>
  </si>
  <si>
    <t xml:space="preserve">PAID - Corrected service line 1 on portal, used CPT code 93970 instead of 93923, and reopened claim - Confirmation Number: 4726237493100 - We billed 93923 on 2 separate service lines and missed 93970</t>
  </si>
  <si>
    <t xml:space="preserve">HF469070076</t>
  </si>
  <si>
    <t xml:space="preserve">Confirmation # 4726237493100</t>
  </si>
  <si>
    <t xml:space="preserve">HF441452642</t>
  </si>
  <si>
    <t xml:space="preserve">Added mod 79 on portal, and reopened claim - Confirmation Number: 4726237491810</t>
  </si>
  <si>
    <t xml:space="preserve">HF488150554</t>
  </si>
  <si>
    <t xml:space="preserve">27279+RT x1</t>
  </si>
  <si>
    <t xml:space="preserve">Confirmation # 4726237491810</t>
  </si>
  <si>
    <t xml:space="preserve">Greenway - Billed to PT - ABN signed - Void claim 569311834 request as per Medicare recoup - Home Health Scottsdale is the delegated DME vendor on DOS</t>
  </si>
  <si>
    <t xml:space="preserve">Confirm void of claim 569311834 (Medicare recoup)</t>
  </si>
  <si>
    <t xml:space="preserve">HF537014260</t>
  </si>
  <si>
    <t xml:space="preserve">HF406148821</t>
  </si>
  <si>
    <t xml:space="preserve">HF495874808</t>
  </si>
  <si>
    <t xml:space="preserve">75774+26+XU x5; 36246+59+LT x1; 37242 x1; 36248+59 x3; 75710+26+XU+LT x1; 36245+59 x1; 76937+26 x1</t>
  </si>
  <si>
    <t xml:space="preserve">5, 1, 3</t>
  </si>
  <si>
    <t xml:space="preserve">75774, 36246, 37242, 36248, 75710, 36245, 76937</t>
  </si>
  <si>
    <t xml:space="preserve">PAID - Edited referring provider, and resubmitted</t>
  </si>
  <si>
    <t xml:space="preserve">HF330285753</t>
  </si>
  <si>
    <t xml:space="preserve">MediCo Insurance Company</t>
  </si>
  <si>
    <t xml:space="preserve">PAID - Edited referring and ordering providers, and resubmitted</t>
  </si>
  <si>
    <t xml:space="preserve">HF558055336</t>
  </si>
  <si>
    <t xml:space="preserve">PAID - Surprise Reems</t>
  </si>
  <si>
    <t xml:space="preserve">HF555483131</t>
  </si>
  <si>
    <t xml:space="preserve">HF494117278</t>
  </si>
  <si>
    <t xml:space="preserve">Peoria - Added the only knee dx on order encounter notes M25562, and resubmitted</t>
  </si>
  <si>
    <t xml:space="preserve">HF423871454</t>
  </si>
  <si>
    <t xml:space="preserve">ACE MEDICARE SUPPLEMENTAL</t>
  </si>
  <si>
    <t xml:space="preserve">L1843+KX+LT x1</t>
  </si>
  <si>
    <t xml:space="preserve">L1843</t>
  </si>
  <si>
    <t xml:space="preserve">M19072</t>
  </si>
  <si>
    <t xml:space="preserve">M2012</t>
  </si>
  <si>
    <t xml:space="preserve">If denied again for missing auth, request auth</t>
  </si>
  <si>
    <t xml:space="preserve">secondary - Added Medicare ICN, and crossover electronically</t>
  </si>
  <si>
    <t xml:space="preserve">75774+26+XU x3; 76937+26 x1; 36248+59 x1; 37242 x1; 36245+59 x1; 36246+59+LT x1; 75710+26+XU+LT x1</t>
  </si>
  <si>
    <t xml:space="preserve">PIQ-92452517</t>
  </si>
  <si>
    <t xml:space="preserve">MBI updated on chart, and resubmitted by QRobertson30</t>
  </si>
  <si>
    <t xml:space="preserve">HF531871840</t>
  </si>
  <si>
    <t xml:space="preserve">MBI updated on chart, and resubmitted - Missing/incomplete/invalid patient identifier</t>
  </si>
  <si>
    <t xml:space="preserve">HF441949223</t>
  </si>
  <si>
    <t xml:space="preserve">R2240</t>
  </si>
  <si>
    <t xml:space="preserve">Payment pending pending posting</t>
  </si>
  <si>
    <t xml:space="preserve">HF446078490</t>
  </si>
  <si>
    <t xml:space="preserve">Aetna Life &amp; Casualty Company</t>
  </si>
  <si>
    <t xml:space="preserve">HF545128862</t>
  </si>
  <si>
    <t xml:space="preserve">CSI Life Medicare Supplement</t>
  </si>
  <si>
    <t xml:space="preserve">L3916+KX+RT x1</t>
  </si>
  <si>
    <t xml:space="preserve">G5601</t>
  </si>
  <si>
    <t xml:space="preserve">HF428858741</t>
  </si>
  <si>
    <t xml:space="preserve">L1851+KX+LT x1; L1851+KX+RT x1</t>
  </si>
  <si>
    <t xml:space="preserve">M1712, M1711</t>
  </si>
  <si>
    <t xml:space="preserve">L1851x2</t>
  </si>
  <si>
    <t xml:space="preserve">Call PT to get MBI</t>
  </si>
  <si>
    <t xml:space="preserve">secondary - Resubmitted with Medicare COB claim info - It seems secondary payment was recoup due to duplicate error</t>
  </si>
  <si>
    <t xml:space="preserve">HF340120024</t>
  </si>
  <si>
    <t xml:space="preserve">Advanced Spine and Pain LLC DME GYR</t>
  </si>
  <si>
    <t xml:space="preserve">Advanced Spine and Pain LLC DME - Goodyear</t>
  </si>
  <si>
    <t xml:space="preserve">N257 - Missing/incomplete/invalid billing provider/supplier primary identifier</t>
  </si>
  <si>
    <t xml:space="preserve">HF348110860</t>
  </si>
  <si>
    <t xml:space="preserve">F418</t>
  </si>
  <si>
    <t xml:space="preserve">HF479558457</t>
  </si>
  <si>
    <t xml:space="preserve">HF329358524</t>
  </si>
  <si>
    <t xml:space="preserve">Added UTN for 63655 approval, and resubmitted</t>
  </si>
  <si>
    <t xml:space="preserve">HF548056702</t>
  </si>
  <si>
    <t xml:space="preserve">Removed referring provider, and resubmitted</t>
  </si>
  <si>
    <t xml:space="preserve">HF559660036</t>
  </si>
  <si>
    <t xml:space="preserve">G549</t>
  </si>
  <si>
    <t xml:space="preserve">I83811</t>
  </si>
  <si>
    <t xml:space="preserve">HF336577433</t>
  </si>
  <si>
    <t xml:space="preserve">HF559203629</t>
  </si>
  <si>
    <t xml:space="preserve">L0456+KX x1</t>
  </si>
  <si>
    <t xml:space="preserve">L0456</t>
  </si>
  <si>
    <t xml:space="preserve">not sure if crossover went through - now we only have a rejection on file</t>
  </si>
  <si>
    <t xml:space="preserve">HF511435057</t>
  </si>
  <si>
    <t xml:space="preserve">Check Tricare for Life once the account is active - confirm the crossover went through</t>
  </si>
  <si>
    <t xml:space="preserve">HF334376585</t>
  </si>
  <si>
    <t xml:space="preserve">Health Net of Arizona, California, Oregon &amp; Washington - All Plans</t>
  </si>
  <si>
    <t xml:space="preserve">Get the new MBI</t>
  </si>
  <si>
    <t xml:space="preserve">Edited billing provider, added COB claim info, and resubmitted</t>
  </si>
  <si>
    <t xml:space="preserve">CO_B7 - This provider was not certified/eligible to be paid for this procedure/service on this date of service; N665 - Services by an unlicensed provider are not reimbursable</t>
  </si>
  <si>
    <t xml:space="preserve">Filed appeal for 75774 - Confirmation Number: 2718022455 - TAT 60 days</t>
  </si>
  <si>
    <t xml:space="preserve">HF562630958</t>
  </si>
  <si>
    <t xml:space="preserve">USAA Life Insurance Company</t>
  </si>
  <si>
    <t xml:space="preserve">36247+59+RT x1; 76937+26 x1; 37242 x1; 75710+26+XU+RT x1; 36248+59 x4; 75774+26+XU x5</t>
  </si>
  <si>
    <t xml:space="preserve">1, 4, 5</t>
  </si>
  <si>
    <t xml:space="preserve">CO_109 - Claim/service not covered by this payer/contractor - send to the correct payer/contractor</t>
  </si>
  <si>
    <t xml:space="preserve">36247, 76937, 37242, 36245, 75710, 36248, 99152</t>
  </si>
  <si>
    <t xml:space="preserve">Confirmation Number: 2718022455</t>
  </si>
  <si>
    <t xml:space="preserve">HF539993491</t>
  </si>
  <si>
    <t xml:space="preserve">G8918</t>
  </si>
  <si>
    <t xml:space="preserve">M62830</t>
  </si>
  <si>
    <t xml:space="preserve">Sent mailed auth appeal request to PO Box 64 Huntingdon Valley, PA 19006 - Auth # 20260114-002504 Denied</t>
  </si>
  <si>
    <t xml:space="preserve">22853 x1</t>
  </si>
  <si>
    <t xml:space="preserve">M21371</t>
  </si>
  <si>
    <t xml:space="preserve">Auth # 20260114-002504</t>
  </si>
  <si>
    <t xml:space="preserve">PAID - Checking tax code on UMR records - I'm expecting a response by email</t>
  </si>
  <si>
    <t xml:space="preserve">HF362284092</t>
  </si>
  <si>
    <t xml:space="preserve">75710+XU+LT x1; 75774+XU x5; 36245+59 x1; 36248+59 x3; 37242 x1; 36246+59+LT x1; 76937 x1</t>
  </si>
  <si>
    <t xml:space="preserve">75710, 75774, 36245, 36248, 37242, 36246, 76937</t>
  </si>
  <si>
    <t xml:space="preserve">N665 - Services by an unlicensed provider are not reimbursable</t>
  </si>
  <si>
    <t xml:space="preserve">Ref # 198616768</t>
  </si>
  <si>
    <t xml:space="preserve">HF522250673</t>
  </si>
  <si>
    <t xml:space="preserve">75710+26+XU+LT x1; 75774+26+XU x4; 36246+59+LT x1; 37242 x1; 36245+59 x1; 76937+26 x1; 36248+59 x1</t>
  </si>
  <si>
    <t xml:space="preserve">75710, 75774, 36246, 37242, 36245, 76937, 36248</t>
  </si>
  <si>
    <t xml:space="preserve">Rep Keran - Escalate claim - Call ref # REQ0679770 - TAT 30 days</t>
  </si>
  <si>
    <t xml:space="preserve">HF548333203</t>
  </si>
  <si>
    <t xml:space="preserve">M4326</t>
  </si>
  <si>
    <t xml:space="preserve">Call ref # REQ0679770</t>
  </si>
  <si>
    <t xml:space="preserve">Rep Keran - Charges issue under review - Call ref # REQ0679770 - on claim 553079628</t>
  </si>
  <si>
    <t xml:space="preserve">HF538908740</t>
  </si>
  <si>
    <t xml:space="preserve">HF403746522</t>
  </si>
  <si>
    <t xml:space="preserve">Resubmitted to OCN01- Address provided by rep belongs to HealthCare Partners and they are now part of Optum Care Network - Alignment Rep Puja S said claims should be mail to PO Box 6099, Torrance, CA 90504 - Rejected with error MEMBER NOT FOUND. X12 INFO- 2010BA-NM1 - Resubmitted to Optum</t>
  </si>
  <si>
    <t xml:space="preserve">HF548715732</t>
  </si>
  <si>
    <t xml:space="preserve">Contacted payer; Resubmitted</t>
  </si>
  <si>
    <t xml:space="preserve">Call ref # 0800645</t>
  </si>
  <si>
    <t xml:space="preserve">Resubmitted with payer ID OCN01 - Address provided by rep belongs to HealthCare Partners and they are now part of Optum Care Network - Alignment Rep Puja S said claims should be mail to Optum PO Box 6099, Torrance, CA 90504 - Resubmitted to Optum</t>
  </si>
  <si>
    <t xml:space="preserve">HF543849258</t>
  </si>
  <si>
    <t xml:space="preserve">Resubmitted with payer ID OCN01 - Address provided by rep belongs to HealthCare Partners and they are now part of Optum Care Network - Alignment Rep Puja S said claims should be mail to Optum PO Box 6099, Torrance, CA 90504 - Rejected with error MEMBER NOT FOUND. X12 INFO- 2010BA-NM1 - Resubmitted to Optum</t>
  </si>
  <si>
    <t xml:space="preserve">HF516521878</t>
  </si>
  <si>
    <t xml:space="preserve">HF387513216</t>
  </si>
  <si>
    <t xml:space="preserve">secondary - Adjusted allowed amount as per secondary EOB</t>
  </si>
  <si>
    <t xml:space="preserve">HF547777590</t>
  </si>
  <si>
    <t xml:space="preserve">Banner University Care Dual Advantage Plan</t>
  </si>
  <si>
    <t xml:space="preserve">Sent MR through the Message Center on portal - No MR received - Uploaded MR on pch portal - AA0019803260980101003 - MR was requested</t>
  </si>
  <si>
    <t xml:space="preserve">75774+XU x5; 76937 x1; 37242 x1; 36245+59 x1; 75710+XU+RT x1; 36246+59+RT x1; 36248+59 x3</t>
  </si>
  <si>
    <t xml:space="preserve">PCH portal # AA0019803260980101003</t>
  </si>
  <si>
    <t xml:space="preserve">22853+58 x1; 22853+58+59 x1</t>
  </si>
  <si>
    <t xml:space="preserve">Resubmitted by TFierro30 with MR - Uploaded MR on portal</t>
  </si>
  <si>
    <t xml:space="preserve">HF396771694</t>
  </si>
  <si>
    <t xml:space="preserve">63655+53 x1</t>
  </si>
  <si>
    <t xml:space="preserve">53</t>
  </si>
  <si>
    <t xml:space="preserve">trying to get access to EOB with imperial</t>
  </si>
  <si>
    <t xml:space="preserve">HF488600206</t>
  </si>
  <si>
    <t xml:space="preserve">Imperial Insurance Companies Inc Exchange AZ (IEXAZ) (WAYSTAR ONLY)</t>
  </si>
  <si>
    <t xml:space="preserve">63030+50 x1; 64708 x1</t>
  </si>
  <si>
    <t xml:space="preserve">50</t>
  </si>
  <si>
    <t xml:space="preserve">Get EOB access with Imperial</t>
  </si>
  <si>
    <t xml:space="preserve">HF511715901</t>
  </si>
  <si>
    <t xml:space="preserve">HF546044961</t>
  </si>
  <si>
    <t xml:space="preserve">AFSAT MEDICAL PLAN</t>
  </si>
  <si>
    <t xml:space="preserve">HF550464457</t>
  </si>
  <si>
    <t xml:space="preserve">HF526933634</t>
  </si>
  <si>
    <t xml:space="preserve">Uploaded MR - Transaction Submission Confirmation Case ID# 18150</t>
  </si>
  <si>
    <t xml:space="preserve">HF449340318</t>
  </si>
  <si>
    <t xml:space="preserve">HF551860180</t>
  </si>
  <si>
    <t xml:space="preserve">HF509754338</t>
  </si>
  <si>
    <t xml:space="preserve">HF396841556</t>
  </si>
  <si>
    <t xml:space="preserve">76937+26 x1; 36248+59 x2; 36245+59 x1; 75710+26+XU+RT x1; 75774+26+XU x4; 36246+59+RT x1; 37242 x1</t>
  </si>
  <si>
    <t xml:space="preserve">1, 2, 4</t>
  </si>
  <si>
    <t xml:space="preserve">Resubmitted 99484 with no modifier</t>
  </si>
  <si>
    <t xml:space="preserve">HF542472046</t>
  </si>
  <si>
    <t xml:space="preserve">99484+25 x1</t>
  </si>
  <si>
    <t xml:space="preserve">R6884</t>
  </si>
  <si>
    <t xml:space="preserve">M25551</t>
  </si>
  <si>
    <t xml:space="preserve">M25552</t>
  </si>
  <si>
    <t xml:space="preserve">G5771</t>
  </si>
  <si>
    <t xml:space="preserve">N519 - Invalid combination of HCPCS modifiers</t>
  </si>
  <si>
    <t xml:space="preserve">They denied saying they are secondary</t>
  </si>
  <si>
    <t xml:space="preserve">HF557340272</t>
  </si>
  <si>
    <t xml:space="preserve">Confirm COB once portal access is granted (payer says it is secondary)</t>
  </si>
  <si>
    <t xml:space="preserve">Rep Arvin-CFR replied - MR under review - Document review # 208075035 - TAT 30 days - Sent MR through the Message Center on portal</t>
  </si>
  <si>
    <t xml:space="preserve">Document review # 208075035</t>
  </si>
  <si>
    <t xml:space="preserve">HF493646829</t>
  </si>
  <si>
    <t xml:space="preserve">M4727</t>
  </si>
  <si>
    <t xml:space="preserve">M51369</t>
  </si>
  <si>
    <t xml:space="preserve">HF559371386</t>
  </si>
  <si>
    <t xml:space="preserve">Upload MR on portal - Transaction Submission Confirmation Case ID# 17527</t>
  </si>
  <si>
    <t xml:space="preserve">Case ID # 17527</t>
  </si>
  <si>
    <t xml:space="preserve">Rep Vin M. MR document handle number 208203095 for review - Open inquiry on Message Center on portal</t>
  </si>
  <si>
    <t xml:space="preserve">HF559343228</t>
  </si>
  <si>
    <t xml:space="preserve">PR_227 - Information requested from the patient/insured/responsible party was not provided or was incomplete; N179 - Additional information has been requested from the member</t>
  </si>
  <si>
    <t xml:space="preserve">Resubmitted with payer ID OCN01 - Address provided by rep belongs to HealthCare Partners and they are now part of Optum Care Network - Alignment Rep Puja S said claims should be mail to Optum PO Box 6099, Torrance, CA 90504</t>
  </si>
  <si>
    <t xml:space="preserve">HF551929698</t>
  </si>
  <si>
    <t xml:space="preserve">R10 - Optum: Optum Behavioral Health responsibility; CO_109 - Claim/service not covered by this payer/contractor - send to the correct payer/contractor</t>
  </si>
  <si>
    <t xml:space="preserve">63047 x1; 64708 x1</t>
  </si>
  <si>
    <t xml:space="preserve">M48062, G549</t>
  </si>
  <si>
    <t xml:space="preserve">M4686, M48062</t>
  </si>
  <si>
    <t xml:space="preserve">Resubmitted for printing - Resubmitted with payer ID OCN01 - Address provided by rep belongs to HealthCare Partners and they are now part of Optum Care Network - Alignment Rep Puja S said claims should be mail to Optum PO Box 6099, Torrance, CA 90504</t>
  </si>
  <si>
    <t xml:space="preserve">HF561201154</t>
  </si>
  <si>
    <t xml:space="preserve">Confirm claim was printed</t>
  </si>
  <si>
    <t xml:space="preserve">Member ID was updated on chart - Resubmitted - Rejected: Member not found on payer member table. X12 Info- 2010BA-NM109A3-21.CLAIM HAS BEEN REJECTED AS UNPROCESSABLE. MISSING OR INVALID INFORMATION..MEMBER NOT FOUND</t>
  </si>
  <si>
    <t xml:space="preserve">HF563174710</t>
  </si>
  <si>
    <t xml:space="preserve">Pending posting </t>
  </si>
  <si>
    <t xml:space="preserve">HF476520532</t>
  </si>
  <si>
    <t xml:space="preserve">Meritain Health</t>
  </si>
  <si>
    <t xml:space="preserve">63047 x1; 63048 x1; 64708 x2</t>
  </si>
  <si>
    <t xml:space="preserve">G544</t>
  </si>
  <si>
    <t xml:space="preserve">Adjusted balance - Humana considers GAE's experimental or not medically necessary when dealing with chronic pain - Refer to guidelines&gt; Humana Medicare Advantage Medical Coverage Policy: Injections for Chronic Pain Conditions - DMinker30A uploaded MR</t>
  </si>
  <si>
    <t xml:space="preserve">HF540310616</t>
  </si>
  <si>
    <t xml:space="preserve">36246+59+RT x1; 36245+59 x1; 37242 x1; 36248+59 x3</t>
  </si>
  <si>
    <t xml:space="preserve">37242, 36248</t>
  </si>
  <si>
    <t xml:space="preserve">CO_50 (37242) - Non-covered services because this is not deemed a 'medical necessity' by the payer; CO_B15 (36248) - This service/procedure requires that a qualifying service/procedure be received and covered</t>
  </si>
  <si>
    <t xml:space="preserve">CO_50 - Non-covered services because this is not deemed a 'medical necessity' by the payer; CO_197 - Precertification/authorization/notification/pre-treatment absent; CO_B15 - This service/procedure requires that a qualifying service/procedure be received and covered</t>
  </si>
  <si>
    <t xml:space="preserve">HF479029623</t>
  </si>
  <si>
    <t xml:space="preserve">36248+59 x2; 37242 x1; 36246+59+RT x1; 36245+59 x1</t>
  </si>
  <si>
    <t xml:space="preserve">36248, 37242</t>
  </si>
  <si>
    <t xml:space="preserve">CO_B15 (36248) - This service/procedure requires that a qualifying service/procedure be received and covered; CO_50 (37242) - Non-covered services because this is not deemed a 'medical necessity' by the payer</t>
  </si>
  <si>
    <t xml:space="preserve">Humana denied payment for The time limit for filing has expired - Resubmitted to Humana - Active only on Jan 2026 - Claim not found on portal - Plan no active on DOS</t>
  </si>
  <si>
    <t xml:space="preserve">HF536495012</t>
  </si>
  <si>
    <t xml:space="preserve">Adjusted balance - No auth on file</t>
  </si>
  <si>
    <t xml:space="preserve">HF491900072</t>
  </si>
  <si>
    <t xml:space="preserve">Adjusted balance - Rep Heather said: After reviewing the provider contract, I found that the provider did not become a participating provider for this plan until 04/01/2026 - Rep Heather - Case #12323141 - Dr. Mayuran is inn with the commercial lines but OON with the Medicare</t>
  </si>
  <si>
    <t xml:space="preserve">HF383758253</t>
  </si>
  <si>
    <t xml:space="preserve">Call ref # 12389745; Case # 12323141</t>
  </si>
  <si>
    <t xml:space="preserve">HF513229920</t>
  </si>
  <si>
    <t xml:space="preserve">I83812</t>
  </si>
  <si>
    <t xml:space="preserve">HF505789977</t>
  </si>
  <si>
    <t xml:space="preserve">37242 x1; 36245+59 x1; 36248+59 x1; 36246+59+RT x1</t>
  </si>
  <si>
    <t xml:space="preserve">36245, 36246</t>
  </si>
  <si>
    <t xml:space="preserve">Adjusted balance - Genicular artery embolization for the treatment of osteoarthritis-related knee pain is considered experimental by Aetna. Article Embolization: Selected Procedures 800_899/0856.</t>
  </si>
  <si>
    <t xml:space="preserve">HF543361488</t>
  </si>
  <si>
    <t xml:space="preserve">36248+59 x3; 37242 x1; 36246+59+RT x1</t>
  </si>
  <si>
    <t xml:space="preserve">36248, 37242, 36246</t>
  </si>
  <si>
    <t xml:space="preserve">CO_B15 (36248) - This service/procedure requires that a qualifying service/procedure be received and covered; CO_55 (37242) - Procedure/treatment/drug is deemed experimental/investigational by the payer; CO_97 (36246) - The benefit for this service is included in the payment/allowance for another service/procedure already adjudicated</t>
  </si>
  <si>
    <t xml:space="preserve">CO_55 - Procedure/treatment/drug is deemed experimental/investigational by the payer; CO_97 - The benefit for this service is included in the payment/allowance for another service/procedure already adjudicated; CO_B15 - This service/procedure requires that a qualifying service/procedure be received and covered</t>
  </si>
  <si>
    <t xml:space="preserve">Provider TAX ID/NPI Combination is not on file with BCBS AZ.</t>
  </si>
  <si>
    <t xml:space="preserve">22845+59 x1; 22853 x1</t>
  </si>
  <si>
    <t xml:space="preserve">22845, 22853</t>
  </si>
  <si>
    <t xml:space="preserve">Adjusted balance - Filed Reconsideration Request ID: TT2646380 - Authorization 19816932 denied</t>
  </si>
  <si>
    <t xml:space="preserve">HF528506830</t>
  </si>
  <si>
    <t xml:space="preserve">G5773</t>
  </si>
  <si>
    <t xml:space="preserve">Recon request ID TT2646380; Auth # 19816932</t>
  </si>
  <si>
    <t xml:space="preserve">HF411545637</t>
  </si>
  <si>
    <t xml:space="preserve">36246+59+RT x1; 76937+26 x1; 37242 x1; 75710+26+XU+RT x1; 36248+59 x1; 36245+59 x1; 75774+26+XU x3</t>
  </si>
  <si>
    <t xml:space="preserve">36246, 76937, 37242, 75710, 36248, 36245, 75774</t>
  </si>
  <si>
    <t xml:space="preserve">HF329340284</t>
  </si>
  <si>
    <t xml:space="preserve">37242 x1</t>
  </si>
  <si>
    <t xml:space="preserve">HF333259521</t>
  </si>
  <si>
    <t xml:space="preserve">37242 x1; 75774+26+XU x3; 75710+26+XU+RT x1; 36246+59+RT x1; 36245+59 x1; 76937+26 x1; 36248+59 x1</t>
  </si>
  <si>
    <t xml:space="preserve">37242, 75774, 75710, 36246, 36245, 76937, 36248</t>
  </si>
  <si>
    <t xml:space="preserve">HF455471322</t>
  </si>
  <si>
    <t xml:space="preserve">COMBINED INSURANCE CO OF AMERICA</t>
  </si>
  <si>
    <t xml:space="preserve">75710+26+XU+RT x1; 75774+26+XU x3; 36246+59+RT x1; 36248+59 x1; 36245+59 x1; 76937+26 x1; 37242 x1</t>
  </si>
  <si>
    <t xml:space="preserve">75710, 75774, 36246, 36248, 36245, 76937, 37242</t>
  </si>
  <si>
    <t xml:space="preserve">Adjusted balance - 37242-53 not supported - The embolization was discontinued - the procedure stopped at arterial access - QNavarro30 resubmitted with 37242 CPT</t>
  </si>
  <si>
    <t xml:space="preserve">HF543360308</t>
  </si>
  <si>
    <t xml:space="preserve">37242+53 x1; 76937+26 x1; 36140 x1</t>
  </si>
  <si>
    <t xml:space="preserve">53, 26</t>
  </si>
  <si>
    <t xml:space="preserve">36140</t>
  </si>
  <si>
    <t xml:space="preserve">I70209</t>
  </si>
  <si>
    <t xml:space="preserve">CO_2346 - not a standard reason code (no description in NGO)</t>
  </si>
  <si>
    <t xml:space="preserve">76937, 36140</t>
  </si>
  <si>
    <t xml:space="preserve">75774, 76937, 36248, 37242, 36245, 36246, 75710</t>
  </si>
  <si>
    <t xml:space="preserve">Shifted to PT - ABN signed - PT was an inpatient at hospital COBALT REHABILITATION HOSPITAL (NPI 1679954002) from 06/04/2026 to 06/15/2026</t>
  </si>
  <si>
    <t xml:space="preserve">HF561443798</t>
  </si>
  <si>
    <t xml:space="preserve">M2 - Not paid separately when the patient is an inpatient</t>
  </si>
  <si>
    <t xml:space="preserve">HF548675546</t>
  </si>
  <si>
    <t xml:space="preserve">M533</t>
  </si>
  <si>
    <t xml:space="preserve">PAID - Adjusted balance</t>
  </si>
  <si>
    <t xml:space="preserve">566076310</t>
  </si>
  <si>
    <t xml:space="preserve">HF540923124</t>
  </si>
  <si>
    <t xml:space="preserve">HF335035633</t>
  </si>
  <si>
    <t xml:space="preserve">M50121</t>
  </si>
  <si>
    <t xml:space="preserve">566076314</t>
  </si>
  <si>
    <t xml:space="preserve">secondary - Shifted to PT - Plan termed - 04/30/2026</t>
  </si>
  <si>
    <t xml:space="preserve">F4321</t>
  </si>
  <si>
    <t xml:space="preserve">Shifted secondary balance to patient</t>
  </si>
  <si>
    <t xml:space="preserve">CO_166 - Submitted after this payer's responsibility for processing claims under this plan ended</t>
  </si>
  <si>
    <t xml:space="preserve">Shifted to PT - ABN signed for 400.00 - Bundling with L0637 claim on DOS 12/04/2023 - Supplier SONOSPINE ARIZONA LLC - Bri updated Member ID and resubmitted</t>
  </si>
  <si>
    <t xml:space="preserve">HF460794896</t>
  </si>
  <si>
    <t xml:space="preserve">M3 - Equipment is the same or similar to equipment already being used; N382 - Missing/incomplete/invalid patient identifier</t>
  </si>
  <si>
    <t xml:space="preserve">HF349133597</t>
  </si>
  <si>
    <t xml:space="preserve">63048 x1; 63047 x1; 64708 x1</t>
  </si>
  <si>
    <t xml:space="preserve">M4696, G59</t>
  </si>
  <si>
    <t xml:space="preserve">PIQ-86126921</t>
  </si>
  <si>
    <t xml:space="preserve">HF500464709</t>
  </si>
  <si>
    <t xml:space="preserve">63030+50 x1</t>
  </si>
  <si>
    <t xml:space="preserve">PIQ-86018866</t>
  </si>
  <si>
    <t xml:space="preserve">Adjusted balance - Dr. Krause was approved by Optum Medicare Adv on 04/08/2026 - JEFFREY A KRAUSE OON</t>
  </si>
  <si>
    <t xml:space="preserve">HF549992587</t>
  </si>
  <si>
    <t xml:space="preserve">Removed mod 79 - Added mod 24, and resubmitted - Added mod 79, and resubmitted</t>
  </si>
  <si>
    <t xml:space="preserve">HF499452983</t>
  </si>
  <si>
    <t xml:space="preserve">99492+79 x1; 99494 x1</t>
  </si>
  <si>
    <t xml:space="preserve">Amanda adjusted balance</t>
  </si>
  <si>
    <t xml:space="preserve">HF545096268</t>
  </si>
  <si>
    <t xml:space="preserve">L03116</t>
  </si>
  <si>
    <t xml:space="preserve">Q66212</t>
  </si>
  <si>
    <t xml:space="preserve">Corrected claim back to 99214 and posted the adjustments as per payment</t>
  </si>
  <si>
    <t xml:space="preserve">99214, 99493, 99494</t>
  </si>
  <si>
    <t xml:space="preserve">Insurance approved correction - Edited dx order, used I83811 as a primary code, and resubmitted</t>
  </si>
  <si>
    <t xml:space="preserve">HF537299610</t>
  </si>
  <si>
    <t xml:space="preserve">Shifted balance to PR as per EOB - ChampVA doesn't cover BH</t>
  </si>
  <si>
    <t xml:space="preserve">HF545223898</t>
  </si>
  <si>
    <t xml:space="preserve">Adjusted balance - Deleted M5416, and resubmitted on portal - Dx M5116 with M5416 identify two conditions that cannot be reported together - CLAIM DOWNLOADED</t>
  </si>
  <si>
    <t xml:space="preserve">HF467496856</t>
  </si>
  <si>
    <t xml:space="preserve">M4807, M5416</t>
  </si>
  <si>
    <t xml:space="preserve">M5417, M5116</t>
  </si>
  <si>
    <t xml:space="preserve">Auth required for 63047 - No request found</t>
  </si>
  <si>
    <t xml:space="preserve">Adjusted balance - 93923 bundled with 93925</t>
  </si>
  <si>
    <t xml:space="preserve">HF550437353</t>
  </si>
  <si>
    <t xml:space="preserve">CO_231 - Mutually exclusive procedures cannot be done in the same day/setting</t>
  </si>
  <si>
    <t xml:space="preserve">HF394953225</t>
  </si>
  <si>
    <t xml:space="preserve">20930 x1</t>
  </si>
  <si>
    <t xml:space="preserve">CO_273 - Coverage/program guidelines were exceeded</t>
  </si>
  <si>
    <t xml:space="preserve">Adjusted balance - No auth request on file for collagen dressings</t>
  </si>
  <si>
    <t xml:space="preserve">HF429774034</t>
  </si>
  <si>
    <t xml:space="preserve">HF434869353</t>
  </si>
  <si>
    <t xml:space="preserve">HF540895134</t>
  </si>
  <si>
    <t xml:space="preserve">Adjusted balance - Auth approval only included 63045</t>
  </si>
  <si>
    <t xml:space="preserve">HF537403736</t>
  </si>
  <si>
    <t xml:space="preserve">Shifted balance to PT - ChampVA doesn't cover BH</t>
  </si>
  <si>
    <t xml:space="preserve">PR_3 - Co-payment amount</t>
  </si>
  <si>
    <t xml:space="preserve">Shift to PT - ABN signed - No coverage - Policy Number: MP.009.35 - PR non-covered</t>
  </si>
  <si>
    <t xml:space="preserve">A6010+A2 x10; A6023+A2 x10</t>
  </si>
  <si>
    <t xml:space="preserve">HF522022623</t>
  </si>
  <si>
    <t xml:space="preserve">HF497777502</t>
  </si>
  <si>
    <t xml:space="preserve">HF518754066</t>
  </si>
  <si>
    <t xml:space="preserve">Billed to PT - ABN signed - PCP is the delegated DME vendor</t>
  </si>
  <si>
    <t xml:space="preserve">HF342742988</t>
  </si>
  <si>
    <t xml:space="preserve">Adjusted balance - No ABN signed - PCP is the delegated DME vendor</t>
  </si>
  <si>
    <t xml:space="preserve">HF550003369</t>
  </si>
  <si>
    <t xml:space="preserve">M2011</t>
  </si>
  <si>
    <t xml:space="preserve">M2041</t>
  </si>
  <si>
    <t xml:space="preserve">Billed to PT - ABN signed - No auth found - Auth missing denial</t>
  </si>
  <si>
    <t xml:space="preserve">HF399755417</t>
  </si>
  <si>
    <t xml:space="preserve">Adjusted balance - Auth was requested to Medicare and not Humana</t>
  </si>
  <si>
    <t xml:space="preserve">HF552607845</t>
  </si>
  <si>
    <t xml:space="preserve">36248+59 x3; 36247+59+LT x1</t>
  </si>
  <si>
    <t xml:space="preserve">Billed to PR - Adjusted ins balance- Provider OON - Audit #: WY03MQKV - Provider inquiry</t>
  </si>
  <si>
    <t xml:space="preserve">HF458717535</t>
  </si>
  <si>
    <t xml:space="preserve">Audit # WY03MQKV</t>
  </si>
  <si>
    <t xml:space="preserve">Delete 93923 that's bundling, and resubmitted - 93923 billed on claim 568263929</t>
  </si>
  <si>
    <t xml:space="preserve">HF550504744</t>
  </si>
  <si>
    <t xml:space="preserve">G5790</t>
  </si>
  <si>
    <t xml:space="preserve">N39498</t>
  </si>
  <si>
    <t xml:space="preserve">PI_97 - The benefit for this service is included in the payment/allowance for another service/procedure that has already been adjudicated</t>
  </si>
  <si>
    <t xml:space="preserve">Adjusted - CPT 93923 bundles with 93925 and 93970 - 93923 billed on claim 568254615</t>
  </si>
  <si>
    <t xml:space="preserve">HF523293759</t>
  </si>
  <si>
    <t xml:space="preserve">Bri resubmitted to Devoted</t>
  </si>
  <si>
    <t xml:space="preserve">HF549060053</t>
  </si>
  <si>
    <t xml:space="preserve">Auth only included 63650 - Adjusted 63685</t>
  </si>
  <si>
    <t xml:space="preserve">HF522538764</t>
  </si>
  <si>
    <t xml:space="preserve">Billed PT according to ABN charges agreed.</t>
  </si>
  <si>
    <t xml:space="preserve">HF533960930</t>
  </si>
  <si>
    <t xml:space="preserve">Molina Complete Care of Arizona (Magellan Complete Care AZ)</t>
  </si>
  <si>
    <t xml:space="preserve">Ordering provider Dr. Krause was notified of the dx issue - Continue with adjustments</t>
  </si>
  <si>
    <t xml:space="preserve">HF330335441</t>
  </si>
  <si>
    <t xml:space="preserve">No auth on file - Adjusted</t>
  </si>
  <si>
    <t xml:space="preserve">HF508345961</t>
  </si>
  <si>
    <t xml:space="preserve">Jess corrected member ID and resubmitted</t>
  </si>
  <si>
    <t xml:space="preserve">HF437377904</t>
  </si>
  <si>
    <t xml:space="preserve">T85123A</t>
  </si>
  <si>
    <t xml:space="preserve">T85193A</t>
  </si>
  <si>
    <t xml:space="preserve">Shift to PR - ABN signed - No coverage</t>
  </si>
  <si>
    <t xml:space="preserve">Jess reached out to our team to post payment</t>
  </si>
  <si>
    <t xml:space="preserve">HF465243875</t>
  </si>
  <si>
    <t xml:space="preserve">I83011</t>
  </si>
  <si>
    <t xml:space="preserve">Adjusted balance - Acodes not included in auth/referral</t>
  </si>
  <si>
    <t xml:space="preserve">HF524861323</t>
  </si>
  <si>
    <t xml:space="preserve">T85192A</t>
  </si>
  <si>
    <t xml:space="preserve">ABN signed - $0.00 charges listed for A6010 in case insurance didn't pay</t>
  </si>
  <si>
    <t xml:space="preserve">HF438667754</t>
  </si>
  <si>
    <t xml:space="preserve">CO_96 - Non-covered charge(s)</t>
  </si>
  <si>
    <t xml:space="preserve">Adjusted balance - No auth found - DND no auth </t>
  </si>
  <si>
    <t xml:space="preserve">HF488155930</t>
  </si>
  <si>
    <t xml:space="preserve">WONG, KELLY</t>
  </si>
  <si>
    <t xml:space="preserve">Adjusted balance - A-code not covered under M2K plan</t>
  </si>
  <si>
    <t xml:space="preserve">HF557730068</t>
  </si>
  <si>
    <t xml:space="preserve">Shift to PR - ABN signed - No auth</t>
  </si>
  <si>
    <t xml:space="preserve">HF533281585</t>
  </si>
  <si>
    <t xml:space="preserve">37242 not covered by Aetna - consider experimental when dealing with knee pain</t>
  </si>
  <si>
    <t xml:space="preserve">36248+59 x3; 37242 x1</t>
  </si>
  <si>
    <t xml:space="preserve">CO_B15 - This service/procedure requires that a qualifying service/procedure be received and covered; CO_45 - Charge exceeds fee schedule/maximum allowable or contracted/legislated fee arrangement</t>
  </si>
  <si>
    <t xml:space="preserve">HF428301616</t>
  </si>
  <si>
    <t xml:space="preserve">Adjusted balance - The ABI and TBI are not a standalone study. They're embedded inside the Arterial Duplex Lower Extremity report</t>
  </si>
  <si>
    <t xml:space="preserve">HF509523131</t>
  </si>
  <si>
    <t xml:space="preserve">secondary - VA doesn't cover BH services - Primary paid</t>
  </si>
  <si>
    <t xml:space="preserve">568647625</t>
  </si>
  <si>
    <t xml:space="preserve">Adjusted secondary balance</t>
  </si>
  <si>
    <t xml:space="preserve">Resubmitted to Optum - The claim was denied due to missrouted claim - Claim was initially submitted to SCAN Health Plan</t>
  </si>
  <si>
    <t xml:space="preserve">HF558969171</t>
  </si>
  <si>
    <t xml:space="preserve">CO_B11 - The claim/service has been transferred to the proper payer/processor for processing</t>
  </si>
  <si>
    <t xml:space="preserve">Adjusted balance - Certificate Number 260506159813 was cancelled and it didn't say auth was not required - Auth for procedure 63030 and 63047 is required</t>
  </si>
  <si>
    <t xml:space="preserve">HF343217183</t>
  </si>
  <si>
    <t xml:space="preserve">63047+59 x1; 63030+LT x1</t>
  </si>
  <si>
    <t xml:space="preserve">59, LT</t>
  </si>
  <si>
    <t xml:space="preserve">63047, 63030</t>
  </si>
  <si>
    <t xml:space="preserve">Auth certificate # 260506159813</t>
  </si>
  <si>
    <t xml:space="preserve">64708 x1; 63047 x1</t>
  </si>
  <si>
    <t xml:space="preserve">64708, 63047</t>
  </si>
  <si>
    <t xml:space="preserve">Shifted to PR as per EOB</t>
  </si>
  <si>
    <t xml:space="preserve">HF537452337</t>
  </si>
  <si>
    <t xml:space="preserve">Claim was adjusted - we should have billed this to Optum, and now we're out the 90 days we have to submit the claim</t>
  </si>
  <si>
    <t xml:space="preserve">HF522230488</t>
  </si>
  <si>
    <t xml:space="preserve">HUERTA, KARLA</t>
  </si>
  <si>
    <t xml:space="preserve">Shifted charges to PT - ABN signed - no cover Acodes</t>
  </si>
  <si>
    <t xml:space="preserve">PAID - Resubmitted to Optum - This was submitted to SCAN Health Plan initially and denied</t>
  </si>
  <si>
    <t xml:space="preserve">Removed Dx I872, and resubmitted</t>
  </si>
  <si>
    <t xml:space="preserve">HF553337209</t>
  </si>
  <si>
    <t xml:space="preserve">Insurance paid - Edited insured's info, and resubmitted</t>
  </si>
  <si>
    <t xml:space="preserve">Shifted to PT - ABN signed - No coverage - Policy Number: MP.009.35</t>
  </si>
  <si>
    <t xml:space="preserve">Adjusted balance - no auth found</t>
  </si>
  <si>
    <t xml:space="preserve">HF547083886</t>
  </si>
  <si>
    <t xml:space="preserve">Adjusted balance - Acodes no covered with BCBS M2K</t>
  </si>
  <si>
    <t xml:space="preserve">HF560310366</t>
  </si>
  <si>
    <t xml:space="preserve">S22080S</t>
  </si>
  <si>
    <t xml:space="preserve">CO_198 - Precertification/notification/authorization/pre-treatment exceeded</t>
  </si>
  <si>
    <t xml:space="preserve">Adjusted balance - I sent an email to provider about this matter - The 3-year clock follows the provider relationship - Dr Wilson doesnt want to change the cpt code</t>
  </si>
  <si>
    <t xml:space="preserve">HF561451630</t>
  </si>
  <si>
    <t xml:space="preserve">CO_B16 - 'New patient' qualifications were not met</t>
  </si>
  <si>
    <t xml:space="preserve">99484, G3002</t>
  </si>
  <si>
    <t xml:space="preserve">HF563307378</t>
  </si>
  <si>
    <t xml:space="preserve">G959</t>
  </si>
  <si>
    <t xml:space="preserve">Adjusted balance - No BH documentation found for those 20+ mins</t>
  </si>
  <si>
    <t xml:space="preserve">HF559365958</t>
  </si>
  <si>
    <t xml:space="preserve">R7989</t>
  </si>
  <si>
    <t xml:space="preserve">Shifted to PT - ABN signed - Deleted referring provider, and resubmitted - Rejected due to invalid EDI</t>
  </si>
  <si>
    <t xml:space="preserve">Adjusted balance - BH no covered by VA</t>
  </si>
  <si>
    <t xml:space="preserve">HF508997880</t>
  </si>
  <si>
    <t xml:space="preserve">Adjusted balance - If 37242 doesnt pay, neither 36245 - 37242 Genicular artery embolization for the treatment of osteoarthritis-related knee pain is considered experimental by Aetna. Article Embolization: Selected Procedures 800_899/0856 - 99153 not cover due to pos</t>
  </si>
  <si>
    <t xml:space="preserve">HF524772530</t>
  </si>
  <si>
    <t xml:space="preserve">36245+59 x1; 37242 x1; 75774+26+XU x5; 36246+59+RT x1; 36248+59 x3; 75710+26+XU+RT x1; 76937+26 x1</t>
  </si>
  <si>
    <t xml:space="preserve">CO_97 (36245) - The benefit for this service is included in the payment/allowance for another service/procedure already adjudicated; CO_55 (37242) - Procedure/treatment/drug is deemed experimental/investigational by the payer</t>
  </si>
  <si>
    <t xml:space="preserve">75774, 36246, 36248, 75710, 76937</t>
  </si>
  <si>
    <t xml:space="preserve">CO_55 - Procedure/treatment/drug is deemed experimental/investigational by the payer; CO_97 - The benefit for this service is included in the payment/allowance for another service/procedure already adjudicated</t>
  </si>
  <si>
    <t xml:space="preserve">HF546406685</t>
  </si>
  <si>
    <t xml:space="preserve">36246+59+RT x1; 36245+59 x1; 76937+26 x1; 37242 x1; 36248+59 x3; 75774+26+XU x5; 75710+26+XU+RT x1</t>
  </si>
  <si>
    <t xml:space="preserve">36246, 76937, 36248, 75774, 75710</t>
  </si>
  <si>
    <t xml:space="preserve">HF559503595</t>
  </si>
  <si>
    <t xml:space="preserve">Adjusted balance for 75710, 75774, 36245</t>
  </si>
  <si>
    <t xml:space="preserve">HF510777417</t>
  </si>
  <si>
    <t xml:space="preserve">75710+26+XU+RT x1; 36245+59 x1; 75774+26+XU x5</t>
  </si>
  <si>
    <t xml:space="preserve">75710, 36245, 75774</t>
  </si>
  <si>
    <t xml:space="preserve">CO_A1 - Claim/service denied</t>
  </si>
  <si>
    <t xml:space="preserve">HF554708597</t>
  </si>
  <si>
    <t xml:space="preserve">HF559340413</t>
  </si>
  <si>
    <t xml:space="preserve">Aetna Medicare HMO</t>
  </si>
  <si>
    <t xml:space="preserve">75774+26+XU x5; 36245+59 x5; 76937+26 x1; 75710+26+XU+RT x1; 37242 x1</t>
  </si>
  <si>
    <t xml:space="preserve">CO_55 - Procedure/treatment/drug is deemed experimental/investigational by the payer</t>
  </si>
  <si>
    <t xml:space="preserve">75774, 36245, 76937, 75710</t>
  </si>
  <si>
    <t xml:space="preserve">Adjusted balance - AUTH# A273499577 approval only include 63650</t>
  </si>
  <si>
    <t xml:space="preserve">Auth # A273499577</t>
  </si>
  <si>
    <t xml:space="preserve">Rep Paul - PTAN issue holding payment - Escalation to Recoupment Dept. so they can confirm EFT info update made on 06/18/2025 and close the PTAN alert dated 05/26/2023 - When solved, TAT for checks to be sent is 7-10 bd</t>
  </si>
  <si>
    <t xml:space="preserve">HF495505953</t>
  </si>
  <si>
    <t xml:space="preserve">Call ref # 0634705-26</t>
  </si>
  <si>
    <t xml:space="preserve">HF506234182</t>
  </si>
  <si>
    <t xml:space="preserve">HF453265315</t>
  </si>
  <si>
    <t xml:space="preserve">M5451</t>
  </si>
  <si>
    <t xml:space="preserve">HF537353546</t>
  </si>
  <si>
    <t xml:space="preserve">Surprise Reems - Payment on hold</t>
  </si>
  <si>
    <t xml:space="preserve">HF435406148</t>
  </si>
  <si>
    <t xml:space="preserve">SILAC INSURANCE</t>
  </si>
  <si>
    <t xml:space="preserve">Shifted to PT - ABN signed - L0637 dispensed on 01/16/2023 supplier ARIZONA SPINE AND PAIN SPECIALISTS LLC</t>
  </si>
  <si>
    <t xml:space="preserve">HF433355246</t>
  </si>
  <si>
    <t xml:space="preserve">M3 - Equipment is the same or similar to equipment already being used</t>
  </si>
  <si>
    <t xml:space="preserve">Adjusted balance - Paid accordingly</t>
  </si>
  <si>
    <t xml:space="preserve">HF549983763</t>
  </si>
  <si>
    <t xml:space="preserve">Mutual of Omaha Insurance Company</t>
  </si>
  <si>
    <t xml:space="preserve">Adjusted balanced - No auth on file</t>
  </si>
  <si>
    <t xml:space="preserve">HF545896181</t>
  </si>
  <si>
    <t xml:space="preserve">L1851+KX x1</t>
  </si>
  <si>
    <t xml:space="preserve">HF364689537</t>
  </si>
  <si>
    <t xml:space="preserve">HF544007270</t>
  </si>
  <si>
    <t xml:space="preserve">HF419012518</t>
  </si>
  <si>
    <t xml:space="preserve">HF551760467</t>
  </si>
  <si>
    <t xml:space="preserve">Shifted to PT - Surgical Dressing: not separately payable if incident to a physician's service - Palmetto GBA July 2026 DMEPOS_Jurisdiction_List article</t>
  </si>
  <si>
    <t xml:space="preserve">HF541294637</t>
  </si>
  <si>
    <t xml:space="preserve">Shifted to PT - ABN signed - Another L0650 was dispensed in the last 5 years</t>
  </si>
  <si>
    <t xml:space="preserve">HF518773107</t>
  </si>
  <si>
    <t xml:space="preserve">Z4789</t>
  </si>
  <si>
    <t xml:space="preserve">Adjusted balance - Only 1 Incision was performed - 20 units each were order - We dispensed 40 unit each as per POD</t>
  </si>
  <si>
    <t xml:space="preserve">A6023+A1 x40</t>
  </si>
  <si>
    <t xml:space="preserve">Shift to PT - ABN signed - Another L0650 was dispensed back on 04/25/2022 - Supplier SONOSPINE ARIZONA LLC</t>
  </si>
  <si>
    <t xml:space="preserve">HF551816064</t>
  </si>
  <si>
    <t xml:space="preserve">Adjusted balance - No ABN signed - Another L0650 was dispensed back on 04/25/2022 - Supplier SONOSPINE ARIZONA LLC</t>
  </si>
  <si>
    <t xml:space="preserve">CO_151 - Payer deems the information submitted does not support this many/frequency of services; M3 - Equipment is the same or similar to equipment already being used</t>
  </si>
  <si>
    <t xml:space="preserve">Edited rendering and referring provider, and resubmitted</t>
  </si>
  <si>
    <t xml:space="preserve">secondary - Added COB info and crossover electronically</t>
  </si>
  <si>
    <t xml:space="preserve">secondary - adjusted balance - Termed date 04/30/2026</t>
  </si>
  <si>
    <t xml:space="preserve">Surprise Reems - Billed to PT - ABN signed - No auth found - Auth missing denial</t>
  </si>
  <si>
    <t xml:space="preserve">HF550915147</t>
  </si>
  <si>
    <t xml:space="preserve">L1851+KX+RT x1; L1851+KX+LT x1</t>
  </si>
  <si>
    <t xml:space="preserve">RT, LT</t>
  </si>
  <si>
    <t xml:space="preserve">M25561, M25562</t>
  </si>
  <si>
    <t xml:space="preserve">M1711, M1712</t>
  </si>
  <si>
    <t xml:space="preserve">Goodyear - Adjusted balance - No auth on file</t>
  </si>
  <si>
    <t xml:space="preserve">HF552653702</t>
  </si>
  <si>
    <t xml:space="preserve">Peoria - Adjusted balance - No auth on file</t>
  </si>
  <si>
    <t xml:space="preserve">HF546470119</t>
  </si>
  <si>
    <t xml:space="preserve">Edited ordering provider, and resubmitted</t>
  </si>
  <si>
    <t xml:space="preserve">M4156</t>
  </si>
  <si>
    <t xml:space="preserve">Bri resubmited claim on 08/05/2026</t>
  </si>
  <si>
    <t xml:space="preserve">HF559981122</t>
  </si>
  <si>
    <t xml:space="preserve">EMI Health (Educators Mutual - EMIA)</t>
  </si>
  <si>
    <t xml:space="preserve">Denial Code (pick or type)</t>
  </si>
  <si>
    <t xml:space="preserve">Type</t>
  </si>
  <si>
    <t xml:space="preserve">What usually fixes it</t>
  </si>
  <si>
    <t xml:space="preserve">Claims with this code (all months)</t>
  </si>
  <si>
    <t xml:space="preserve">Claims in this file (live)</t>
  </si>
  <si>
    <t xml:space="preserve">PR_1 - Deductible amount</t>
  </si>
  <si>
    <t xml:space="preserve">Reason</t>
  </si>
  <si>
    <t xml:space="preserve">Confirm benefits; bill the patient if an ABN/waiver is on file, otherwise appeal or adjust.</t>
  </si>
  <si>
    <t xml:space="preserve">PR_2 - Coinsurance amount</t>
  </si>
  <si>
    <t xml:space="preserve">Correct or add the modifier (e.g. NU/RR, KX, RT/LT, 25) and resubmit.</t>
  </si>
  <si>
    <t xml:space="preserve">Verify the place of service (inpatient/outpatient) and correct the claim.</t>
  </si>
  <si>
    <t xml:space="preserve">CO_6 - The procedure/revenue code is inconsistent with the patient's age</t>
  </si>
  <si>
    <t xml:space="preserve">Fix the code, units, charge or other claim data and resubmit as a corrected claim.</t>
  </si>
  <si>
    <t xml:space="preserve">CO_7 - The procedure/revenue code is inconsistent with the patient's gender</t>
  </si>
  <si>
    <t xml:space="preserve">CO_11 - The diagnosis is inconsistent with the procedure</t>
  </si>
  <si>
    <t xml:space="preserve">Review the diagnosis codes and pointers with the chart; correct and resubmit.</t>
  </si>
  <si>
    <t xml:space="preserve">CO_15 - The authorization number is missing, invalid, or does not apply to the billed services or provider</t>
  </si>
  <si>
    <t xml:space="preserve">Check the portal for an auth; request a retro-auth or file an appeal with the auth number, then resubmit.</t>
  </si>
  <si>
    <t xml:space="preserve">CO_16 - Claim/service lacks information or has submission/billing error(s)</t>
  </si>
  <si>
    <t xml:space="preserve">Check the status of the original claim; no resubmission needed if it was processed.</t>
  </si>
  <si>
    <t xml:space="preserve">CO_19 - Work-related injury/illness - liability of the Workers' Compensation carrier</t>
  </si>
  <si>
    <t xml:space="preserve">Get the accident details or workers' comp carrier from the patient; update the claim or bill the WC carrier.</t>
  </si>
  <si>
    <t xml:space="preserve">Get the other insurance and primary EOB, update COB with the payer and bill primary first.</t>
  </si>
  <si>
    <t xml:space="preserve">OA_23 - The impact of prior payer(s) adjudication including payments and/or adjustments</t>
  </si>
  <si>
    <t xml:space="preserve">Bill the correct payer, delegated vendor or capitated group/IPA (e.g. Optum Behavioral, Preferred Homecare).</t>
  </si>
  <si>
    <t xml:space="preserve">CO_26 - Expenses incurred prior to coverage</t>
  </si>
  <si>
    <t xml:space="preserve">Verify eligibility; correct the member ID/MBI, name or DOB and resubmit.</t>
  </si>
  <si>
    <t xml:space="preserve">PR_26 - Expenses incurred prior to coverage</t>
  </si>
  <si>
    <t xml:space="preserve">CO_27 - Expenses incurred after coverage terminated</t>
  </si>
  <si>
    <t xml:space="preserve">Find proof of timely filing (clearinghouse acceptance or earlier submission) and appeal with it; if none, adjust the balance.</t>
  </si>
  <si>
    <t xml:space="preserve">CO_31 - Patient cannot be identified as our insured</t>
  </si>
  <si>
    <t xml:space="preserve">Usually informational or a payment reduction rather than a denial; review the ERA if the balance looks wrong.</t>
  </si>
  <si>
    <t xml:space="preserve">CO_49 - Non-covered: routine/preventive exam or a diagnostic/screening procedure done with one</t>
  </si>
  <si>
    <t xml:space="preserve">Appeal with medical records and a letter of medical necessity; check LCD/MUE limits.</t>
  </si>
  <si>
    <t xml:space="preserve">CO_59 - Processed based on multiple or concurrent procedure rules</t>
  </si>
  <si>
    <t xml:space="preserve">Check the NCCI pair; if the service was distinct, add 59/XU (or XS) and resubmit; otherwise adjust.</t>
  </si>
  <si>
    <t xml:space="preserve">CO_107 - The related or qualifying claim/service was not identified on this claim</t>
  </si>
  <si>
    <t xml:space="preserve">CO_119 - Benefit maximum for this time period or occurrence has been reached</t>
  </si>
  <si>
    <t xml:space="preserve">CO_129 - Prior processing information appears incorrect</t>
  </si>
  <si>
    <t xml:space="preserve">CO_140 - Patient/insured health identification number and name do not match</t>
  </si>
  <si>
    <t xml:space="preserve">CO_144 - Incentive adjustment, e.g. preferred product/service</t>
  </si>
  <si>
    <t xml:space="preserve">Upload the MR on the payer portal, note the PIQ/reference number and set a review date.</t>
  </si>
  <si>
    <t xml:space="preserve">CO_167 - This (these) diagnosis(es) is (are) not covered</t>
  </si>
  <si>
    <t xml:space="preserve">CO_170 - Payment is denied when performed/billed by this type of provider</t>
  </si>
  <si>
    <t xml:space="preserve">Check provider enrollment, NPI/TIN and network status; appeal once credentialing is confirmed.</t>
  </si>
  <si>
    <t xml:space="preserve">CO_181 - Procedure code was invalid on the date of service</t>
  </si>
  <si>
    <t xml:space="preserve">CO_182 - Procedure modifier was invalid on the date of service</t>
  </si>
  <si>
    <t xml:space="preserve">Get a valid referral or correct the referring provider, then resubmit.</t>
  </si>
  <si>
    <t xml:space="preserve">CO_185 - The rendering provider is not eligible to perform the service billed</t>
  </si>
  <si>
    <t xml:space="preserve">CO_189 - 'Not otherwise classified' or 'unlisted' procedure code billed when a specific code exists</t>
  </si>
  <si>
    <t xml:space="preserve">CO_199 - Revenue code and procedure code do not match</t>
  </si>
  <si>
    <t xml:space="preserve">CO_226 - Information requested from the billing/rendering provider was not provided, not timely or incomplete</t>
  </si>
  <si>
    <t xml:space="preserve">PR_227 - Information requested from the patient/insured/responsible party was not provided or was incomplete</t>
  </si>
  <si>
    <t xml:space="preserve">CO_234 - This procedure is not paid separately</t>
  </si>
  <si>
    <t xml:space="preserve">CO_242 - Services not provided by network/primary care providers</t>
  </si>
  <si>
    <t xml:space="preserve">CO_243 - Services not authorized by network/primary care providers</t>
  </si>
  <si>
    <t xml:space="preserve">CO_251 - The attachment/other documentation received was incomplete or deficient</t>
  </si>
  <si>
    <t xml:space="preserve">CO_253 - Sequestration - reduction in federal payment</t>
  </si>
  <si>
    <t xml:space="preserve">CO_284 - Precertification/authorization number may be valid but does not apply to the billed services</t>
  </si>
  <si>
    <t xml:space="preserve">CO_B9 - Patient is enrolled in a hospice</t>
  </si>
  <si>
    <t xml:space="preserve">CO_B10 - Allowed amount reduced because a component of the basic procedure/test was paid</t>
  </si>
  <si>
    <t xml:space="preserve">CO_B20 - Procedure/service was partially or fully furnished by another provider</t>
  </si>
  <si>
    <t xml:space="preserve">CO_P12 - Workers' compensation jurisdictional fee schedule adjustment</t>
  </si>
  <si>
    <t xml:space="preserve">Remark</t>
  </si>
  <si>
    <t xml:space="preserve">Confirm the prior supplier and date; if an ABN was signed, shift to the patient, otherwise adjust.</t>
  </si>
  <si>
    <t xml:space="preserve">M20 - Missing/incomplete/invalid HCPCS</t>
  </si>
  <si>
    <t xml:space="preserve">M77 - Missing/incomplete/invalid/inappropriate place of service</t>
  </si>
  <si>
    <t xml:space="preserve">M80 - Not covered when performed during the same session/date as a previously processed service for the patient</t>
  </si>
  <si>
    <t xml:space="preserve">M86 - Service denied because payment already made for same/similar procedure within set time frame</t>
  </si>
  <si>
    <t xml:space="preserve">MA04 - Secondary payment cannot be considered without the identity of or payment information from the primary payer</t>
  </si>
  <si>
    <t xml:space="preserve">MA18 - Alert: the claim information is also being forwarded to the patient's supplemental insurer</t>
  </si>
  <si>
    <t xml:space="preserve">MA130 - Claim contains incomplete and/or invalid information; no appeal rights because the claim is unprocessable</t>
  </si>
  <si>
    <t xml:space="preserve">N4 - Missing/incomplete/invalid prior insurance carrier EOB</t>
  </si>
  <si>
    <t xml:space="preserve">N19 - Procedure code incidental to primary procedure</t>
  </si>
  <si>
    <t xml:space="preserve">N20 - Service not payable with other service rendered on the same date</t>
  </si>
  <si>
    <t xml:space="preserve">N30 - Patient ineligible for this service</t>
  </si>
  <si>
    <t xml:space="preserve">N56 - Procedure code billed is not correct/valid for the services billed or the date of service billed</t>
  </si>
  <si>
    <t xml:space="preserve">N115 - This decision was based on a Local Coverage Determination (LCD)</t>
  </si>
  <si>
    <t xml:space="preserve">N130 - Consult plan benefit documents/guidelines for information about restrictions for this service</t>
  </si>
  <si>
    <t xml:space="preserve">N163 - Medical record does not support code billed per the code definition</t>
  </si>
  <si>
    <t xml:space="preserve">N179 - Additional information has been requested from the member</t>
  </si>
  <si>
    <t xml:space="preserve">N286 - Missing/incomplete/invalid referring provider primary identifier</t>
  </si>
  <si>
    <t xml:space="preserve">N386 - This decision was based on a National Coverage Determination (NCD)</t>
  </si>
  <si>
    <t xml:space="preserve">N822 - Missing procedure modifier(s)</t>
  </si>
  <si>
    <t xml:space="preserve">N88 - Alert: Payment made conditionally - patient is under a Home Health (HHA) episode of care; may be recouped</t>
  </si>
  <si>
    <t xml:space="preserve">Check whether the patient had an active HHA episode on the DOS; if so, expect a recoup and bill the HHA.</t>
  </si>
  <si>
    <t xml:space="preserve">R10 - Optum: Optum Behavioral Health responsibility</t>
  </si>
  <si>
    <t xml:space="preserve">Payer-specific</t>
  </si>
  <si>
    <t xml:space="preserve">Secondary payment pending</t>
  </si>
  <si>
    <t xml:space="preserve">Sheet</t>
  </si>
  <si>
    <t xml:space="preserve">Cell</t>
  </si>
  <si>
    <t xml:space="preserve">Change</t>
  </si>
  <si>
    <t xml:space="preserve">Denial Codes</t>
  </si>
  <si>
    <t xml:space="preserve">D41</t>
  </si>
  <si>
    <t xml:space="preserve">Filled blank: Upload the MR on the payer portal, note the PIQ/reference nu</t>
  </si>
  <si>
    <t xml:space="preserve">C109</t>
  </si>
  <si>
    <t xml:space="preserve">Filled blank: Not covered by plan</t>
  </si>
  <si>
    <t xml:space="preserve">D109</t>
  </si>
  <si>
    <t xml:space="preserve">Filled blank: Confirm benefits; bill the patient if an ABN/waiver is on fi</t>
  </si>
  <si>
    <t xml:space="preserve">C110</t>
  </si>
  <si>
    <t xml:space="preserve">Filled blank: Modifier issue</t>
  </si>
  <si>
    <t xml:space="preserve">D110</t>
  </si>
  <si>
    <t xml:space="preserve">Filled blank: Correct or add the modifier (e.g. NU/RR, KX, RT/LT, 25) and </t>
  </si>
  <si>
    <t xml:space="preserve">A111</t>
  </si>
  <si>
    <t xml:space="preserve">N88 row: long text shortened, Type/Reason/Fix filled in</t>
  </si>
  <si>
    <t xml:space="preserve">C115</t>
  </si>
  <si>
    <t xml:space="preserve">Filled blank: Credentialing / out of network</t>
  </si>
  <si>
    <t xml:space="preserve">D115</t>
  </si>
  <si>
    <t xml:space="preserve">Filled blank: Check provider enrollment, NPI/TIN and network status; appea</t>
  </si>
  <si>
    <t xml:space="preserve">C117</t>
  </si>
  <si>
    <t xml:space="preserve">Filled blank: Coding / billing error</t>
  </si>
  <si>
    <t xml:space="preserve">D117</t>
  </si>
  <si>
    <t xml:space="preserve">Filled blank: Fix the code, units, charge or other claim data and resubmit</t>
  </si>
  <si>
    <t xml:space="preserve">A118</t>
  </si>
  <si>
    <t xml:space="preserve">Removed duplicate row: N163 - Medical record does not support code billed per the c</t>
  </si>
  <si>
    <t xml:space="preserve">A119</t>
  </si>
  <si>
    <t xml:space="preserve">Removed duplicate row: N776 - This service is not a covered Telehealth service</t>
  </si>
  <si>
    <t xml:space="preserve">Added code used in claims but missing from list: N575 - Mismatch between the submitted ordering/ref</t>
  </si>
  <si>
    <t xml:space="preserve">Added code used in claims but missing from list: N674 - Not covered unless a pre-requisite procedur</t>
  </si>
  <si>
    <t xml:space="preserve">A120</t>
  </si>
  <si>
    <t xml:space="preserve">Added code used in claims but missing from list: N314 - Missing/incomplete/invalid diagnosis date</t>
  </si>
  <si>
    <t xml:space="preserve">A121</t>
  </si>
  <si>
    <t xml:space="preserve">Added code used in claims but missing from list: CO_131 - Claim specific negotiated discount</t>
  </si>
  <si>
    <t xml:space="preserve">A122</t>
  </si>
  <si>
    <t xml:space="preserve">Added code used in claims but missing from list: PR_119 - Benefit maximum for this time period or o</t>
  </si>
  <si>
    <t xml:space="preserve">All Claims - Draft</t>
  </si>
  <si>
    <t xml:space="preserve">BB20</t>
  </si>
  <si>
    <t xml:space="preserve">Wording matched to Denial Codes list. Was: CO_151 - Payer deems the information submitted does not support this many/frequency of services, N776 - This service is </t>
  </si>
  <si>
    <t xml:space="preserve">BB42</t>
  </si>
  <si>
    <t xml:space="preserve">Wording matched to Denial Codes list. Was: CO_150 - Information does not support this level of service</t>
  </si>
  <si>
    <t xml:space="preserve">BB53</t>
  </si>
  <si>
    <t xml:space="preserve">Wording matched to Denial Codes list. Was: CO_197 - Precertification/authorization/notification absent</t>
  </si>
  <si>
    <t xml:space="preserve">BB56</t>
  </si>
  <si>
    <t xml:space="preserve">Wording matched to Denial Codes list. Was: CO_97 - The benefit for this service is included in the payment/allowance for another service/procedure that has already</t>
  </si>
  <si>
    <t xml:space="preserve">BB89</t>
  </si>
  <si>
    <t xml:space="preserve">Wording matched to Denial Codes list. Was: CO_197 - Precertification/authorization/notification absent; CO_B15 - This service/procedure requires that a qualifying </t>
  </si>
  <si>
    <t xml:space="preserve">BB124</t>
  </si>
  <si>
    <t xml:space="preserve">Wording matched to Denial Codes list. Was: PR_119 - Benefit maximum reached</t>
  </si>
  <si>
    <t xml:space="preserve">BB138</t>
  </si>
  <si>
    <t xml:space="preserve">BB166</t>
  </si>
  <si>
    <t xml:space="preserve">BB174</t>
  </si>
  <si>
    <t xml:space="preserve">BB199</t>
  </si>
  <si>
    <t xml:space="preserve">BB230</t>
  </si>
  <si>
    <t xml:space="preserve">Wording matched to Denial Codes list. Was: MA04 - Secondary payment cannot be considered without the identity of or payment information from the primary payer</t>
  </si>
  <si>
    <t xml:space="preserve">BB237</t>
  </si>
  <si>
    <t xml:space="preserve">Wording matched to Denial Codes list. Was: CO_24 - Covered under capitation / managed care plan</t>
  </si>
  <si>
    <t xml:space="preserve">BB253</t>
  </si>
  <si>
    <t xml:space="preserve">Wording matched to Denial Codes list. Was: CO_236 - This procedure or procedure/modifier combination is not compatible with another procedure or procedure/modifier</t>
  </si>
  <si>
    <t xml:space="preserve">BB271</t>
  </si>
  <si>
    <t xml:space="preserve">Wording matched to Denial Codes list. Was: N575 - Mismatch between the submitted ordering/referring provider name and the ordering/referring provider name stored i</t>
  </si>
  <si>
    <t xml:space="preserve">BB284</t>
  </si>
  <si>
    <t xml:space="preserve">BB285</t>
  </si>
  <si>
    <t xml:space="preserve">BB286</t>
  </si>
  <si>
    <t xml:space="preserve">BB317</t>
  </si>
  <si>
    <t xml:space="preserve">Wording matched to Denial Codes list. Was: M15 - Separately billed services/tests have been bundled as they are considered components of the same procedure</t>
  </si>
  <si>
    <t xml:space="preserve">BB325</t>
  </si>
  <si>
    <t xml:space="preserve">Wording matched to Denial Codes list. Was: CO_183 - Referring provider not eligible to refer</t>
  </si>
  <si>
    <t xml:space="preserve">BB326</t>
  </si>
  <si>
    <t xml:space="preserve">BB332</t>
  </si>
  <si>
    <t xml:space="preserve">Wording matched to Denial Codes list. Was: CO_B7 - Provider not certified/eligible on date of service; N665 - Services by an unlicensed provider are not reimbursab</t>
  </si>
  <si>
    <t xml:space="preserve">BB367</t>
  </si>
  <si>
    <t xml:space="preserve">Wording matched to Denial Codes list. Was: PR_227 - Information requested from patient not provided; N179 - Additional information has been requested from the memb</t>
  </si>
  <si>
    <t xml:space="preserve">BB368</t>
  </si>
  <si>
    <t xml:space="preserve">Wording matched to Denial Codes list. Was: R10 - Optum Behavioral Health Responsibility; CO_109 - Not covered by this payer - send to the correct payer</t>
  </si>
  <si>
    <t xml:space="preserve">BB371</t>
  </si>
  <si>
    <t xml:space="preserve">BB374</t>
  </si>
  <si>
    <t xml:space="preserve">Wording matched to Denial Codes list. Was: CO_50 - These are non-covered services because this is not deemed a 'medical necessity' by the payer; CO_197 - Precertif</t>
  </si>
  <si>
    <t xml:space="preserve">BB375</t>
  </si>
  <si>
    <t xml:space="preserve">BB381</t>
  </si>
  <si>
    <t xml:space="preserve">BB382</t>
  </si>
  <si>
    <t xml:space="preserve">Wording matched to Denial Codes list. Was: CO_55 - Procedure/treatment/drug is deemed experimental/investigational by the payer; CO_97 - The benefit for this servi</t>
  </si>
  <si>
    <t xml:space="preserve">BB384</t>
  </si>
  <si>
    <t xml:space="preserve">BB392</t>
  </si>
  <si>
    <t xml:space="preserve">BB395</t>
  </si>
  <si>
    <t xml:space="preserve">BB397</t>
  </si>
  <si>
    <t xml:space="preserve">Wording matched to Denial Codes list. Was: CO_166 - Submitted after payer's responsibility ended</t>
  </si>
  <si>
    <t xml:space="preserve">BB399</t>
  </si>
  <si>
    <t xml:space="preserve">BB408</t>
  </si>
  <si>
    <t xml:space="preserve">BB411</t>
  </si>
  <si>
    <t xml:space="preserve">BB412</t>
  </si>
  <si>
    <t xml:space="preserve">BB413</t>
  </si>
  <si>
    <t xml:space="preserve">BB414</t>
  </si>
  <si>
    <t xml:space="preserve">BB418</t>
  </si>
  <si>
    <t xml:space="preserve">BB421</t>
  </si>
  <si>
    <t xml:space="preserve">Wording matched to Denial Codes list. Was: CO_109 - Claim/service not covered by this payer/contractor. You must send the claim/service to the correct payer/contra</t>
  </si>
  <si>
    <t xml:space="preserve">BB422</t>
  </si>
  <si>
    <t xml:space="preserve">BB423</t>
  </si>
  <si>
    <t xml:space="preserve">BB428</t>
  </si>
  <si>
    <t xml:space="preserve">BB431</t>
  </si>
  <si>
    <t xml:space="preserve">BB435</t>
  </si>
  <si>
    <t xml:space="preserve">BB437</t>
  </si>
  <si>
    <t xml:space="preserve">BB440</t>
  </si>
  <si>
    <t xml:space="preserve">Wording matched to Denial Codes list. Was: CO_B15 - This service/procedure requires that a qualifying service/procedure be received and covered. The qualifying oth</t>
  </si>
  <si>
    <t xml:space="preserve">BB445</t>
  </si>
  <si>
    <t xml:space="preserve">BB453</t>
  </si>
  <si>
    <t xml:space="preserve">Wording matched to Denial Codes list. Was: PR_204 - Not covered under patient's current benefit plan</t>
  </si>
  <si>
    <t xml:space="preserve">BB454</t>
  </si>
  <si>
    <t xml:space="preserve">BB455</t>
  </si>
  <si>
    <t xml:space="preserve">Wording matched to Denial Codes list. Was: CO_198 - Precertification/authorization exceeded</t>
  </si>
  <si>
    <t xml:space="preserve">BB456</t>
  </si>
  <si>
    <t xml:space="preserve">Wording matched to Denial Codes list. Was: CO_B16 - 'New patient' qualifications not met</t>
  </si>
  <si>
    <t xml:space="preserve">BB457</t>
  </si>
  <si>
    <t xml:space="preserve">BB462</t>
  </si>
  <si>
    <t xml:space="preserve">BB463</t>
  </si>
  <si>
    <t xml:space="preserve">BB465</t>
  </si>
  <si>
    <t xml:space="preserve">Wording matched to Denial Codes list. Was: CO_A1 - Claim/Service denied</t>
  </si>
  <si>
    <t xml:space="preserve">BB466</t>
  </si>
  <si>
    <t xml:space="preserve">BB468</t>
  </si>
  <si>
    <t xml:space="preserve">BB472</t>
  </si>
  <si>
    <t xml:space="preserve">BB476</t>
  </si>
  <si>
    <t xml:space="preserve">BB480</t>
  </si>
  <si>
    <t xml:space="preserve">BB485</t>
  </si>
  <si>
    <t xml:space="preserve">Wording matched to Denial Codes list. Was: CO_151 - Payment adjusted because the payer deems the information submitted does not support this many/frequency of serv</t>
  </si>
  <si>
    <t xml:space="preserve">BB488</t>
  </si>
  <si>
    <t xml:space="preserve">Wording matched to Denial Codes list. Was: CO_166 - These services were submitted after this payers responsibility for processing claims under this plan ended</t>
  </si>
  <si>
    <t xml:space="preserve">BB491</t>
  </si>
  <si>
    <t xml:space="preserve">BB492</t>
  </si>
  <si>
    <t xml:space="preserve">AU20</t>
  </si>
  <si>
    <t xml:space="preserve">AU456</t>
  </si>
</sst>
</file>

<file path=xl/styles.xml><?xml version="1.0" encoding="utf-8"?>
<styleSheet xmlns="http://schemas.openxmlformats.org/spreadsheetml/2006/main">
  <numFmts count="3">
    <numFmt numFmtId="164" formatCode="General"/>
    <numFmt numFmtId="165" formatCode="0"/>
    <numFmt numFmtId="166" formatCode="mm/dd/yyyy"/>
  </numFmts>
  <fonts count="12">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b val="true"/>
      <sz val="11"/>
      <color rgb="FFFFFFFF"/>
      <name val="Calibri"/>
      <family val="0"/>
      <charset val="1"/>
    </font>
    <font>
      <b val="true"/>
      <sz val="11"/>
      <name val="Cambria"/>
      <family val="0"/>
      <charset val="1"/>
    </font>
    <font>
      <b val="true"/>
      <sz val="11"/>
      <color rgb="FFFFFFFF"/>
      <name val="Calibri"/>
      <family val="2"/>
      <charset val="1"/>
    </font>
    <font>
      <sz val="11"/>
      <color rgb="FF006100"/>
      <name val="Calibri"/>
      <family val="2"/>
      <charset val="1"/>
    </font>
    <font>
      <sz val="11"/>
      <name val="Calibri"/>
      <family val="2"/>
      <charset val="1"/>
    </font>
    <font>
      <i val="true"/>
      <sz val="11"/>
      <color rgb="FF404040"/>
      <name val="Calibri"/>
      <family val="0"/>
      <charset val="1"/>
    </font>
    <font>
      <sz val="10"/>
      <name val="Arial"/>
      <family val="2"/>
    </font>
  </fonts>
  <fills count="6">
    <fill>
      <patternFill patternType="none"/>
    </fill>
    <fill>
      <patternFill patternType="gray125"/>
    </fill>
    <fill>
      <patternFill patternType="solid">
        <fgColor rgb="FF1F4E79"/>
        <bgColor rgb="FF003366"/>
      </patternFill>
    </fill>
    <fill>
      <patternFill patternType="solid">
        <fgColor rgb="FFC65911"/>
        <bgColor rgb="FF9C5700"/>
      </patternFill>
    </fill>
    <fill>
      <patternFill patternType="solid">
        <fgColor rgb="FF595959"/>
        <bgColor rgb="FF404040"/>
      </patternFill>
    </fill>
    <fill>
      <patternFill patternType="solid">
        <fgColor rgb="FFE2EFDA"/>
        <bgColor rgb="FFDDEBF7"/>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6" fontId="8" fillId="5"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left" vertical="top" textRotation="0" wrapText="false" indent="0" shrinkToFit="false"/>
      <protection locked="true" hidden="false"/>
    </xf>
    <xf numFmtId="164" fontId="8" fillId="5" borderId="1" xfId="0" applyFont="true" applyBorder="true" applyAlignment="true" applyProtection="false">
      <alignment horizontal="left"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2">
    <dxf>
      <fill>
        <patternFill patternType="solid">
          <fgColor rgb="FFBDD7EE"/>
          <bgColor rgb="FF000000"/>
        </patternFill>
      </fill>
    </dxf>
    <dxf>
      <fill>
        <patternFill patternType="solid">
          <fgColor rgb="FFBFBFBF"/>
          <bgColor rgb="FF000000"/>
        </patternFill>
      </fill>
    </dxf>
    <dxf>
      <fill>
        <patternFill patternType="solid">
          <fgColor rgb="FFC65911"/>
          <bgColor rgb="FF000000"/>
        </patternFill>
      </fill>
    </dxf>
    <dxf>
      <fill>
        <patternFill patternType="solid">
          <fgColor rgb="FFC6E0B4"/>
          <bgColor rgb="FF000000"/>
        </patternFill>
      </fill>
    </dxf>
    <dxf>
      <fill>
        <patternFill patternType="solid">
          <fgColor rgb="FFD9D2E9"/>
          <bgColor rgb="FF000000"/>
        </patternFill>
      </fill>
    </dxf>
    <dxf>
      <fill>
        <patternFill patternType="solid">
          <fgColor rgb="FFE4A0C8"/>
          <bgColor rgb="FF000000"/>
        </patternFill>
      </fill>
    </dxf>
    <dxf>
      <fill>
        <patternFill patternType="solid">
          <fgColor rgb="FFFCE4E4"/>
          <bgColor rgb="FF000000"/>
        </patternFill>
      </fill>
    </dxf>
    <dxf>
      <fill>
        <patternFill patternType="solid">
          <fgColor rgb="FFFF9933"/>
          <bgColor rgb="FF000000"/>
        </patternFill>
      </fill>
    </dxf>
    <dxf>
      <fill>
        <patternFill patternType="solid">
          <fgColor rgb="FFFF9F9F"/>
          <bgColor rgb="FF000000"/>
        </patternFill>
      </fill>
    </dxf>
    <dxf>
      <fill>
        <patternFill patternType="solid">
          <fgColor rgb="FFFFE699"/>
          <bgColor rgb="FF000000"/>
        </patternFill>
      </fill>
    </dxf>
    <dxf>
      <fill>
        <patternFill patternType="solid">
          <fgColor rgb="FF000000"/>
          <bgColor rgb="FF000000"/>
        </patternFill>
      </fill>
    </dxf>
    <dxf>
      <fill>
        <patternFill patternType="solid">
          <fgColor rgb="FF006100"/>
          <bgColor rgb="FF000000"/>
        </patternFill>
      </fill>
    </dxf>
    <dxf>
      <fill>
        <patternFill patternType="solid">
          <fgColor rgb="FFFFFFFF"/>
          <bgColor rgb="FF000000"/>
        </patternFill>
      </fill>
    </dxf>
    <dxf>
      <fill>
        <patternFill patternType="solid">
          <fgColor rgb="FF1F4E79"/>
          <bgColor rgb="FF000000"/>
        </patternFill>
      </fill>
    </dxf>
    <dxf>
      <fill>
        <patternFill patternType="solid">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808080"/>
          <bgColor rgb="FF000000"/>
        </patternFill>
      </fill>
    </dxf>
    <dxf>
      <fill>
        <patternFill patternType="solid">
          <fgColor rgb="FF9C0006"/>
          <bgColor rgb="FF000000"/>
        </patternFill>
      </fill>
    </dxf>
    <dxf>
      <fill>
        <patternFill patternType="solid">
          <fgColor rgb="FF9C6500"/>
          <bgColor rgb="FF000000"/>
        </patternFill>
      </fill>
    </dxf>
    <dxf>
      <fill>
        <patternFill patternType="solid">
          <fgColor rgb="FF595959"/>
          <bgColor rgb="FF000000"/>
        </patternFill>
      </fill>
    </dxf>
    <dxf>
      <fill>
        <patternFill patternType="solid">
          <fgColor rgb="FF404040"/>
          <bgColor rgb="FF000000"/>
        </patternFill>
      </fill>
    </dxf>
    <dxf>
      <fill>
        <patternFill patternType="solid">
          <fgColor rgb="FF9C5700"/>
          <bgColor rgb="FF000000"/>
        </patternFill>
      </fill>
    </dxf>
    <dxf>
      <fill>
        <patternFill>
          <bgColor rgb="FFBDD7EE"/>
        </patternFill>
      </fill>
    </dxf>
    <dxf>
      <font>
        <b val="1"/>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808080"/>
      </font>
      <fill>
        <patternFill>
          <bgColor rgb="FFD9D9D9"/>
        </patternFill>
      </fill>
    </dxf>
    <dxf>
      <font>
        <color rgb="FF1F4E79"/>
      </font>
      <fill>
        <patternFill>
          <bgColor rgb="FFDDEBF7"/>
        </patternFill>
      </fill>
    </dxf>
    <dxf>
      <fill>
        <patternFill>
          <bgColor rgb="FFC6E0B4"/>
        </patternFill>
      </fill>
    </dxf>
    <dxf>
      <fill>
        <patternFill>
          <bgColor rgb="FFD9D2E9"/>
        </patternFill>
      </fill>
    </dxf>
    <dxf>
      <fill>
        <patternFill>
          <bgColor rgb="FFFFE699"/>
        </patternFill>
      </fill>
    </dxf>
    <dxf>
      <font>
        <b val="1"/>
        <color rgb="FF000000"/>
      </font>
      <fill>
        <patternFill>
          <bgColor rgb="FFFF9933"/>
        </patternFill>
      </fill>
    </dxf>
    <dxf>
      <fill>
        <patternFill>
          <bgColor rgb="FFFF9F9F"/>
        </patternFill>
      </fill>
    </dxf>
    <dxf>
      <fill>
        <patternFill>
          <bgColor rgb="FFE4A0C8"/>
        </patternFill>
      </fill>
    </dxf>
    <dxf>
      <fill>
        <patternFill>
          <bgColor rgb="FFBFBFBF"/>
        </patternFill>
      </fill>
    </dxf>
    <dxf>
      <fill>
        <patternFill>
          <bgColor rgb="FFFCE4E4"/>
        </patternFill>
      </fill>
    </dxf>
    <dxf>
      <font>
        <b val="1"/>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E699"/>
      <rgbColor rgb="FFFF00FF"/>
      <rgbColor rgb="FF00FFFF"/>
      <rgbColor rgb="FF9C0006"/>
      <rgbColor rgb="FF006100"/>
      <rgbColor rgb="FF000080"/>
      <rgbColor rgb="FF9C6500"/>
      <rgbColor rgb="FF800080"/>
      <rgbColor rgb="FF008080"/>
      <rgbColor rgb="FFBFBFBF"/>
      <rgbColor rgb="FF808080"/>
      <rgbColor rgb="FF9999FF"/>
      <rgbColor rgb="FF993366"/>
      <rgbColor rgb="FFE2EFDA"/>
      <rgbColor rgb="FFDDEBF7"/>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D9D9D9"/>
      <rgbColor rgb="FFC6EFCE"/>
      <rgbColor rgb="FFFFEB9C"/>
      <rgbColor rgb="FFBDD7EE"/>
      <rgbColor rgb="FFFF9F9F"/>
      <rgbColor rgb="FFE4A0C8"/>
      <rgbColor rgb="FFFFC7CE"/>
      <rgbColor rgb="FF3366FF"/>
      <rgbColor rgb="FF33CCCC"/>
      <rgbColor rgb="FF99CC00"/>
      <rgbColor rgb="FFFCE4E4"/>
      <rgbColor rgb="FFFF9933"/>
      <rgbColor rgb="FFC65911"/>
      <rgbColor rgb="FF595959"/>
      <rgbColor rgb="FFC6E0B4"/>
      <rgbColor rgb="FF003366"/>
      <rgbColor rgb="FF339966"/>
      <rgbColor rgb="FF003300"/>
      <rgbColor rgb="FF333300"/>
      <rgbColor rgb="FF9C57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4" min="4" style="0" width="110"/>
  </cols>
  <sheetData>
    <row r="1" customFormat="false" ht="17.35" hidden="false" customHeight="false" outlineLevel="0" collapsed="false">
      <c r="A1" s="1" t="s">
        <v>0</v>
      </c>
    </row>
    <row r="3" customFormat="false" ht="15" hidden="false" customHeight="false" outlineLevel="0" collapsed="false">
      <c r="A3" s="2" t="s">
        <v>1</v>
      </c>
      <c r="B3" s="2" t="s">
        <v>2</v>
      </c>
      <c r="D3" s="3" t="s">
        <v>3</v>
      </c>
    </row>
    <row r="4" customFormat="false" ht="15" hidden="false" customHeight="false" outlineLevel="0" collapsed="false">
      <c r="A4" s="0" t="s">
        <v>4</v>
      </c>
      <c r="B4" s="0" t="n">
        <f aca="false">COUNTIF('All Claims - Draft'!$BF:$BF,A4)</f>
        <v>132</v>
      </c>
      <c r="D4" s="0" t="s">
        <v>5</v>
      </c>
    </row>
    <row r="5" customFormat="false" ht="15" hidden="false" customHeight="false" outlineLevel="0" collapsed="false">
      <c r="A5" s="0" t="s">
        <v>6</v>
      </c>
      <c r="B5" s="0" t="n">
        <f aca="false">COUNTIF('All Claims - Draft'!$BF:$BF,A5)</f>
        <v>27</v>
      </c>
      <c r="D5" s="0" t="s">
        <v>7</v>
      </c>
    </row>
    <row r="6" customFormat="false" ht="15" hidden="false" customHeight="false" outlineLevel="0" collapsed="false">
      <c r="A6" s="0" t="s">
        <v>8</v>
      </c>
      <c r="B6" s="0" t="n">
        <f aca="false">COUNTIF('All Claims - Draft'!$BF:$BF,A6)</f>
        <v>62</v>
      </c>
      <c r="D6" s="0" t="s">
        <v>9</v>
      </c>
    </row>
    <row r="7" customFormat="false" ht="15" hidden="false" customHeight="false" outlineLevel="0" collapsed="false">
      <c r="A7" s="0" t="s">
        <v>10</v>
      </c>
      <c r="B7" s="0" t="n">
        <f aca="false">COUNTIF('All Claims - Draft'!$BF:$BF,A7)</f>
        <v>77</v>
      </c>
      <c r="D7" s="0" t="s">
        <v>11</v>
      </c>
    </row>
    <row r="8" customFormat="false" ht="15" hidden="false" customHeight="false" outlineLevel="0" collapsed="false">
      <c r="A8" s="0" t="s">
        <v>12</v>
      </c>
      <c r="B8" s="0" t="n">
        <f aca="false">COUNTIF('All Claims - Draft'!$BF:$BF,A8)</f>
        <v>195</v>
      </c>
      <c r="D8" s="0" t="s">
        <v>13</v>
      </c>
    </row>
    <row r="9" customFormat="false" ht="15" hidden="false" customHeight="false" outlineLevel="0" collapsed="false">
      <c r="D9" s="0" t="s">
        <v>14</v>
      </c>
    </row>
    <row r="10" customFormat="false" ht="15" hidden="false" customHeight="false" outlineLevel="0" collapsed="false">
      <c r="A10" s="2" t="s">
        <v>15</v>
      </c>
      <c r="B10" s="2" t="s">
        <v>2</v>
      </c>
    </row>
    <row r="11" customFormat="false" ht="15" hidden="false" customHeight="false" outlineLevel="0" collapsed="false">
      <c r="A11" s="0" t="s">
        <v>16</v>
      </c>
      <c r="B11" s="0" t="n">
        <f aca="false">COUNTIF('All Claims - Draft'!$A:$A,A11)</f>
        <v>195</v>
      </c>
    </row>
    <row r="12" customFormat="false" ht="15" hidden="false" customHeight="false" outlineLevel="0" collapsed="false">
      <c r="A12" s="0" t="s">
        <v>17</v>
      </c>
      <c r="B12" s="0" t="n">
        <f aca="false">COUNTIF('All Claims - Draft'!$A:$A,A12)</f>
        <v>163</v>
      </c>
    </row>
    <row r="13" customFormat="false" ht="15" hidden="false" customHeight="false" outlineLevel="0" collapsed="false">
      <c r="A13" s="0" t="s">
        <v>18</v>
      </c>
      <c r="B13" s="0" t="n">
        <f aca="false">COUNTIF('All Claims - Draft'!$A:$A,A13)</f>
        <v>51</v>
      </c>
    </row>
    <row r="14" customFormat="false" ht="15" hidden="false" customHeight="false" outlineLevel="0" collapsed="false">
      <c r="A14" s="0" t="s">
        <v>19</v>
      </c>
      <c r="B14" s="0" t="n">
        <f aca="false">COUNTIF('All Claims - Draft'!$A:$A,A14)</f>
        <v>39</v>
      </c>
    </row>
    <row r="15" customFormat="false" ht="15" hidden="false" customHeight="false" outlineLevel="0" collapsed="false">
      <c r="A15" s="0" t="s">
        <v>20</v>
      </c>
      <c r="B15" s="0" t="n">
        <f aca="false">COUNTIF('All Claims - Draft'!$A:$A,A15)</f>
        <v>23</v>
      </c>
    </row>
    <row r="16" customFormat="false" ht="15" hidden="false" customHeight="false" outlineLevel="0" collapsed="false">
      <c r="A16" s="0" t="s">
        <v>21</v>
      </c>
      <c r="B16" s="0" t="n">
        <f aca="false">COUNTIF('All Claims - Draft'!$A:$A,A16)</f>
        <v>15</v>
      </c>
    </row>
    <row r="17" customFormat="false" ht="15" hidden="false" customHeight="false" outlineLevel="0" collapsed="false">
      <c r="A17" s="0" t="s">
        <v>22</v>
      </c>
      <c r="B17" s="0" t="n">
        <f aca="false">COUNTIF('All Claims - Draft'!$A:$A,A17)</f>
        <v>4</v>
      </c>
    </row>
    <row r="18" customFormat="false" ht="15" hidden="false" customHeight="false" outlineLevel="0" collapsed="false">
      <c r="A18" s="0" t="s">
        <v>23</v>
      </c>
      <c r="B18" s="0" t="n">
        <f aca="false">COUNTIF('All Claims - Draft'!$A:$A,A18)</f>
        <v>3</v>
      </c>
    </row>
    <row r="20" customFormat="false" ht="15" hidden="false" customHeight="false" outlineLevel="0" collapsed="false">
      <c r="A20" s="2" t="s">
        <v>24</v>
      </c>
      <c r="B20" s="2" t="s">
        <v>2</v>
      </c>
    </row>
    <row r="21" customFormat="false" ht="15" hidden="false" customHeight="false" outlineLevel="0" collapsed="false">
      <c r="A21" s="0" t="s">
        <v>25</v>
      </c>
      <c r="B21" s="0" t="n">
        <f aca="false">COUNTIF('All Claims - Draft'!$BH:$BH,"*"&amp;A21&amp;"*")</f>
        <v>31</v>
      </c>
    </row>
    <row r="22" customFormat="false" ht="15" hidden="false" customHeight="false" outlineLevel="0" collapsed="false">
      <c r="A22" s="0" t="s">
        <v>26</v>
      </c>
      <c r="B22" s="0" t="n">
        <f aca="false">COUNTIF('All Claims - Draft'!$BH:$BH,"*"&amp;A22&amp;"*")</f>
        <v>61</v>
      </c>
    </row>
    <row r="23" customFormat="false" ht="15" hidden="false" customHeight="false" outlineLevel="0" collapsed="false">
      <c r="A23" s="0" t="s">
        <v>27</v>
      </c>
      <c r="B23" s="0" t="n">
        <f aca="false">COUNTIF('All Claims - Draft'!$BH:$BH,"*"&amp;A23&amp;"*")</f>
        <v>53</v>
      </c>
    </row>
    <row r="24" customFormat="false" ht="15" hidden="false" customHeight="false" outlineLevel="0" collapsed="false">
      <c r="A24" s="0" t="s">
        <v>28</v>
      </c>
      <c r="B24" s="0" t="n">
        <f aca="false">COUNTIF('All Claims - Draft'!$BH:$BH,"*"&amp;A24&amp;"*")</f>
        <v>8</v>
      </c>
    </row>
    <row r="25" customFormat="false" ht="15" hidden="false" customHeight="false" outlineLevel="0" collapsed="false">
      <c r="A25" s="0" t="s">
        <v>29</v>
      </c>
      <c r="B25" s="0" t="n">
        <f aca="false">COUNTIF('All Claims - Draft'!$BH:$BH,"*"&amp;A25&amp;"*")</f>
        <v>69</v>
      </c>
    </row>
    <row r="26" customFormat="false" ht="15" hidden="false" customHeight="false" outlineLevel="0" collapsed="false">
      <c r="A26" s="0" t="s">
        <v>30</v>
      </c>
      <c r="B26" s="0" t="n">
        <f aca="false">COUNTIF('All Claims - Draft'!$BH:$BH,"*"&amp;A26&amp;"*")</f>
        <v>62</v>
      </c>
    </row>
    <row r="27" customFormat="false" ht="15" hidden="false" customHeight="false" outlineLevel="0" collapsed="false">
      <c r="A27" s="0" t="s">
        <v>31</v>
      </c>
      <c r="B27" s="0" t="n">
        <f aca="false">COUNTIF('All Claims - Draft'!$BH:$BH,"*"&amp;A27&amp;"*")</f>
        <v>198</v>
      </c>
    </row>
    <row r="28" customFormat="false" ht="15" hidden="false" customHeight="false" outlineLevel="0" collapsed="false">
      <c r="A28" s="0" t="s">
        <v>32</v>
      </c>
      <c r="B28" s="0" t="n">
        <f aca="false">COUNTIF('All Claims - Draft'!$BH:$BH,"*"&amp;A28&amp;"*")</f>
        <v>7</v>
      </c>
    </row>
    <row r="30" customFormat="false" ht="15" hidden="false" customHeight="false" outlineLevel="0" collapsed="false">
      <c r="A30" s="2" t="s">
        <v>33</v>
      </c>
      <c r="B30" s="2" t="s">
        <v>2</v>
      </c>
    </row>
    <row r="31" customFormat="false" ht="15" hidden="false" customHeight="false" outlineLevel="0" collapsed="false">
      <c r="A31" s="0" t="s">
        <v>34</v>
      </c>
      <c r="B31" s="0" t="n">
        <f aca="false">COUNTIFS('All Claims - Draft'!$BA:$BA,A31&amp;"*",'All Claims - Draft'!$A:$A,"&lt;&gt;Finalized")</f>
        <v>19</v>
      </c>
    </row>
    <row r="32" customFormat="false" ht="15" hidden="false" customHeight="false" outlineLevel="0" collapsed="false">
      <c r="A32" s="0" t="s">
        <v>35</v>
      </c>
      <c r="B32" s="0" t="n">
        <f aca="false">COUNTIFS('All Claims - Draft'!$BA:$BA,A32&amp;"*",'All Claims - Draft'!$A:$A,"&lt;&gt;Finalized")</f>
        <v>3</v>
      </c>
    </row>
    <row r="33" customFormat="false" ht="15" hidden="false" customHeight="false" outlineLevel="0" collapsed="false">
      <c r="A33" s="0" t="s">
        <v>36</v>
      </c>
      <c r="B33" s="0" t="n">
        <f aca="false">COUNTIFS('All Claims - Draft'!$BA:$BA,A33&amp;"*",'All Claims - Draft'!$A:$A,"&lt;&gt;Finalized")</f>
        <v>45</v>
      </c>
    </row>
    <row r="34" customFormat="false" ht="15" hidden="false" customHeight="false" outlineLevel="0" collapsed="false">
      <c r="A34" s="0" t="s">
        <v>37</v>
      </c>
      <c r="B34" s="0" t="n">
        <f aca="false">COUNTIFS('All Claims - Draft'!$BA:$BA,A34&amp;"*",'All Claims - Draft'!$A:$A,"&lt;&gt;Finalized")</f>
        <v>21</v>
      </c>
    </row>
    <row r="35" customFormat="false" ht="15" hidden="false" customHeight="false" outlineLevel="0" collapsed="false">
      <c r="A35" s="0" t="s">
        <v>38</v>
      </c>
      <c r="B35" s="0" t="n">
        <f aca="false">COUNTIFS('All Claims - Draft'!$BA:$BA,A35&amp;"*",'All Claims - Draft'!$A:$A,"&lt;&gt;Finalized")</f>
        <v>10</v>
      </c>
    </row>
    <row r="36" customFormat="false" ht="15" hidden="false" customHeight="false" outlineLevel="0" collapsed="false">
      <c r="A36" s="0" t="s">
        <v>39</v>
      </c>
      <c r="B36" s="0" t="n">
        <f aca="false">COUNTIFS('All Claims - Draft'!$BA:$BA,A36&amp;"*",'All Claims - Draft'!$A:$A,"&lt;&gt;Finalized")</f>
        <v>4</v>
      </c>
    </row>
    <row r="37" customFormat="false" ht="15" hidden="false" customHeight="false" outlineLevel="0" collapsed="false">
      <c r="A37" s="0" t="s">
        <v>40</v>
      </c>
      <c r="B37" s="0" t="n">
        <f aca="false">COUNTIFS('All Claims - Draft'!$BA:$BA,A37&amp;"*",'All Claims - Draft'!$A:$A,"&lt;&gt;Finalized")</f>
        <v>16</v>
      </c>
    </row>
    <row r="38" customFormat="false" ht="15" hidden="false" customHeight="false" outlineLevel="0" collapsed="false">
      <c r="A38" s="0" t="s">
        <v>41</v>
      </c>
      <c r="B38" s="0" t="n">
        <f aca="false">COUNTIFS('All Claims - Draft'!$BA:$BA,A38&amp;"*",'All Claims - Draft'!$A:$A,"&lt;&gt;Finalized")</f>
        <v>3</v>
      </c>
    </row>
    <row r="39" customFormat="false" ht="15" hidden="false" customHeight="false" outlineLevel="0" collapsed="false">
      <c r="A39" s="0" t="s">
        <v>42</v>
      </c>
      <c r="B39" s="0" t="n">
        <f aca="false">COUNTIFS('All Claims - Draft'!$BA:$BA,A39&amp;"*",'All Claims - Draft'!$A:$A,"&lt;&gt;Finalized")</f>
        <v>0</v>
      </c>
    </row>
    <row r="40" customFormat="false" ht="15" hidden="false" customHeight="false" outlineLevel="0" collapsed="false">
      <c r="A40" s="0" t="s">
        <v>43</v>
      </c>
      <c r="B40" s="0" t="n">
        <f aca="false">COUNTIFS('All Claims - Draft'!$BA:$BA,A40&amp;"*",'All Claims - Draft'!$A:$A,"&lt;&gt;Finalized")</f>
        <v>8</v>
      </c>
    </row>
    <row r="41" customFormat="false" ht="15" hidden="false" customHeight="false" outlineLevel="0" collapsed="false">
      <c r="A41" s="0" t="s">
        <v>44</v>
      </c>
      <c r="B41" s="0" t="n">
        <f aca="false">COUNTIFS('All Claims - Draft'!$BA:$BA,A41&amp;"*",'All Claims - Draft'!$A:$A,"&lt;&gt;Finalized")</f>
        <v>22</v>
      </c>
    </row>
    <row r="42" customFormat="false" ht="15" hidden="false" customHeight="false" outlineLevel="0" collapsed="false">
      <c r="A42" s="0" t="s">
        <v>45</v>
      </c>
      <c r="B42" s="0" t="n">
        <f aca="false">COUNTIFS('All Claims - Draft'!$BA:$BA,A42&amp;"*",'All Claims - Draft'!$A:$A,"&lt;&gt;Finalized")</f>
        <v>11</v>
      </c>
    </row>
    <row r="43" customFormat="false" ht="15" hidden="false" customHeight="false" outlineLevel="0" collapsed="false">
      <c r="A43" s="0" t="s">
        <v>46</v>
      </c>
      <c r="B43" s="0" t="n">
        <f aca="false">COUNTIFS('All Claims - Draft'!$BA:$BA,A43&amp;"*",'All Claims - Draft'!$A:$A,"&lt;&gt;Finalized")</f>
        <v>27</v>
      </c>
    </row>
    <row r="44" customFormat="false" ht="15" hidden="false" customHeight="false" outlineLevel="0" collapsed="false">
      <c r="A44" s="0" t="s">
        <v>47</v>
      </c>
      <c r="B44" s="0" t="n">
        <f aca="false">COUNTIFS('All Claims - Draft'!$BA:$BA,A44&amp;"*",'All Claims - Draft'!$A:$A,"&lt;&gt;Finalized")</f>
        <v>19</v>
      </c>
    </row>
    <row r="45" customFormat="false" ht="15" hidden="false" customHeight="false" outlineLevel="0" collapsed="false">
      <c r="A45" s="0" t="s">
        <v>48</v>
      </c>
      <c r="B45" s="0" t="n">
        <f aca="false">COUNTIFS('All Claims - Draft'!$BA:$BA,A45&amp;"*",'All Claims - Draft'!$A:$A,"&lt;&gt;Finalized")</f>
        <v>15</v>
      </c>
    </row>
    <row r="46" customFormat="false" ht="15" hidden="false" customHeight="false" outlineLevel="0" collapsed="false">
      <c r="A46" s="0" t="s">
        <v>49</v>
      </c>
      <c r="B46" s="0" t="n">
        <f aca="false">COUNTIFS('All Claims - Draft'!$BA:$BA,A46&amp;"*",'All Claims - Draft'!$A:$A,"&lt;&gt;Finalized")</f>
        <v>0</v>
      </c>
    </row>
    <row r="47" customFormat="false" ht="15" hidden="false" customHeight="false" outlineLevel="0" collapsed="false">
      <c r="A47" s="0" t="s">
        <v>50</v>
      </c>
      <c r="B47" s="0" t="n">
        <f aca="false">COUNTIFS('All Claims - Draft'!$BA:$BA,A47&amp;"*",'All Claims - Draft'!$A:$A,"&lt;&gt;Finalized")</f>
        <v>2</v>
      </c>
    </row>
    <row r="48" customFormat="false" ht="15" hidden="false" customHeight="false" outlineLevel="0" collapsed="false">
      <c r="A48" s="0" t="s">
        <v>51</v>
      </c>
      <c r="B48" s="0" t="n">
        <f aca="false">COUNTIFS('All Claims - Draft'!$BA:$BA,A48&amp;"*",'All Claims - Draft'!$A:$A,"&lt;&gt;Finalized")</f>
        <v>2</v>
      </c>
    </row>
    <row r="49" customFormat="false" ht="15" hidden="false" customHeight="false" outlineLevel="0" collapsed="false">
      <c r="A49" s="0" t="s">
        <v>52</v>
      </c>
      <c r="B49" s="0" t="n">
        <f aca="false">COUNTIFS('All Claims - Draft'!$BA:$BA,A49&amp;"*",'All Claims - Draft'!$A:$A,"&lt;&gt;Finalized")</f>
        <v>1</v>
      </c>
    </row>
    <row r="50" customFormat="false" ht="15" hidden="false" customHeight="false" outlineLevel="0" collapsed="false">
      <c r="A50" s="0" t="s">
        <v>53</v>
      </c>
      <c r="B50" s="0" t="n">
        <f aca="false">COUNTIFS('All Claims - Draft'!$BA:$BA,A50&amp;"*",'All Claims - Draft'!$A:$A,"&lt;&gt;Finalized")</f>
        <v>0</v>
      </c>
    </row>
    <row r="51" customFormat="false" ht="15" hidden="false" customHeight="false" outlineLevel="0" collapsed="false">
      <c r="A51" s="0" t="s">
        <v>54</v>
      </c>
      <c r="B51" s="0" t="n">
        <f aca="false">COUNTIFS('All Claims - Draft'!$BA:$BA,A51&amp;"*",'All Claims - Draft'!$A:$A,"&lt;&gt;Finalized")</f>
        <v>3</v>
      </c>
    </row>
    <row r="52" customFormat="false" ht="15" hidden="false" customHeight="false" outlineLevel="0" collapsed="false">
      <c r="A52" s="0" t="s">
        <v>55</v>
      </c>
      <c r="B52" s="0" t="n">
        <f aca="false">COUNTIFS('All Claims - Draft'!$BA:$BA,A52&amp;"*",'All Claims - Draft'!$A:$A,"&lt;&gt;Finalized")</f>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494"/>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98" activeCellId="0" sqref="D98"/>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6.71"/>
    <col collapsed="false" customWidth="true" hidden="false" outlineLevel="0" max="3" min="3" style="0" width="18"/>
    <col collapsed="false" customWidth="true" hidden="false" outlineLevel="0" max="4" min="4" style="0" width="15"/>
    <col collapsed="false" customWidth="true" hidden="false" outlineLevel="0" max="5" min="5" style="0" width="14"/>
    <col collapsed="false" customWidth="true" hidden="false" outlineLevel="0" max="6" min="6" style="0" width="16.43"/>
    <col collapsed="false" customWidth="true" hidden="false" outlineLevel="0" max="8" min="7" style="0" width="37.86"/>
    <col collapsed="false" customWidth="true" hidden="true" outlineLevel="0" max="9" min="9" style="0" width="28.29"/>
    <col collapsed="false" customWidth="true" hidden="false" outlineLevel="0" max="10" min="10" style="0" width="31.71"/>
    <col collapsed="false" customWidth="true" hidden="false" outlineLevel="0" max="11" min="11" style="0" width="16.14"/>
    <col collapsed="false" customWidth="true" hidden="false" outlineLevel="0" max="12" min="12" style="0" width="12"/>
    <col collapsed="false" customWidth="true" hidden="false" outlineLevel="0" max="13" min="13" style="0" width="19.86"/>
    <col collapsed="false" customWidth="true" hidden="false" outlineLevel="0" max="14" min="14" style="0" width="19.29"/>
    <col collapsed="false" customWidth="true" hidden="true" outlineLevel="0" max="15" min="15" style="0" width="17"/>
    <col collapsed="false" customWidth="true" hidden="true" outlineLevel="0" max="16" min="16" style="0" width="14"/>
    <col collapsed="false" customWidth="true" hidden="true" outlineLevel="0" max="17" min="17" style="0" width="30"/>
    <col collapsed="false" customWidth="true" hidden="true" outlineLevel="0" max="18" min="18" style="0" width="14"/>
    <col collapsed="false" customWidth="true" hidden="true" outlineLevel="0" max="19" min="19" style="0" width="16"/>
    <col collapsed="false" customWidth="true" hidden="true" outlineLevel="0" max="20" min="20" style="0" width="13"/>
    <col collapsed="false" customWidth="true" hidden="true" outlineLevel="0" max="21" min="21" style="0" width="16"/>
    <col collapsed="false" customWidth="true" hidden="true" outlineLevel="0" max="22" min="22" style="0" width="18"/>
    <col collapsed="false" customWidth="true" hidden="false" outlineLevel="0" max="26" min="23" style="0" width="11"/>
    <col collapsed="false" customWidth="true" hidden="false" outlineLevel="0" max="27" min="27" style="0" width="10"/>
    <col collapsed="false" customWidth="true" hidden="false" outlineLevel="0" max="28" min="28" style="0" width="24"/>
    <col collapsed="false" customWidth="true" hidden="false" outlineLevel="0" max="35" min="29" style="0" width="11"/>
    <col collapsed="false" customWidth="true" hidden="false" outlineLevel="0" max="39" min="36" style="0" width="16"/>
    <col collapsed="false" customWidth="true" hidden="false" outlineLevel="0" max="40" min="40" style="0" width="20"/>
    <col collapsed="false" customWidth="true" hidden="false" outlineLevel="0" max="41" min="41" style="0" width="22"/>
    <col collapsed="false" customWidth="true" hidden="false" outlineLevel="0" max="42" min="42" style="0" width="24"/>
    <col collapsed="false" customWidth="true" hidden="false" outlineLevel="0" max="43" min="43" style="0" width="14"/>
    <col collapsed="false" customWidth="true" hidden="false" outlineLevel="0" max="50" min="44" style="0" width="16"/>
    <col collapsed="false" customWidth="true" hidden="false" outlineLevel="0" max="51" min="51" style="0" width="18"/>
    <col collapsed="false" customWidth="true" hidden="false" outlineLevel="0" max="52" min="52" style="0" width="16"/>
    <col collapsed="false" customWidth="true" hidden="false" outlineLevel="0" max="53" min="53" style="0" width="24"/>
    <col collapsed="false" customWidth="true" hidden="false" outlineLevel="0" max="54" min="54" style="0" width="18"/>
    <col collapsed="false" customWidth="true" hidden="false" outlineLevel="0" max="55" min="55" style="0" width="24"/>
    <col collapsed="false" customWidth="true" hidden="false" outlineLevel="0" max="56" min="56" style="0" width="13"/>
    <col collapsed="false" customWidth="true" hidden="false" outlineLevel="0" max="57" min="57" style="0" width="40"/>
    <col collapsed="false" customWidth="true" hidden="false" outlineLevel="0" max="58" min="58" style="0" width="30"/>
    <col collapsed="false" customWidth="true" hidden="false" outlineLevel="0" max="59" min="59" style="0" width="12"/>
    <col collapsed="false" customWidth="true" hidden="false" outlineLevel="0" max="60" min="60" style="0" width="38"/>
    <col collapsed="false" customWidth="true" hidden="false" outlineLevel="0" max="61" min="61" style="0" width="26"/>
    <col collapsed="false" customWidth="true" hidden="false" outlineLevel="0" max="62" min="62" style="0" width="50"/>
  </cols>
  <sheetData>
    <row r="1" customFormat="false" ht="30" hidden="false" customHeight="true" outlineLevel="0" collapsed="false">
      <c r="A1" s="4" t="s">
        <v>15</v>
      </c>
      <c r="B1" s="4" t="s">
        <v>25</v>
      </c>
      <c r="C1" s="5" t="s">
        <v>56</v>
      </c>
      <c r="D1" s="5" t="s">
        <v>57</v>
      </c>
      <c r="E1" s="5" t="s">
        <v>58</v>
      </c>
      <c r="F1" s="5" t="s">
        <v>59</v>
      </c>
      <c r="G1" s="5" t="s">
        <v>60</v>
      </c>
      <c r="H1" s="5" t="s">
        <v>61</v>
      </c>
      <c r="I1" s="5" t="s">
        <v>62</v>
      </c>
      <c r="J1" s="5" t="s">
        <v>63</v>
      </c>
      <c r="K1" s="4" t="s">
        <v>26</v>
      </c>
      <c r="L1" s="5" t="s">
        <v>64</v>
      </c>
      <c r="M1" s="5" t="s">
        <v>65</v>
      </c>
      <c r="N1" s="5" t="s">
        <v>66</v>
      </c>
      <c r="O1" s="5" t="s">
        <v>67</v>
      </c>
      <c r="P1" s="5" t="s">
        <v>68</v>
      </c>
      <c r="Q1" s="5" t="s">
        <v>69</v>
      </c>
      <c r="R1" s="5" t="s">
        <v>70</v>
      </c>
      <c r="S1" s="5" t="s">
        <v>71</v>
      </c>
      <c r="T1" s="5" t="s">
        <v>72</v>
      </c>
      <c r="U1" s="5" t="s">
        <v>73</v>
      </c>
      <c r="V1" s="5" t="s">
        <v>74</v>
      </c>
      <c r="W1" s="5" t="s">
        <v>75</v>
      </c>
      <c r="X1" s="5" t="s">
        <v>76</v>
      </c>
      <c r="Y1" s="5" t="s">
        <v>77</v>
      </c>
      <c r="Z1" s="5" t="s">
        <v>78</v>
      </c>
      <c r="AA1" s="5" t="s">
        <v>79</v>
      </c>
      <c r="AB1" s="5" t="s">
        <v>80</v>
      </c>
      <c r="AC1" s="5" t="s">
        <v>81</v>
      </c>
      <c r="AD1" s="5" t="s">
        <v>82</v>
      </c>
      <c r="AE1" s="5" t="s">
        <v>83</v>
      </c>
      <c r="AF1" s="5" t="s">
        <v>84</v>
      </c>
      <c r="AG1" s="5" t="s">
        <v>85</v>
      </c>
      <c r="AH1" s="5" t="s">
        <v>86</v>
      </c>
      <c r="AI1" s="5" t="s">
        <v>87</v>
      </c>
      <c r="AJ1" s="5" t="s">
        <v>88</v>
      </c>
      <c r="AK1" s="5" t="s">
        <v>89</v>
      </c>
      <c r="AL1" s="5" t="s">
        <v>90</v>
      </c>
      <c r="AM1" s="5" t="s">
        <v>91</v>
      </c>
      <c r="AN1" s="5" t="s">
        <v>92</v>
      </c>
      <c r="AO1" s="5" t="s">
        <v>93</v>
      </c>
      <c r="AP1" s="5" t="s">
        <v>94</v>
      </c>
      <c r="AQ1" s="5" t="s">
        <v>95</v>
      </c>
      <c r="AR1" s="4" t="s">
        <v>96</v>
      </c>
      <c r="AS1" s="4" t="s">
        <v>97</v>
      </c>
      <c r="AT1" s="4" t="s">
        <v>98</v>
      </c>
      <c r="AU1" s="4" t="s">
        <v>99</v>
      </c>
      <c r="AV1" s="4" t="s">
        <v>100</v>
      </c>
      <c r="AW1" s="4" t="s">
        <v>101</v>
      </c>
      <c r="AX1" s="4" t="s">
        <v>102</v>
      </c>
      <c r="AY1" s="4" t="s">
        <v>27</v>
      </c>
      <c r="AZ1" s="4" t="s">
        <v>103</v>
      </c>
      <c r="BA1" s="4" t="s">
        <v>28</v>
      </c>
      <c r="BB1" s="4" t="s">
        <v>29</v>
      </c>
      <c r="BC1" s="4" t="s">
        <v>104</v>
      </c>
      <c r="BD1" s="4" t="s">
        <v>30</v>
      </c>
      <c r="BE1" s="4" t="s">
        <v>31</v>
      </c>
      <c r="BF1" s="6" t="s">
        <v>1</v>
      </c>
      <c r="BG1" s="6" t="s">
        <v>105</v>
      </c>
      <c r="BH1" s="6" t="s">
        <v>106</v>
      </c>
      <c r="BI1" s="6" t="s">
        <v>107</v>
      </c>
      <c r="BJ1" s="6" t="s">
        <v>108</v>
      </c>
    </row>
    <row r="2" customFormat="false" ht="15" hidden="false" customHeight="false" outlineLevel="0" collapsed="false">
      <c r="A2" s="7" t="s">
        <v>20</v>
      </c>
      <c r="B2" s="7" t="s">
        <v>109</v>
      </c>
      <c r="C2" s="8" t="n">
        <v>546185672</v>
      </c>
      <c r="D2" s="9" t="n">
        <v>46252</v>
      </c>
      <c r="E2" s="10" t="s">
        <v>110</v>
      </c>
      <c r="F2" s="11" t="n">
        <v>46035</v>
      </c>
      <c r="G2" s="10" t="s">
        <v>111</v>
      </c>
      <c r="H2" s="10" t="s">
        <v>112</v>
      </c>
      <c r="I2" s="10" t="s">
        <v>111</v>
      </c>
      <c r="J2" s="10" t="s">
        <v>113</v>
      </c>
      <c r="K2" s="9"/>
      <c r="L2" s="12" t="n">
        <f aca="true">IF($O2="","",$O2-TODAY())</f>
        <v>89</v>
      </c>
      <c r="M2" s="12" t="n">
        <f aca="true">IF(AND(TRIM($A2)="Finalized",$K2&lt;&gt;""),"",IF($D2="","",$D2+365-TODAY()))</f>
        <v>306</v>
      </c>
      <c r="N2" s="12" t="n">
        <f aca="true">IF(AND(TRIM($A2)="Finalized",$K2&lt;&gt;""),"",IF($D2="","",$D2+120-TODAY()))</f>
        <v>61</v>
      </c>
      <c r="O2" s="11" t="n">
        <f aca="false">IF(AND(TRIM($A2)="Finalized",$K2&lt;&gt;""),"",DATE(2027,1,13))</f>
        <v>46400</v>
      </c>
      <c r="P2" s="10" t="s">
        <v>114</v>
      </c>
      <c r="Q2" s="10" t="s">
        <v>115</v>
      </c>
      <c r="R2" s="10" t="s">
        <v>114</v>
      </c>
      <c r="S2" s="10" t="s">
        <v>116</v>
      </c>
      <c r="T2" s="10" t="s">
        <v>117</v>
      </c>
      <c r="U2" s="10" t="s">
        <v>116</v>
      </c>
      <c r="V2" s="10" t="s">
        <v>118</v>
      </c>
      <c r="W2" s="10" t="s">
        <v>119</v>
      </c>
      <c r="X2" s="10" t="s">
        <v>120</v>
      </c>
      <c r="Y2" s="10"/>
      <c r="Z2" s="10"/>
      <c r="AA2" s="10" t="s">
        <v>121</v>
      </c>
      <c r="AB2" s="8" t="n">
        <f aca="true">IF($F2="","",TODAY()-$F2)</f>
        <v>276</v>
      </c>
      <c r="AC2" s="10" t="s">
        <v>122</v>
      </c>
      <c r="AD2" s="10"/>
      <c r="AE2" s="10"/>
      <c r="AF2" s="10"/>
      <c r="AG2" s="10"/>
      <c r="AH2" s="10"/>
      <c r="AI2" s="10"/>
      <c r="AJ2" s="10" t="s">
        <v>123</v>
      </c>
      <c r="AK2" s="10" t="s">
        <v>124</v>
      </c>
      <c r="AL2" s="10"/>
      <c r="AM2" s="10"/>
      <c r="AN2" s="8" t="n">
        <v>552888745</v>
      </c>
      <c r="AO2" s="10" t="s">
        <v>125</v>
      </c>
      <c r="AP2" s="10" t="s">
        <v>126</v>
      </c>
      <c r="AQ2" s="11" t="n">
        <v>46036</v>
      </c>
      <c r="AR2" s="13"/>
      <c r="AS2" s="13"/>
      <c r="AT2" s="13"/>
      <c r="AU2" s="13"/>
      <c r="AV2" s="13"/>
      <c r="AW2" s="13"/>
      <c r="AX2" s="13"/>
      <c r="AY2" s="7"/>
      <c r="AZ2" s="7"/>
      <c r="BA2" s="7"/>
      <c r="BB2" s="7"/>
      <c r="BC2" s="7"/>
      <c r="BD2" s="9"/>
      <c r="BE2" s="7"/>
      <c r="BF2" s="14" t="str">
        <f aca="true">IF(TRIM($A2)="Finalized","Closed",IF($BD2="","No review date set",IF($BD2&lt;TODAY(),"OVERDUE",IF($BD2-TODAY()&lt;=7,"Due within 7 days","Scheduled"))))</f>
        <v>No review date set</v>
      </c>
      <c r="BG2" s="14" t="str">
        <f aca="true">IF($K2="","",TODAY()-$K2)</f>
        <v/>
      </c>
      <c r="BH2" s="15" t="str">
        <f aca="false">IFERROR(LEFT(IF($B2="","Notes, ","")&amp;IF($K2="","Latest Date Worked, ","")&amp;IF($AY2="","Last Action, ","")&amp;IF(AND(OR(TRIM($A2)="Denied",TRIM($A2)="Rejected"),$BA2=""),"Denial Reason, ","")&amp;IF(AND(TRIM($A2)="Denied",$BB2="",TRIM($BA2)&lt;&gt;"NO DENIAL"),"Denial Code, ","")&amp;IF(AND(TRIM($A2)&lt;&gt;"Finalized",$BD2=""),"Next Review Date, ","")&amp;IF(AND(TRIM($A2)&lt;&gt;"Finalized",$BE2=""),"Next Step, ","")&amp;IF(AND(TRIM($A2)="Finalized",$AV2="",$AR2="",$AT2="",$AX2="",$AW2=""),"CPT outcome, ",""),LEN(IF($B2="","Notes, ","")&amp;IF($K2="","Latest Date Worked, ","")&amp;IF($AY2="","Last Action, ","")&amp;IF(AND(OR(TRIM($A2)="Denied",TRIM($A2)="Rejected"),$BA2=""),"Denial Reason, ","")&amp;IF(AND(TRIM($A2)="Denied",$BB2="",TRIM($BA2)&lt;&gt;"NO DENIAL"),"Denial Code, ","")&amp;IF(AND(TRIM($A2)&lt;&gt;"Finalized",$BD2=""),"Next Review Date, ","")&amp;IF(AND(TRIM($A2)&lt;&gt;"Finalized",$BE2=""),"Next Step, ","")&amp;IF(AND(TRIM($A2)="Finalized",$AV2="",$AR2="",$AT2="",$AX2="",$AW2=""),"CPT outcome, ",""))-2),"")</f>
        <v>Latest Date Worked, Last Action, Next Review Date, Next Step</v>
      </c>
      <c r="BI2" s="15" t="str">
        <f aca="false">IF($BB2="","",IFERROR(INDEX('Denial Codes'!$C:$C,MATCH(LEFT($BB2,FIND(" - ",$BB2&amp;" - ")+2)&amp;"*",'Denial Codes'!$A:$A,0)),""))</f>
        <v/>
      </c>
      <c r="BJ2" s="15" t="str">
        <f aca="false">IF($BA2="","",IFERROR(INDEX(Lists!$B:$B,MATCH(TRIM($BA2),Lists!$A:$A,0))&amp;"",""))</f>
        <v/>
      </c>
    </row>
    <row r="3" customFormat="false" ht="15" hidden="false" customHeight="false" outlineLevel="0" collapsed="false">
      <c r="A3" s="7" t="s">
        <v>18</v>
      </c>
      <c r="B3" s="7"/>
      <c r="C3" s="8" t="n">
        <v>569224437</v>
      </c>
      <c r="D3" s="9"/>
      <c r="E3" s="10" t="s">
        <v>127</v>
      </c>
      <c r="F3" s="11" t="n">
        <v>46044</v>
      </c>
      <c r="G3" s="10" t="s">
        <v>128</v>
      </c>
      <c r="H3" s="10" t="s">
        <v>128</v>
      </c>
      <c r="I3" s="10" t="s">
        <v>129</v>
      </c>
      <c r="J3" s="10" t="s">
        <v>130</v>
      </c>
      <c r="K3" s="9"/>
      <c r="L3" s="12" t="str">
        <f aca="true">IF($O3="","",$O3-TODAY())</f>
        <v/>
      </c>
      <c r="M3" s="12"/>
      <c r="N3" s="12"/>
      <c r="O3" s="11"/>
      <c r="P3" s="10"/>
      <c r="Q3" s="10" t="s">
        <v>131</v>
      </c>
      <c r="R3" s="10"/>
      <c r="S3" s="10"/>
      <c r="T3" s="10"/>
      <c r="U3" s="10"/>
      <c r="V3" s="10" t="s">
        <v>118</v>
      </c>
      <c r="W3" s="10" t="s">
        <v>132</v>
      </c>
      <c r="X3" s="10" t="s">
        <v>133</v>
      </c>
      <c r="Y3" s="10" t="s">
        <v>134</v>
      </c>
      <c r="Z3" s="10"/>
      <c r="AA3" s="10" t="s">
        <v>135</v>
      </c>
      <c r="AB3" s="8" t="n">
        <f aca="true">IF($F3="","",TODAY()-$F3)</f>
        <v>267</v>
      </c>
      <c r="AC3" s="10" t="s">
        <v>136</v>
      </c>
      <c r="AD3" s="10" t="s">
        <v>137</v>
      </c>
      <c r="AE3" s="10" t="s">
        <v>137</v>
      </c>
      <c r="AF3" s="10" t="s">
        <v>136</v>
      </c>
      <c r="AG3" s="10"/>
      <c r="AH3" s="10"/>
      <c r="AI3" s="10"/>
      <c r="AJ3" s="10" t="s">
        <v>138</v>
      </c>
      <c r="AK3" s="10" t="s">
        <v>139</v>
      </c>
      <c r="AL3" s="10"/>
      <c r="AM3" s="10"/>
      <c r="AN3" s="8"/>
      <c r="AO3" s="10" t="s">
        <v>140</v>
      </c>
      <c r="AP3" s="10" t="s">
        <v>141</v>
      </c>
      <c r="AQ3" s="11" t="n">
        <v>46254</v>
      </c>
      <c r="AR3" s="13"/>
      <c r="AS3" s="13"/>
      <c r="AT3" s="13"/>
      <c r="AU3" s="13"/>
      <c r="AV3" s="13"/>
      <c r="AW3" s="13"/>
      <c r="AX3" s="13"/>
      <c r="AY3" s="7"/>
      <c r="AZ3" s="7"/>
      <c r="BA3" s="7"/>
      <c r="BB3" s="7"/>
      <c r="BC3" s="7"/>
      <c r="BD3" s="9"/>
      <c r="BE3" s="7" t="s">
        <v>142</v>
      </c>
      <c r="BF3" s="14" t="str">
        <f aca="true">IF(TRIM($A3)="Finalized","Closed",IF($BD3="","No review date set",IF($BD3&lt;TODAY(),"OVERDUE",IF($BD3-TODAY()&lt;=7,"Due within 7 days","Scheduled"))))</f>
        <v>No review date set</v>
      </c>
      <c r="BG3" s="14" t="str">
        <f aca="true">IF($K3="","",TODAY()-$K3)</f>
        <v/>
      </c>
      <c r="BH3" s="15" t="str">
        <f aca="false">IFERROR(LEFT(IF($B3="","Notes, ","")&amp;IF($K3="","Latest Date Worked, ","")&amp;IF($AY3="","Last Action, ","")&amp;IF(AND(OR(TRIM($A3)="Denied",TRIM($A3)="Rejected"),$BA3=""),"Denial Reason, ","")&amp;IF(AND(TRIM($A3)="Denied",$BB3="",TRIM($BA3)&lt;&gt;"NO DENIAL"),"Denial Code, ","")&amp;IF(AND(TRIM($A3)&lt;&gt;"Finalized",$BD3=""),"Next Review Date, ","")&amp;IF(AND(TRIM($A3)&lt;&gt;"Finalized",$BE3=""),"Next Step, ","")&amp;IF(AND(TRIM($A3)="Finalized",$AV3="",$AR3="",$AT3="",$AX3="",$AW3=""),"CPT outcome, ",""),LEN(IF($B3="","Notes, ","")&amp;IF($K3="","Latest Date Worked, ","")&amp;IF($AY3="","Last Action, ","")&amp;IF(AND(OR(TRIM($A3)="Denied",TRIM($A3)="Rejected"),$BA3=""),"Denial Reason, ","")&amp;IF(AND(TRIM($A3)="Denied",$BB3="",TRIM($BA3)&lt;&gt;"NO DENIAL"),"Denial Code, ","")&amp;IF(AND(TRIM($A3)&lt;&gt;"Finalized",$BD3=""),"Next Review Date, ","")&amp;IF(AND(TRIM($A3)&lt;&gt;"Finalized",$BE3=""),"Next Step, ","")&amp;IF(AND(TRIM($A3)="Finalized",$AV3="",$AR3="",$AT3="",$AX3="",$AW3=""),"CPT outcome, ",""))-2),"")</f>
        <v>Notes, Latest Date Worked, Last Action, Next Review Date</v>
      </c>
      <c r="BI3" s="15" t="str">
        <f aca="false">IF($BB3="","",IFERROR(INDEX('Denial Codes'!$C:$C,MATCH(LEFT($BB3,FIND(" - ",$BB3&amp;" - ")+2)&amp;"*",'Denial Codes'!$A:$A,0)),""))</f>
        <v/>
      </c>
      <c r="BJ3" s="15" t="str">
        <f aca="false">IF($BA3="","",IFERROR(INDEX(Lists!$B:$B,MATCH(TRIM($BA3),Lists!$A:$A,0))&amp;"",""))</f>
        <v/>
      </c>
    </row>
    <row r="4" customFormat="false" ht="15" hidden="false" customHeight="false" outlineLevel="0" collapsed="false">
      <c r="A4" s="7" t="s">
        <v>17</v>
      </c>
      <c r="B4" s="7" t="s">
        <v>143</v>
      </c>
      <c r="C4" s="8" t="n">
        <v>555920273</v>
      </c>
      <c r="D4" s="9" t="n">
        <v>46247</v>
      </c>
      <c r="E4" s="10" t="s">
        <v>144</v>
      </c>
      <c r="F4" s="11" t="n">
        <v>46079</v>
      </c>
      <c r="G4" s="10" t="s">
        <v>145</v>
      </c>
      <c r="H4" s="10" t="s">
        <v>145</v>
      </c>
      <c r="I4" s="10" t="s">
        <v>129</v>
      </c>
      <c r="J4" s="10" t="s">
        <v>146</v>
      </c>
      <c r="K4" s="9" t="n">
        <v>46310</v>
      </c>
      <c r="L4" s="12" t="n">
        <f aca="true">IF($O4="","",$O4-TODAY())</f>
        <v>-52</v>
      </c>
      <c r="M4" s="12" t="n">
        <f aca="true">IF(AND(TRIM($A4)="Finalized",$K4&lt;&gt;""),"",IF($F4="","",$F4+365-TODAY()))</f>
        <v>133</v>
      </c>
      <c r="N4" s="12" t="n">
        <f aca="true">IF(AND(TRIM($A4)="Finalized",$K4&lt;&gt;""),"",IF($F4="","",$F4+365-TODAY()))</f>
        <v>133</v>
      </c>
      <c r="O4" s="11" t="n">
        <f aca="false">IF(AND(TRIM($A4)="Finalized",$K4&lt;&gt;""),"",DATE(2026,8,25))</f>
        <v>46259</v>
      </c>
      <c r="P4" s="10" t="s">
        <v>147</v>
      </c>
      <c r="Q4" s="10" t="s">
        <v>148</v>
      </c>
      <c r="R4" s="10" t="s">
        <v>114</v>
      </c>
      <c r="S4" s="10" t="s">
        <v>149</v>
      </c>
      <c r="T4" s="10" t="s">
        <v>114</v>
      </c>
      <c r="U4" s="10" t="s">
        <v>149</v>
      </c>
      <c r="V4" s="10" t="s">
        <v>150</v>
      </c>
      <c r="W4" s="10" t="s">
        <v>119</v>
      </c>
      <c r="X4" s="10" t="s">
        <v>151</v>
      </c>
      <c r="Y4" s="10"/>
      <c r="Z4" s="10"/>
      <c r="AA4" s="10" t="s">
        <v>152</v>
      </c>
      <c r="AB4" s="8" t="n">
        <f aca="true">IF($F4="","",TODAY()-$F4)</f>
        <v>232</v>
      </c>
      <c r="AC4" s="10" t="s">
        <v>153</v>
      </c>
      <c r="AD4" s="10" t="s">
        <v>153</v>
      </c>
      <c r="AE4" s="10"/>
      <c r="AF4" s="10"/>
      <c r="AG4" s="10"/>
      <c r="AH4" s="10"/>
      <c r="AI4" s="10"/>
      <c r="AJ4" s="10" t="s">
        <v>154</v>
      </c>
      <c r="AK4" s="10"/>
      <c r="AL4" s="10"/>
      <c r="AM4" s="10"/>
      <c r="AN4" s="8"/>
      <c r="AO4" s="10" t="s">
        <v>155</v>
      </c>
      <c r="AP4" s="10" t="s">
        <v>156</v>
      </c>
      <c r="AQ4" s="11" t="n">
        <v>46084</v>
      </c>
      <c r="AR4" s="13"/>
      <c r="AS4" s="13"/>
      <c r="AT4" s="13"/>
      <c r="AU4" s="13"/>
      <c r="AV4" s="13" t="s">
        <v>157</v>
      </c>
      <c r="AW4" s="13"/>
      <c r="AX4" s="13" t="s">
        <v>158</v>
      </c>
      <c r="AY4" s="7" t="s">
        <v>159</v>
      </c>
      <c r="AZ4" s="7" t="s">
        <v>159</v>
      </c>
      <c r="BA4" s="7" t="s">
        <v>38</v>
      </c>
      <c r="BB4" s="7" t="s">
        <v>160</v>
      </c>
      <c r="BC4" s="7"/>
      <c r="BD4" s="9"/>
      <c r="BE4" s="7"/>
      <c r="BF4" s="14" t="str">
        <f aca="true">IF(TRIM($A4)="Finalized","Closed",IF($BD4="","No review date set",IF($BD4&lt;TODAY(),"OVERDUE",IF($BD4-TODAY()&lt;=7,"Due within 7 days","Scheduled"))))</f>
        <v>No review date set</v>
      </c>
      <c r="BG4" s="14" t="n">
        <f aca="true">IF($K4="","",TODAY()-$K4)</f>
        <v>1</v>
      </c>
      <c r="BH4" s="15" t="str">
        <f aca="false">IFERROR(LEFT(IF($B4="","Notes, ","")&amp;IF($K4="","Latest Date Worked, ","")&amp;IF($AY4="","Last Action, ","")&amp;IF(AND(OR(TRIM($A4)="Denied",TRIM($A4)="Rejected"),$BA4=""),"Denial Reason, ","")&amp;IF(AND(TRIM($A4)="Denied",$BB4="",TRIM($BA4)&lt;&gt;"NO DENIAL"),"Denial Code, ","")&amp;IF(AND(TRIM($A4)&lt;&gt;"Finalized",$BD4=""),"Next Review Date, ","")&amp;IF(AND(TRIM($A4)&lt;&gt;"Finalized",$BE4=""),"Next Step, ","")&amp;IF(AND(TRIM($A4)="Finalized",$AV4="",$AR4="",$AT4="",$AX4="",$AW4=""),"CPT outcome, ",""),LEN(IF($B4="","Notes, ","")&amp;IF($K4="","Latest Date Worked, ","")&amp;IF($AY4="","Last Action, ","")&amp;IF(AND(OR(TRIM($A4)="Denied",TRIM($A4)="Rejected"),$BA4=""),"Denial Reason, ","")&amp;IF(AND(TRIM($A4)="Denied",$BB4="",TRIM($BA4)&lt;&gt;"NO DENIAL"),"Denial Code, ","")&amp;IF(AND(TRIM($A4)&lt;&gt;"Finalized",$BD4=""),"Next Review Date, ","")&amp;IF(AND(TRIM($A4)&lt;&gt;"Finalized",$BE4=""),"Next Step, ","")&amp;IF(AND(TRIM($A4)="Finalized",$AV4="",$AR4="",$AT4="",$AX4="",$AW4=""),"CPT outcome, ",""))-2),"")</f>
        <v>Next Review Date, Next Step</v>
      </c>
      <c r="BI4" s="15" t="str">
        <f aca="false">IF($BB4="","",IFERROR(INDEX('Denial Codes'!$C:$C,MATCH(LEFT($BB4,FIND(" - ",$BB4&amp;" - ")+2)&amp;"*",'Denial Codes'!$A:$A,0)),""))</f>
        <v>Duplicate claim</v>
      </c>
      <c r="BJ4" s="15" t="str">
        <f aca="false">IF($BA4="","",IFERROR(INDEX(Lists!$B:$B,MATCH(TRIM($BA4),Lists!$A:$A,0))&amp;"",""))</f>
        <v>Correct or add the modifier (e.g. NU/RR, KX, RT/LT, 25) and resubmit.</v>
      </c>
    </row>
    <row r="5" customFormat="false" ht="15" hidden="false" customHeight="false" outlineLevel="0" collapsed="false">
      <c r="A5" s="7" t="s">
        <v>21</v>
      </c>
      <c r="B5" s="7" t="s">
        <v>161</v>
      </c>
      <c r="C5" s="8" t="n">
        <v>552282138</v>
      </c>
      <c r="D5" s="9"/>
      <c r="E5" s="10" t="s">
        <v>162</v>
      </c>
      <c r="F5" s="11" t="n">
        <v>46085</v>
      </c>
      <c r="G5" s="10" t="s">
        <v>163</v>
      </c>
      <c r="H5" s="10" t="s">
        <v>163</v>
      </c>
      <c r="I5" s="10" t="s">
        <v>129</v>
      </c>
      <c r="J5" s="10" t="s">
        <v>164</v>
      </c>
      <c r="K5" s="9" t="n">
        <v>46310</v>
      </c>
      <c r="L5" s="12" t="n">
        <f aca="true">IF($O5="","",$O5-TODAY())</f>
        <v>-136</v>
      </c>
      <c r="M5" s="12" t="n">
        <f aca="true">IF(AND(TRIM($A5)="Finalized",$K5&lt;&gt;""),"",IF($F5="","",$F5+90-TODAY()))</f>
        <v>-136</v>
      </c>
      <c r="N5" s="12" t="str">
        <f aca="true">IF(AND(TRIM($A5)="Finalized",$K5&lt;&gt;""),"",IF($D5="","",$D5+365-TODAY()))</f>
        <v/>
      </c>
      <c r="O5" s="11" t="n">
        <f aca="false">IF(AND(TRIM($A5)="Finalized",$K5&lt;&gt;""),"",DATE(2026,6,2))</f>
        <v>46175</v>
      </c>
      <c r="P5" s="10" t="s">
        <v>165</v>
      </c>
      <c r="Q5" s="10" t="s">
        <v>166</v>
      </c>
      <c r="R5" s="10" t="s">
        <v>165</v>
      </c>
      <c r="S5" s="10" t="s">
        <v>149</v>
      </c>
      <c r="T5" s="10" t="s">
        <v>114</v>
      </c>
      <c r="U5" s="10" t="s">
        <v>116</v>
      </c>
      <c r="V5" s="10" t="s">
        <v>167</v>
      </c>
      <c r="W5" s="10" t="s">
        <v>132</v>
      </c>
      <c r="X5" s="10"/>
      <c r="Y5" s="10"/>
      <c r="Z5" s="10"/>
      <c r="AA5" s="10" t="s">
        <v>152</v>
      </c>
      <c r="AB5" s="8" t="n">
        <f aca="true">IF($F5="","",TODAY()-$F5)</f>
        <v>226</v>
      </c>
      <c r="AC5" s="10" t="s">
        <v>168</v>
      </c>
      <c r="AD5" s="10" t="s">
        <v>169</v>
      </c>
      <c r="AE5" s="10"/>
      <c r="AF5" s="10"/>
      <c r="AG5" s="10"/>
      <c r="AH5" s="10"/>
      <c r="AI5" s="10"/>
      <c r="AJ5" s="10" t="s">
        <v>170</v>
      </c>
      <c r="AK5" s="10" t="s">
        <v>171</v>
      </c>
      <c r="AL5" s="10" t="s">
        <v>172</v>
      </c>
      <c r="AM5" s="10" t="s">
        <v>173</v>
      </c>
      <c r="AN5" s="8"/>
      <c r="AO5" s="10" t="s">
        <v>174</v>
      </c>
      <c r="AP5" s="10" t="s">
        <v>175</v>
      </c>
      <c r="AQ5" s="11" t="n">
        <v>46273</v>
      </c>
      <c r="AR5" s="13"/>
      <c r="AS5" s="13"/>
      <c r="AT5" s="13"/>
      <c r="AU5" s="13"/>
      <c r="AV5" s="13"/>
      <c r="AW5" s="13"/>
      <c r="AX5" s="13" t="s">
        <v>176</v>
      </c>
      <c r="AY5" s="7" t="s">
        <v>159</v>
      </c>
      <c r="AZ5" s="7"/>
      <c r="BA5" s="7" t="s">
        <v>47</v>
      </c>
      <c r="BB5" s="7" t="s">
        <v>177</v>
      </c>
      <c r="BC5" s="7"/>
      <c r="BD5" s="9" t="n">
        <v>46314</v>
      </c>
      <c r="BE5" s="7"/>
      <c r="BF5" s="14" t="str">
        <f aca="true">IF(TRIM($A5)="Finalized","Closed",IF($BD5="","No review date set",IF($BD5&lt;TODAY(),"OVERDUE",IF($BD5-TODAY()&lt;=7,"Due within 7 days","Scheduled"))))</f>
        <v>Due within 7 days</v>
      </c>
      <c r="BG5" s="14" t="n">
        <f aca="true">IF($K5="","",TODAY()-$K5)</f>
        <v>1</v>
      </c>
      <c r="BH5" s="15" t="str">
        <f aca="false">IFERROR(LEFT(IF($B5="","Notes, ","")&amp;IF($K5="","Latest Date Worked, ","")&amp;IF($AY5="","Last Action, ","")&amp;IF(AND(OR(TRIM($A5)="Denied",TRIM($A5)="Rejected"),$BA5=""),"Denial Reason, ","")&amp;IF(AND(TRIM($A5)="Denied",$BB5="",TRIM($BA5)&lt;&gt;"NO DENIAL"),"Denial Code, ","")&amp;IF(AND(TRIM($A5)&lt;&gt;"Finalized",$BD5=""),"Next Review Date, ","")&amp;IF(AND(TRIM($A5)&lt;&gt;"Finalized",$BE5=""),"Next Step, ","")&amp;IF(AND(TRIM($A5)="Finalized",$AV5="",$AR5="",$AT5="",$AX5="",$AW5=""),"CPT outcome, ",""),LEN(IF($B5="","Notes, ","")&amp;IF($K5="","Latest Date Worked, ","")&amp;IF($AY5="","Last Action, ","")&amp;IF(AND(OR(TRIM($A5)="Denied",TRIM($A5)="Rejected"),$BA5=""),"Denial Reason, ","")&amp;IF(AND(TRIM($A5)="Denied",$BB5="",TRIM($BA5)&lt;&gt;"NO DENIAL"),"Denial Code, ","")&amp;IF(AND(TRIM($A5)&lt;&gt;"Finalized",$BD5=""),"Next Review Date, ","")&amp;IF(AND(TRIM($A5)&lt;&gt;"Finalized",$BE5=""),"Next Step, ","")&amp;IF(AND(TRIM($A5)="Finalized",$AV5="",$AR5="",$AT5="",$AX5="",$AW5=""),"CPT outcome, ",""))-2),"")</f>
        <v>Next Step</v>
      </c>
      <c r="BI5" s="15" t="str">
        <f aca="false">IF($BB5="","",IFERROR(INDEX('Denial Codes'!$C:$C,MATCH(LEFT($BB5,FIND(" - ",$BB5&amp;" - ")+2)&amp;"*",'Denial Codes'!$A:$A,0)),""))</f>
        <v>Credentialing / out of network</v>
      </c>
      <c r="BJ5" s="15" t="str">
        <f aca="false">IF($BA5="","",IFERROR(INDEX(Lists!$B:$B,MATCH(TRIM($BA5),Lists!$A:$A,0))&amp;"",""))</f>
        <v>Check provider enrollment, NPI/TIN and network status; appeal once credentialing is confirmed.</v>
      </c>
    </row>
    <row r="6" customFormat="false" ht="15" hidden="false" customHeight="false" outlineLevel="0" collapsed="false">
      <c r="A6" s="7" t="s">
        <v>17</v>
      </c>
      <c r="B6" s="7" t="s">
        <v>178</v>
      </c>
      <c r="C6" s="8" t="n">
        <v>552709009</v>
      </c>
      <c r="D6" s="9" t="n">
        <v>46261</v>
      </c>
      <c r="E6" s="10" t="s">
        <v>179</v>
      </c>
      <c r="F6" s="11" t="n">
        <v>46093</v>
      </c>
      <c r="G6" s="10" t="s">
        <v>180</v>
      </c>
      <c r="H6" s="10" t="s">
        <v>180</v>
      </c>
      <c r="I6" s="10" t="s">
        <v>129</v>
      </c>
      <c r="J6" s="10" t="s">
        <v>181</v>
      </c>
      <c r="K6" s="9" t="n">
        <v>46310</v>
      </c>
      <c r="L6" s="12" t="n">
        <f aca="true">IF($O6="","",$O6-TODAY())</f>
        <v>-128</v>
      </c>
      <c r="M6" s="12" t="n">
        <f aca="true">IF(AND(TRIM($A6)="Finalized",$K6&lt;&gt;""),"",IF($D6="","",$D6+180-TODAY()))</f>
        <v>130</v>
      </c>
      <c r="N6" s="12" t="n">
        <f aca="true">IF(AND(TRIM($A6)="Finalized",$K6&lt;&gt;""),"",IF($D6="","",$D6+365-TODAY()))</f>
        <v>315</v>
      </c>
      <c r="O6" s="11" t="n">
        <f aca="false">IF(AND(TRIM($A6)="Finalized",$K6&lt;&gt;""),"",DATE(2026,6,10))</f>
        <v>46183</v>
      </c>
      <c r="P6" s="10" t="s">
        <v>165</v>
      </c>
      <c r="Q6" s="10" t="s">
        <v>182</v>
      </c>
      <c r="R6" s="10" t="s">
        <v>147</v>
      </c>
      <c r="S6" s="10" t="s">
        <v>116</v>
      </c>
      <c r="T6" s="10" t="s">
        <v>114</v>
      </c>
      <c r="U6" s="10" t="s">
        <v>116</v>
      </c>
      <c r="V6" s="10" t="s">
        <v>167</v>
      </c>
      <c r="W6" s="10" t="s">
        <v>183</v>
      </c>
      <c r="X6" s="10"/>
      <c r="Y6" s="10"/>
      <c r="Z6" s="10"/>
      <c r="AA6" s="10" t="s">
        <v>152</v>
      </c>
      <c r="AB6" s="8" t="n">
        <f aca="true">IF($F6="","",TODAY()-$F6)</f>
        <v>218</v>
      </c>
      <c r="AC6" s="10" t="s">
        <v>184</v>
      </c>
      <c r="AD6" s="10" t="s">
        <v>185</v>
      </c>
      <c r="AE6" s="10"/>
      <c r="AF6" s="10"/>
      <c r="AG6" s="10"/>
      <c r="AH6" s="10"/>
      <c r="AI6" s="10"/>
      <c r="AJ6" s="10" t="s">
        <v>186</v>
      </c>
      <c r="AK6" s="10"/>
      <c r="AL6" s="10"/>
      <c r="AM6" s="10"/>
      <c r="AN6" s="8"/>
      <c r="AO6" s="10" t="s">
        <v>187</v>
      </c>
      <c r="AP6" s="10" t="s">
        <v>188</v>
      </c>
      <c r="AQ6" s="11" t="n">
        <v>46119</v>
      </c>
      <c r="AR6" s="13"/>
      <c r="AS6" s="13"/>
      <c r="AT6" s="13"/>
      <c r="AU6" s="13"/>
      <c r="AV6" s="13"/>
      <c r="AW6" s="13"/>
      <c r="AX6" s="13" t="s">
        <v>189</v>
      </c>
      <c r="AY6" s="7" t="s">
        <v>159</v>
      </c>
      <c r="AZ6" s="7"/>
      <c r="BA6" s="7" t="s">
        <v>45</v>
      </c>
      <c r="BB6" s="7" t="s">
        <v>190</v>
      </c>
      <c r="BC6" s="7"/>
      <c r="BD6" s="9" t="n">
        <v>46341</v>
      </c>
      <c r="BE6" s="7"/>
      <c r="BF6" s="14" t="str">
        <f aca="true">IF(TRIM($A6)="Finalized","Closed",IF($BD6="","No review date set",IF($BD6&lt;TODAY(),"OVERDUE",IF($BD6-TODAY()&lt;=7,"Due within 7 days","Scheduled"))))</f>
        <v>Scheduled</v>
      </c>
      <c r="BG6" s="14" t="n">
        <f aca="true">IF($K6="","",TODAY()-$K6)</f>
        <v>1</v>
      </c>
      <c r="BH6" s="15" t="str">
        <f aca="false">IFERROR(LEFT(IF($B6="","Notes, ","")&amp;IF($K6="","Latest Date Worked, ","")&amp;IF($AY6="","Last Action, ","")&amp;IF(AND(OR(TRIM($A6)="Denied",TRIM($A6)="Rejected"),$BA6=""),"Denial Reason, ","")&amp;IF(AND(TRIM($A6)="Denied",$BB6="",TRIM($BA6)&lt;&gt;"NO DENIAL"),"Denial Code, ","")&amp;IF(AND(TRIM($A6)&lt;&gt;"Finalized",$BD6=""),"Next Review Date, ","")&amp;IF(AND(TRIM($A6)&lt;&gt;"Finalized",$BE6=""),"Next Step, ","")&amp;IF(AND(TRIM($A6)="Finalized",$AV6="",$AR6="",$AT6="",$AX6="",$AW6=""),"CPT outcome, ",""),LEN(IF($B6="","Notes, ","")&amp;IF($K6="","Latest Date Worked, ","")&amp;IF($AY6="","Last Action, ","")&amp;IF(AND(OR(TRIM($A6)="Denied",TRIM($A6)="Rejected"),$BA6=""),"Denial Reason, ","")&amp;IF(AND(TRIM($A6)="Denied",$BB6="",TRIM($BA6)&lt;&gt;"NO DENIAL"),"Denial Code, ","")&amp;IF(AND(TRIM($A6)&lt;&gt;"Finalized",$BD6=""),"Next Review Date, ","")&amp;IF(AND(TRIM($A6)&lt;&gt;"Finalized",$BE6=""),"Next Step, ","")&amp;IF(AND(TRIM($A6)="Finalized",$AV6="",$AR6="",$AT6="",$AX6="",$AW6=""),"CPT outcome, ",""))-2),"")</f>
        <v>Next Step</v>
      </c>
      <c r="BI6" s="15" t="str">
        <f aca="false">IF($BB6="","",IFERROR(INDEX('Denial Codes'!$C:$C,MATCH(LEFT($BB6,FIND(" - ",$BB6&amp;" - ")+2)&amp;"*",'Denial Codes'!$A:$A,0)),""))</f>
        <v>Other insurance / COB</v>
      </c>
      <c r="BJ6" s="15" t="str">
        <f aca="false">IF($BA6="","",IFERROR(INDEX(Lists!$B:$B,MATCH(TRIM($BA6),Lists!$A:$A,0))&amp;"",""))</f>
        <v>Get the other insurance and primary EOB, update COB with the payer and bill primary first.</v>
      </c>
    </row>
    <row r="7" customFormat="false" ht="15" hidden="false" customHeight="false" outlineLevel="0" collapsed="false">
      <c r="A7" s="7" t="s">
        <v>17</v>
      </c>
      <c r="B7" s="7" t="s">
        <v>191</v>
      </c>
      <c r="C7" s="8" t="n">
        <v>568271516</v>
      </c>
      <c r="D7" s="9" t="n">
        <v>46261</v>
      </c>
      <c r="E7" s="10" t="s">
        <v>192</v>
      </c>
      <c r="F7" s="11" t="n">
        <v>46105</v>
      </c>
      <c r="G7" s="10" t="s">
        <v>193</v>
      </c>
      <c r="H7" s="10" t="s">
        <v>193</v>
      </c>
      <c r="I7" s="10" t="s">
        <v>129</v>
      </c>
      <c r="J7" s="10" t="s">
        <v>194</v>
      </c>
      <c r="K7" s="9" t="n">
        <v>46310</v>
      </c>
      <c r="L7" s="12" t="str">
        <f aca="true">IF($O7="","",$O7-TODAY())</f>
        <v/>
      </c>
      <c r="M7" s="12"/>
      <c r="N7" s="12" t="n">
        <f aca="true">IF(AND(TRIM($A7)="Finalized",$K7&lt;&gt;""),"",IF($D7="","",$D7+180-TODAY()))</f>
        <v>130</v>
      </c>
      <c r="O7" s="11"/>
      <c r="P7" s="10"/>
      <c r="Q7" s="10" t="s">
        <v>195</v>
      </c>
      <c r="R7" s="10"/>
      <c r="S7" s="10"/>
      <c r="T7" s="10" t="s">
        <v>147</v>
      </c>
      <c r="U7" s="10" t="s">
        <v>116</v>
      </c>
      <c r="V7" s="10" t="s">
        <v>167</v>
      </c>
      <c r="W7" s="10" t="s">
        <v>196</v>
      </c>
      <c r="X7" s="10"/>
      <c r="Y7" s="10"/>
      <c r="Z7" s="10"/>
      <c r="AA7" s="10" t="s">
        <v>197</v>
      </c>
      <c r="AB7" s="8" t="n">
        <f aca="true">IF($F7="","",TODAY()-$F7)</f>
        <v>206</v>
      </c>
      <c r="AC7" s="10" t="s">
        <v>198</v>
      </c>
      <c r="AD7" s="10"/>
      <c r="AE7" s="10"/>
      <c r="AF7" s="10"/>
      <c r="AG7" s="10"/>
      <c r="AH7" s="10"/>
      <c r="AI7" s="10"/>
      <c r="AJ7" s="10" t="s">
        <v>199</v>
      </c>
      <c r="AK7" s="10" t="s">
        <v>200</v>
      </c>
      <c r="AL7" s="10"/>
      <c r="AM7" s="10"/>
      <c r="AN7" s="8"/>
      <c r="AO7" s="10" t="s">
        <v>201</v>
      </c>
      <c r="AP7" s="10" t="s">
        <v>202</v>
      </c>
      <c r="AQ7" s="11" t="n">
        <v>46245</v>
      </c>
      <c r="AR7" s="13"/>
      <c r="AS7" s="13"/>
      <c r="AT7" s="13"/>
      <c r="AU7" s="13"/>
      <c r="AV7" s="13"/>
      <c r="AW7" s="13"/>
      <c r="AX7" s="13" t="n">
        <v>93970</v>
      </c>
      <c r="AY7" s="7" t="s">
        <v>203</v>
      </c>
      <c r="AZ7" s="7"/>
      <c r="BA7" s="7" t="s">
        <v>36</v>
      </c>
      <c r="BB7" s="7" t="s">
        <v>204</v>
      </c>
      <c r="BC7" s="7" t="s">
        <v>205</v>
      </c>
      <c r="BD7" s="9" t="n">
        <v>46341</v>
      </c>
      <c r="BE7" s="7"/>
      <c r="BF7" s="14" t="str">
        <f aca="true">IF(TRIM($A7)="Finalized","Closed",IF($BD7="","No review date set",IF($BD7&lt;TODAY(),"OVERDUE",IF($BD7-TODAY()&lt;=7,"Due within 7 days","Scheduled"))))</f>
        <v>Scheduled</v>
      </c>
      <c r="BG7" s="14" t="n">
        <f aca="true">IF($K7="","",TODAY()-$K7)</f>
        <v>1</v>
      </c>
      <c r="BH7" s="15" t="str">
        <f aca="false">IFERROR(LEFT(IF($B7="","Notes, ","")&amp;IF($K7="","Latest Date Worked, ","")&amp;IF($AY7="","Last Action, ","")&amp;IF(AND(OR(TRIM($A7)="Denied",TRIM($A7)="Rejected"),$BA7=""),"Denial Reason, ","")&amp;IF(AND(TRIM($A7)="Denied",$BB7="",TRIM($BA7)&lt;&gt;"NO DENIAL"),"Denial Code, ","")&amp;IF(AND(TRIM($A7)&lt;&gt;"Finalized",$BD7=""),"Next Review Date, ","")&amp;IF(AND(TRIM($A7)&lt;&gt;"Finalized",$BE7=""),"Next Step, ","")&amp;IF(AND(TRIM($A7)="Finalized",$AV7="",$AR7="",$AT7="",$AX7="",$AW7=""),"CPT outcome, ",""),LEN(IF($B7="","Notes, ","")&amp;IF($K7="","Latest Date Worked, ","")&amp;IF($AY7="","Last Action, ","")&amp;IF(AND(OR(TRIM($A7)="Denied",TRIM($A7)="Rejected"),$BA7=""),"Denial Reason, ","")&amp;IF(AND(TRIM($A7)="Denied",$BB7="",TRIM($BA7)&lt;&gt;"NO DENIAL"),"Denial Code, ","")&amp;IF(AND(TRIM($A7)&lt;&gt;"Finalized",$BD7=""),"Next Review Date, ","")&amp;IF(AND(TRIM($A7)&lt;&gt;"Finalized",$BE7=""),"Next Step, ","")&amp;IF(AND(TRIM($A7)="Finalized",$AV7="",$AR7="",$AT7="",$AX7="",$AW7=""),"CPT outcome, ",""))-2),"")</f>
        <v>Next Step</v>
      </c>
      <c r="BI7" s="15" t="str">
        <f aca="false">IF($BB7="","",IFERROR(INDEX('Denial Codes'!$C:$C,MATCH(LEFT($BB7,FIND(" - ",$BB7&amp;" - ")+2)&amp;"*",'Denial Codes'!$A:$A,0)),""))</f>
        <v>Medical records needed</v>
      </c>
      <c r="BJ7" s="15" t="str">
        <f aca="false">IF($BA7="","",IFERROR(INDEX(Lists!$B:$B,MATCH(TRIM($BA7),Lists!$A:$A,0))&amp;"",""))</f>
        <v>Upload the MR on the payer portal, note the PIQ/reference number and set a review date.</v>
      </c>
    </row>
    <row r="8" customFormat="false" ht="15" hidden="false" customHeight="false" outlineLevel="0" collapsed="false">
      <c r="A8" s="7" t="s">
        <v>17</v>
      </c>
      <c r="B8" s="7" t="s">
        <v>206</v>
      </c>
      <c r="C8" s="8" t="n">
        <v>554160244</v>
      </c>
      <c r="D8" s="9" t="n">
        <v>46266</v>
      </c>
      <c r="E8" s="10" t="s">
        <v>207</v>
      </c>
      <c r="F8" s="11" t="n">
        <v>46106</v>
      </c>
      <c r="G8" s="10" t="s">
        <v>208</v>
      </c>
      <c r="H8" s="10" t="s">
        <v>208</v>
      </c>
      <c r="I8" s="10" t="s">
        <v>129</v>
      </c>
      <c r="J8" s="10" t="s">
        <v>209</v>
      </c>
      <c r="K8" s="9" t="n">
        <v>46310</v>
      </c>
      <c r="L8" s="12" t="n">
        <f aca="true">IF($O8="","",$O8-TODAY())</f>
        <v>-115</v>
      </c>
      <c r="M8" s="12" t="n">
        <f aca="true">IF(AND(TRIM($A8)="Finalized",$K8&lt;&gt;""),"",IF($D8="","",$D8+180-TODAY()))</f>
        <v>135</v>
      </c>
      <c r="N8" s="12" t="n">
        <f aca="true">IF(AND(TRIM($A8)="Finalized",$K8&lt;&gt;""),"",IF($D8="","",$D8+365-TODAY()))</f>
        <v>320</v>
      </c>
      <c r="O8" s="11" t="n">
        <f aca="false">IF(AND(TRIM($A8)="Finalized",$K8&lt;&gt;""),"",DATE(2026,6,23))</f>
        <v>46196</v>
      </c>
      <c r="P8" s="10" t="s">
        <v>165</v>
      </c>
      <c r="Q8" s="10" t="s">
        <v>210</v>
      </c>
      <c r="R8" s="10" t="s">
        <v>147</v>
      </c>
      <c r="S8" s="10" t="s">
        <v>116</v>
      </c>
      <c r="T8" s="10" t="s">
        <v>114</v>
      </c>
      <c r="U8" s="10" t="s">
        <v>116</v>
      </c>
      <c r="V8" s="10" t="s">
        <v>167</v>
      </c>
      <c r="W8" s="10" t="s">
        <v>183</v>
      </c>
      <c r="X8" s="10"/>
      <c r="Y8" s="10"/>
      <c r="Z8" s="10"/>
      <c r="AA8" s="10" t="s">
        <v>152</v>
      </c>
      <c r="AB8" s="8" t="n">
        <f aca="true">IF($F8="","",TODAY()-$F8)</f>
        <v>205</v>
      </c>
      <c r="AC8" s="10" t="s">
        <v>184</v>
      </c>
      <c r="AD8" s="10" t="s">
        <v>211</v>
      </c>
      <c r="AE8" s="10"/>
      <c r="AF8" s="10"/>
      <c r="AG8" s="10"/>
      <c r="AH8" s="10"/>
      <c r="AI8" s="10"/>
      <c r="AJ8" s="10" t="s">
        <v>212</v>
      </c>
      <c r="AK8" s="10"/>
      <c r="AL8" s="10"/>
      <c r="AM8" s="10"/>
      <c r="AN8" s="8"/>
      <c r="AO8" s="10" t="s">
        <v>213</v>
      </c>
      <c r="AP8" s="10" t="s">
        <v>188</v>
      </c>
      <c r="AQ8" s="11" t="n">
        <v>46119</v>
      </c>
      <c r="AR8" s="13"/>
      <c r="AS8" s="13"/>
      <c r="AT8" s="13"/>
      <c r="AU8" s="13"/>
      <c r="AV8" s="13"/>
      <c r="AW8" s="13"/>
      <c r="AX8" s="13" t="s">
        <v>214</v>
      </c>
      <c r="AY8" s="7" t="s">
        <v>159</v>
      </c>
      <c r="AZ8" s="7"/>
      <c r="BA8" s="7" t="s">
        <v>37</v>
      </c>
      <c r="BB8" s="7" t="s">
        <v>215</v>
      </c>
      <c r="BC8" s="7"/>
      <c r="BD8" s="9" t="n">
        <v>46341</v>
      </c>
      <c r="BE8" s="7"/>
      <c r="BF8" s="14" t="str">
        <f aca="true">IF(TRIM($A8)="Finalized","Closed",IF($BD8="","No review date set",IF($BD8&lt;TODAY(),"OVERDUE",IF($BD8-TODAY()&lt;=7,"Due within 7 days","Scheduled"))))</f>
        <v>Scheduled</v>
      </c>
      <c r="BG8" s="14" t="n">
        <f aca="true">IF($K8="","",TODAY()-$K8)</f>
        <v>1</v>
      </c>
      <c r="BH8" s="15" t="str">
        <f aca="false">IFERROR(LEFT(IF($B8="","Notes, ","")&amp;IF($K8="","Latest Date Worked, ","")&amp;IF($AY8="","Last Action, ","")&amp;IF(AND(OR(TRIM($A8)="Denied",TRIM($A8)="Rejected"),$BA8=""),"Denial Reason, ","")&amp;IF(AND(TRIM($A8)="Denied",$BB8="",TRIM($BA8)&lt;&gt;"NO DENIAL"),"Denial Code, ","")&amp;IF(AND(TRIM($A8)&lt;&gt;"Finalized",$BD8=""),"Next Review Date, ","")&amp;IF(AND(TRIM($A8)&lt;&gt;"Finalized",$BE8=""),"Next Step, ","")&amp;IF(AND(TRIM($A8)="Finalized",$AV8="",$AR8="",$AT8="",$AX8="",$AW8=""),"CPT outcome, ",""),LEN(IF($B8="","Notes, ","")&amp;IF($K8="","Latest Date Worked, ","")&amp;IF($AY8="","Last Action, ","")&amp;IF(AND(OR(TRIM($A8)="Denied",TRIM($A8)="Rejected"),$BA8=""),"Denial Reason, ","")&amp;IF(AND(TRIM($A8)="Denied",$BB8="",TRIM($BA8)&lt;&gt;"NO DENIAL"),"Denial Code, ","")&amp;IF(AND(TRIM($A8)&lt;&gt;"Finalized",$BD8=""),"Next Review Date, ","")&amp;IF(AND(TRIM($A8)&lt;&gt;"Finalized",$BE8=""),"Next Step, ","")&amp;IF(AND(TRIM($A8)="Finalized",$AV8="",$AR8="",$AT8="",$AX8="",$AW8=""),"CPT outcome, ",""))-2),"")</f>
        <v>Next Step</v>
      </c>
      <c r="BI8" s="15" t="str">
        <f aca="false">IF($BB8="","",IFERROR(INDEX('Denial Codes'!$C:$C,MATCH(LEFT($BB8,FIND(" - ",$BB8&amp;" - ")+2)&amp;"*",'Denial Codes'!$A:$A,0)),""))</f>
        <v>Bundled / NCCI edit</v>
      </c>
      <c r="BJ8" s="15" t="str">
        <f aca="false">IF($BA8="","",IFERROR(INDEX(Lists!$B:$B,MATCH(TRIM($BA8),Lists!$A:$A,0))&amp;"",""))</f>
        <v>Check the NCCI pair; if the service was distinct, add 59/XU (or XS) and resubmit; otherwise adjust.</v>
      </c>
    </row>
    <row r="9" customFormat="false" ht="15" hidden="false" customHeight="false" outlineLevel="0" collapsed="false">
      <c r="A9" s="7" t="s">
        <v>18</v>
      </c>
      <c r="B9" s="7" t="s">
        <v>216</v>
      </c>
      <c r="C9" s="8" t="n">
        <v>568316185</v>
      </c>
      <c r="D9" s="9" t="n">
        <v>46254</v>
      </c>
      <c r="E9" s="10" t="s">
        <v>217</v>
      </c>
      <c r="F9" s="11" t="n">
        <v>46114</v>
      </c>
      <c r="G9" s="10" t="s">
        <v>218</v>
      </c>
      <c r="H9" s="10" t="s">
        <v>218</v>
      </c>
      <c r="I9" s="10" t="s">
        <v>129</v>
      </c>
      <c r="J9" s="10" t="s">
        <v>219</v>
      </c>
      <c r="K9" s="9"/>
      <c r="L9" s="12" t="n">
        <f aca="true">IF($O9="","",$O9-TODAY())</f>
        <v>-107</v>
      </c>
      <c r="M9" s="12" t="n">
        <f aca="true">IF(AND(TRIM($A9)="Finalized",$K9&lt;&gt;""),"",IF($F9="","",$F9+90-TODAY()))</f>
        <v>-107</v>
      </c>
      <c r="N9" s="12" t="n">
        <f aca="true">IF(AND(TRIM($A9)="Finalized",$K9&lt;&gt;""),"",IF($D9="","",$D9+180-TODAY()))</f>
        <v>123</v>
      </c>
      <c r="O9" s="11" t="n">
        <f aca="false">IF(AND(TRIM($A9)="Finalized",$K9&lt;&gt;""),"",DATE(2026,7,1))</f>
        <v>46204</v>
      </c>
      <c r="P9" s="10" t="s">
        <v>165</v>
      </c>
      <c r="Q9" s="10" t="s">
        <v>220</v>
      </c>
      <c r="R9" s="10" t="s">
        <v>165</v>
      </c>
      <c r="S9" s="10" t="s">
        <v>149</v>
      </c>
      <c r="T9" s="10" t="s">
        <v>147</v>
      </c>
      <c r="U9" s="10" t="s">
        <v>116</v>
      </c>
      <c r="V9" s="10" t="s">
        <v>221</v>
      </c>
      <c r="W9" s="10" t="s">
        <v>196</v>
      </c>
      <c r="X9" s="10"/>
      <c r="Y9" s="10"/>
      <c r="Z9" s="10"/>
      <c r="AA9" s="10" t="s">
        <v>197</v>
      </c>
      <c r="AB9" s="8" t="n">
        <f aca="true">IF($F9="","",TODAY()-$F9)</f>
        <v>197</v>
      </c>
      <c r="AC9" s="10" t="s">
        <v>222</v>
      </c>
      <c r="AD9" s="10"/>
      <c r="AE9" s="10"/>
      <c r="AF9" s="10"/>
      <c r="AG9" s="10"/>
      <c r="AH9" s="10"/>
      <c r="AI9" s="10"/>
      <c r="AJ9" s="10" t="s">
        <v>223</v>
      </c>
      <c r="AK9" s="10"/>
      <c r="AL9" s="10"/>
      <c r="AM9" s="10"/>
      <c r="AN9" s="8"/>
      <c r="AO9" s="10" t="s">
        <v>213</v>
      </c>
      <c r="AP9" s="10" t="s">
        <v>224</v>
      </c>
      <c r="AQ9" s="11" t="n">
        <v>46245</v>
      </c>
      <c r="AR9" s="13"/>
      <c r="AS9" s="13"/>
      <c r="AT9" s="13"/>
      <c r="AU9" s="13"/>
      <c r="AV9" s="13"/>
      <c r="AW9" s="13"/>
      <c r="AX9" s="13" t="n">
        <v>93925</v>
      </c>
      <c r="AY9" s="7"/>
      <c r="AZ9" s="7"/>
      <c r="BA9" s="7" t="s">
        <v>52</v>
      </c>
      <c r="BB9" s="7" t="s">
        <v>160</v>
      </c>
      <c r="BC9" s="7"/>
      <c r="BD9" s="9"/>
      <c r="BE9" s="7" t="s">
        <v>216</v>
      </c>
      <c r="BF9" s="14" t="str">
        <f aca="true">IF(TRIM($A9)="Finalized","Closed",IF($BD9="","No review date set",IF($BD9&lt;TODAY(),"OVERDUE",IF($BD9-TODAY()&lt;=7,"Due within 7 days","Scheduled"))))</f>
        <v>No review date set</v>
      </c>
      <c r="BG9" s="14" t="str">
        <f aca="true">IF($K9="","",TODAY()-$K9)</f>
        <v/>
      </c>
      <c r="BH9" s="15" t="str">
        <f aca="false">IFERROR(LEFT(IF($B9="","Notes, ","")&amp;IF($K9="","Latest Date Worked, ","")&amp;IF($AY9="","Last Action, ","")&amp;IF(AND(OR(TRIM($A9)="Denied",TRIM($A9)="Rejected"),$BA9=""),"Denial Reason, ","")&amp;IF(AND(TRIM($A9)="Denied",$BB9="",TRIM($BA9)&lt;&gt;"NO DENIAL"),"Denial Code, ","")&amp;IF(AND(TRIM($A9)&lt;&gt;"Finalized",$BD9=""),"Next Review Date, ","")&amp;IF(AND(TRIM($A9)&lt;&gt;"Finalized",$BE9=""),"Next Step, ","")&amp;IF(AND(TRIM($A9)="Finalized",$AV9="",$AR9="",$AT9="",$AX9="",$AW9=""),"CPT outcome, ",""),LEN(IF($B9="","Notes, ","")&amp;IF($K9="","Latest Date Worked, ","")&amp;IF($AY9="","Last Action, ","")&amp;IF(AND(OR(TRIM($A9)="Denied",TRIM($A9)="Rejected"),$BA9=""),"Denial Reason, ","")&amp;IF(AND(TRIM($A9)="Denied",$BB9="",TRIM($BA9)&lt;&gt;"NO DENIAL"),"Denial Code, ","")&amp;IF(AND(TRIM($A9)&lt;&gt;"Finalized",$BD9=""),"Next Review Date, ","")&amp;IF(AND(TRIM($A9)&lt;&gt;"Finalized",$BE9=""),"Next Step, ","")&amp;IF(AND(TRIM($A9)="Finalized",$AV9="",$AR9="",$AT9="",$AX9="",$AW9=""),"CPT outcome, ",""))-2),"")</f>
        <v>Latest Date Worked, Last Action, Next Review Date</v>
      </c>
      <c r="BI9" s="15" t="str">
        <f aca="false">IF($BB9="","",IFERROR(INDEX('Denial Codes'!$C:$C,MATCH(LEFT($BB9,FIND(" - ",$BB9&amp;" - ")+2)&amp;"*",'Denial Codes'!$A:$A,0)),""))</f>
        <v>Duplicate claim</v>
      </c>
      <c r="BJ9" s="15" t="str">
        <f aca="false">IF($BA9="","",IFERROR(INDEX(Lists!$B:$B,MATCH(TRIM($BA9),Lists!$A:$A,0))&amp;"",""))</f>
        <v>Check the status of the original claim; no resubmission needed if it was processed.</v>
      </c>
    </row>
    <row r="10" customFormat="false" ht="15" hidden="false" customHeight="false" outlineLevel="0" collapsed="false">
      <c r="A10" s="7" t="s">
        <v>17</v>
      </c>
      <c r="B10" s="7" t="s">
        <v>225</v>
      </c>
      <c r="C10" s="8" t="n">
        <v>556764523</v>
      </c>
      <c r="D10" s="9" t="n">
        <v>46231</v>
      </c>
      <c r="E10" s="10" t="s">
        <v>226</v>
      </c>
      <c r="F10" s="11" t="n">
        <v>46121</v>
      </c>
      <c r="G10" s="10" t="s">
        <v>227</v>
      </c>
      <c r="H10" s="10" t="s">
        <v>112</v>
      </c>
      <c r="I10" s="10" t="s">
        <v>227</v>
      </c>
      <c r="J10" s="10" t="s">
        <v>228</v>
      </c>
      <c r="K10" s="9" t="n">
        <v>46310</v>
      </c>
      <c r="L10" s="12" t="n">
        <f aca="true">IF($O10="","",$O10-TODAY())</f>
        <v>175</v>
      </c>
      <c r="M10" s="12" t="n">
        <f aca="true">IF(AND(TRIM($A10)="Finalized",$K10&lt;&gt;""),"",IF($D10="","",$D10+365-TODAY()))</f>
        <v>285</v>
      </c>
      <c r="N10" s="12" t="n">
        <f aca="true">IF(AND(TRIM($A10)="Finalized",$K10&lt;&gt;""),"",IF($D10="","",$D10+120-TODAY()))</f>
        <v>40</v>
      </c>
      <c r="O10" s="11" t="n">
        <f aca="false">IF(AND(TRIM($A10)="Finalized",$K10&lt;&gt;""),"",DATE(2027,4,9))</f>
        <v>46486</v>
      </c>
      <c r="P10" s="10" t="s">
        <v>114</v>
      </c>
      <c r="Q10" s="10" t="s">
        <v>115</v>
      </c>
      <c r="R10" s="10" t="s">
        <v>114</v>
      </c>
      <c r="S10" s="10" t="s">
        <v>116</v>
      </c>
      <c r="T10" s="10" t="s">
        <v>117</v>
      </c>
      <c r="U10" s="10" t="s">
        <v>116</v>
      </c>
      <c r="V10" s="10" t="s">
        <v>221</v>
      </c>
      <c r="W10" s="10" t="s">
        <v>119</v>
      </c>
      <c r="X10" s="10" t="s">
        <v>229</v>
      </c>
      <c r="Y10" s="10"/>
      <c r="Z10" s="10"/>
      <c r="AA10" s="10" t="s">
        <v>230</v>
      </c>
      <c r="AB10" s="8" t="n">
        <f aca="true">IF($F10="","",TODAY()-$F10)</f>
        <v>190</v>
      </c>
      <c r="AC10" s="10" t="s">
        <v>122</v>
      </c>
      <c r="AD10" s="10"/>
      <c r="AE10" s="10"/>
      <c r="AF10" s="10"/>
      <c r="AG10" s="10"/>
      <c r="AH10" s="10"/>
      <c r="AI10" s="10"/>
      <c r="AJ10" s="10" t="s">
        <v>123</v>
      </c>
      <c r="AK10" s="10"/>
      <c r="AL10" s="10"/>
      <c r="AM10" s="10"/>
      <c r="AN10" s="8" t="n">
        <v>559829888</v>
      </c>
      <c r="AO10" s="10" t="s">
        <v>231</v>
      </c>
      <c r="AP10" s="10" t="s">
        <v>232</v>
      </c>
      <c r="AQ10" s="11" t="n">
        <v>46133</v>
      </c>
      <c r="AR10" s="13"/>
      <c r="AS10" s="13"/>
      <c r="AT10" s="13"/>
      <c r="AU10" s="13"/>
      <c r="AV10" s="13"/>
      <c r="AW10" s="13"/>
      <c r="AX10" s="13" t="s">
        <v>122</v>
      </c>
      <c r="AY10" s="7" t="s">
        <v>233</v>
      </c>
      <c r="AZ10" s="7"/>
      <c r="BA10" s="7" t="s">
        <v>37</v>
      </c>
      <c r="BB10" s="7" t="s">
        <v>234</v>
      </c>
      <c r="BC10" s="7"/>
      <c r="BD10" s="9" t="n">
        <v>46341</v>
      </c>
      <c r="BE10" s="7" t="s">
        <v>235</v>
      </c>
      <c r="BF10" s="14" t="str">
        <f aca="true">IF(TRIM($A10)="Finalized","Closed",IF($BD10="","No review date set",IF($BD10&lt;TODAY(),"OVERDUE",IF($BD10-TODAY()&lt;=7,"Due within 7 days","Scheduled"))))</f>
        <v>Scheduled</v>
      </c>
      <c r="BG10" s="14" t="n">
        <f aca="true">IF($K10="","",TODAY()-$K10)</f>
        <v>1</v>
      </c>
      <c r="BH10" s="15" t="str">
        <f aca="false">IFERROR(LEFT(IF($B10="","Notes, ","")&amp;IF($K10="","Latest Date Worked, ","")&amp;IF($AY10="","Last Action, ","")&amp;IF(AND(OR(TRIM($A10)="Denied",TRIM($A10)="Rejected"),$BA10=""),"Denial Reason, ","")&amp;IF(AND(TRIM($A10)="Denied",$BB10="",TRIM($BA10)&lt;&gt;"NO DENIAL"),"Denial Code, ","")&amp;IF(AND(TRIM($A10)&lt;&gt;"Finalized",$BD10=""),"Next Review Date, ","")&amp;IF(AND(TRIM($A10)&lt;&gt;"Finalized",$BE10=""),"Next Step, ","")&amp;IF(AND(TRIM($A10)="Finalized",$AV10="",$AR10="",$AT10="",$AX10="",$AW10=""),"CPT outcome, ",""),LEN(IF($B10="","Notes, ","")&amp;IF($K10="","Latest Date Worked, ","")&amp;IF($AY10="","Last Action, ","")&amp;IF(AND(OR(TRIM($A10)="Denied",TRIM($A10)="Rejected"),$BA10=""),"Denial Reason, ","")&amp;IF(AND(TRIM($A10)="Denied",$BB10="",TRIM($BA10)&lt;&gt;"NO DENIAL"),"Denial Code, ","")&amp;IF(AND(TRIM($A10)&lt;&gt;"Finalized",$BD10=""),"Next Review Date, ","")&amp;IF(AND(TRIM($A10)&lt;&gt;"Finalized",$BE10=""),"Next Step, ","")&amp;IF(AND(TRIM($A10)="Finalized",$AV10="",$AR10="",$AT10="",$AX10="",$AW10=""),"CPT outcome, ",""))-2),"")</f>
        <v/>
      </c>
      <c r="BI10" s="15" t="str">
        <f aca="false">IF($BB10="","",IFERROR(INDEX('Denial Codes'!$C:$C,MATCH(LEFT($BB10,FIND(" - ",$BB10&amp;" - ")+2)&amp;"*",'Denial Codes'!$A:$A,0)),""))</f>
        <v/>
      </c>
      <c r="BJ10" s="15" t="str">
        <f aca="false">IF($BA10="","",IFERROR(INDEX(Lists!$B:$B,MATCH(TRIM($BA10),Lists!$A:$A,0))&amp;"",""))</f>
        <v>Check the NCCI pair; if the service was distinct, add 59/XU (or XS) and resubmit; otherwise adjust.</v>
      </c>
    </row>
    <row r="11" customFormat="false" ht="15" hidden="false" customHeight="false" outlineLevel="0" collapsed="false">
      <c r="A11" s="7" t="s">
        <v>17</v>
      </c>
      <c r="B11" s="7" t="s">
        <v>236</v>
      </c>
      <c r="C11" s="8" t="n">
        <v>568312031</v>
      </c>
      <c r="D11" s="9" t="n">
        <v>46266</v>
      </c>
      <c r="E11" s="10" t="s">
        <v>237</v>
      </c>
      <c r="F11" s="11" t="n">
        <v>46126</v>
      </c>
      <c r="G11" s="10" t="s">
        <v>193</v>
      </c>
      <c r="H11" s="10" t="s">
        <v>193</v>
      </c>
      <c r="I11" s="10" t="s">
        <v>129</v>
      </c>
      <c r="J11" s="10" t="s">
        <v>194</v>
      </c>
      <c r="K11" s="9" t="n">
        <v>46310</v>
      </c>
      <c r="L11" s="12" t="str">
        <f aca="true">IF($O11="","",$O11-TODAY())</f>
        <v/>
      </c>
      <c r="M11" s="12"/>
      <c r="N11" s="12" t="n">
        <f aca="true">IF(AND(TRIM($A11)="Finalized",$K11&lt;&gt;""),"",IF($D11="","",$D11+180-TODAY()))</f>
        <v>135</v>
      </c>
      <c r="O11" s="11"/>
      <c r="P11" s="10"/>
      <c r="Q11" s="10" t="s">
        <v>195</v>
      </c>
      <c r="R11" s="10"/>
      <c r="S11" s="10"/>
      <c r="T11" s="10" t="s">
        <v>147</v>
      </c>
      <c r="U11" s="10" t="s">
        <v>116</v>
      </c>
      <c r="V11" s="10" t="s">
        <v>221</v>
      </c>
      <c r="W11" s="10" t="s">
        <v>196</v>
      </c>
      <c r="X11" s="10"/>
      <c r="Y11" s="10"/>
      <c r="Z11" s="10"/>
      <c r="AA11" s="10" t="s">
        <v>197</v>
      </c>
      <c r="AB11" s="8" t="n">
        <f aca="true">IF($F11="","",TODAY()-$F11)</f>
        <v>185</v>
      </c>
      <c r="AC11" s="10" t="s">
        <v>198</v>
      </c>
      <c r="AD11" s="10"/>
      <c r="AE11" s="10"/>
      <c r="AF11" s="10"/>
      <c r="AG11" s="10"/>
      <c r="AH11" s="10"/>
      <c r="AI11" s="10"/>
      <c r="AJ11" s="10" t="s">
        <v>238</v>
      </c>
      <c r="AK11" s="10" t="s">
        <v>239</v>
      </c>
      <c r="AL11" s="10" t="s">
        <v>199</v>
      </c>
      <c r="AM11" s="10"/>
      <c r="AN11" s="8"/>
      <c r="AO11" s="10" t="s">
        <v>201</v>
      </c>
      <c r="AP11" s="10" t="s">
        <v>202</v>
      </c>
      <c r="AQ11" s="11" t="n">
        <v>46245</v>
      </c>
      <c r="AR11" s="13"/>
      <c r="AS11" s="13"/>
      <c r="AT11" s="13"/>
      <c r="AU11" s="13"/>
      <c r="AV11" s="13"/>
      <c r="AW11" s="13"/>
      <c r="AX11" s="13" t="n">
        <v>93970</v>
      </c>
      <c r="AY11" s="7" t="s">
        <v>203</v>
      </c>
      <c r="AZ11" s="7"/>
      <c r="BA11" s="7" t="s">
        <v>36</v>
      </c>
      <c r="BB11" s="7" t="s">
        <v>204</v>
      </c>
      <c r="BC11" s="7" t="s">
        <v>240</v>
      </c>
      <c r="BD11" s="9" t="n">
        <v>46341</v>
      </c>
      <c r="BE11" s="7"/>
      <c r="BF11" s="14" t="str">
        <f aca="true">IF(TRIM($A11)="Finalized","Closed",IF($BD11="","No review date set",IF($BD11&lt;TODAY(),"OVERDUE",IF($BD11-TODAY()&lt;=7,"Due within 7 days","Scheduled"))))</f>
        <v>Scheduled</v>
      </c>
      <c r="BG11" s="14" t="n">
        <f aca="true">IF($K11="","",TODAY()-$K11)</f>
        <v>1</v>
      </c>
      <c r="BH11" s="15" t="str">
        <f aca="false">IFERROR(LEFT(IF($B11="","Notes, ","")&amp;IF($K11="","Latest Date Worked, ","")&amp;IF($AY11="","Last Action, ","")&amp;IF(AND(OR(TRIM($A11)="Denied",TRIM($A11)="Rejected"),$BA11=""),"Denial Reason, ","")&amp;IF(AND(TRIM($A11)="Denied",$BB11="",TRIM($BA11)&lt;&gt;"NO DENIAL"),"Denial Code, ","")&amp;IF(AND(TRIM($A11)&lt;&gt;"Finalized",$BD11=""),"Next Review Date, ","")&amp;IF(AND(TRIM($A11)&lt;&gt;"Finalized",$BE11=""),"Next Step, ","")&amp;IF(AND(TRIM($A11)="Finalized",$AV11="",$AR11="",$AT11="",$AX11="",$AW11=""),"CPT outcome, ",""),LEN(IF($B11="","Notes, ","")&amp;IF($K11="","Latest Date Worked, ","")&amp;IF($AY11="","Last Action, ","")&amp;IF(AND(OR(TRIM($A11)="Denied",TRIM($A11)="Rejected"),$BA11=""),"Denial Reason, ","")&amp;IF(AND(TRIM($A11)="Denied",$BB11="",TRIM($BA11)&lt;&gt;"NO DENIAL"),"Denial Code, ","")&amp;IF(AND(TRIM($A11)&lt;&gt;"Finalized",$BD11=""),"Next Review Date, ","")&amp;IF(AND(TRIM($A11)&lt;&gt;"Finalized",$BE11=""),"Next Step, ","")&amp;IF(AND(TRIM($A11)="Finalized",$AV11="",$AR11="",$AT11="",$AX11="",$AW11=""),"CPT outcome, ",""))-2),"")</f>
        <v>Next Step</v>
      </c>
      <c r="BI11" s="15" t="str">
        <f aca="false">IF($BB11="","",IFERROR(INDEX('Denial Codes'!$C:$C,MATCH(LEFT($BB11,FIND(" - ",$BB11&amp;" - ")+2)&amp;"*",'Denial Codes'!$A:$A,0)),""))</f>
        <v>Medical records needed</v>
      </c>
      <c r="BJ11" s="15" t="str">
        <f aca="false">IF($BA11="","",IFERROR(INDEX(Lists!$B:$B,MATCH(TRIM($BA11),Lists!$A:$A,0))&amp;"",""))</f>
        <v>Upload the MR on the payer portal, note the PIQ/reference number and set a review date.</v>
      </c>
    </row>
    <row r="12" customFormat="false" ht="15" hidden="false" customHeight="false" outlineLevel="0" collapsed="false">
      <c r="A12" s="7" t="s">
        <v>17</v>
      </c>
      <c r="B12" s="7" t="s">
        <v>241</v>
      </c>
      <c r="C12" s="8" t="n">
        <v>556730319</v>
      </c>
      <c r="D12" s="9" t="n">
        <v>46279</v>
      </c>
      <c r="E12" s="10" t="s">
        <v>242</v>
      </c>
      <c r="F12" s="11" t="n">
        <v>46127</v>
      </c>
      <c r="G12" s="10" t="s">
        <v>243</v>
      </c>
      <c r="H12" s="10" t="s">
        <v>243</v>
      </c>
      <c r="I12" s="10" t="s">
        <v>129</v>
      </c>
      <c r="J12" s="10" t="s">
        <v>244</v>
      </c>
      <c r="K12" s="9" t="n">
        <v>46311</v>
      </c>
      <c r="L12" s="12" t="n">
        <f aca="true">IF($O12="","",$O12-TODAY())</f>
        <v>181</v>
      </c>
      <c r="M12" s="12" t="n">
        <f aca="true">IF(AND(TRIM($A12)="Finalized",$K12&lt;&gt;""),"",IF($F12="","",$F12+365-TODAY()))</f>
        <v>181</v>
      </c>
      <c r="N12" s="12" t="n">
        <f aca="true">IF(AND(TRIM($A12)="Finalized",$K12&lt;&gt;""),"",IF($D12="","",$D12+90-TODAY()))</f>
        <v>58</v>
      </c>
      <c r="O12" s="11" t="n">
        <f aca="false">IF(AND(TRIM($A12)="Finalized",$K12&lt;&gt;""),"",DATE(2027,4,15))</f>
        <v>46492</v>
      </c>
      <c r="P12" s="10" t="s">
        <v>114</v>
      </c>
      <c r="Q12" s="10" t="s">
        <v>245</v>
      </c>
      <c r="R12" s="10" t="s">
        <v>114</v>
      </c>
      <c r="S12" s="10" t="s">
        <v>149</v>
      </c>
      <c r="T12" s="10" t="s">
        <v>165</v>
      </c>
      <c r="U12" s="10" t="s">
        <v>116</v>
      </c>
      <c r="V12" s="10" t="s">
        <v>221</v>
      </c>
      <c r="W12" s="10" t="s">
        <v>132</v>
      </c>
      <c r="X12" s="10"/>
      <c r="Y12" s="10"/>
      <c r="Z12" s="10"/>
      <c r="AA12" s="10" t="s">
        <v>197</v>
      </c>
      <c r="AB12" s="8" t="n">
        <f aca="true">IF($F12="","",TODAY()-$F12)</f>
        <v>184</v>
      </c>
      <c r="AC12" s="10" t="s">
        <v>246</v>
      </c>
      <c r="AD12" s="10"/>
      <c r="AE12" s="10"/>
      <c r="AF12" s="10"/>
      <c r="AG12" s="10"/>
      <c r="AH12" s="10"/>
      <c r="AI12" s="10"/>
      <c r="AJ12" s="10" t="s">
        <v>139</v>
      </c>
      <c r="AK12" s="10" t="s">
        <v>247</v>
      </c>
      <c r="AL12" s="10"/>
      <c r="AM12" s="10"/>
      <c r="AN12" s="8"/>
      <c r="AO12" s="10" t="s">
        <v>174</v>
      </c>
      <c r="AP12" s="10" t="s">
        <v>175</v>
      </c>
      <c r="AQ12" s="11" t="n">
        <v>46246</v>
      </c>
      <c r="AR12" s="13"/>
      <c r="AS12" s="13"/>
      <c r="AT12" s="13"/>
      <c r="AU12" s="13"/>
      <c r="AV12" s="13" t="n">
        <v>63048</v>
      </c>
      <c r="AW12" s="13"/>
      <c r="AX12" s="13" t="n">
        <v>63047</v>
      </c>
      <c r="AY12" s="7" t="s">
        <v>203</v>
      </c>
      <c r="AZ12" s="7"/>
      <c r="BA12" s="7" t="s">
        <v>36</v>
      </c>
      <c r="BB12" s="7" t="s">
        <v>204</v>
      </c>
      <c r="BC12" s="7"/>
      <c r="BD12" s="9" t="n">
        <v>46311</v>
      </c>
      <c r="BE12" s="7"/>
      <c r="BF12" s="14" t="str">
        <f aca="true">IF(TRIM($A12)="Finalized","Closed",IF($BD12="","No review date set",IF($BD12&lt;TODAY(),"OVERDUE",IF($BD12-TODAY()&lt;=7,"Due within 7 days","Scheduled"))))</f>
        <v>Due within 7 days</v>
      </c>
      <c r="BG12" s="14" t="n">
        <f aca="true">IF($K12="","",TODAY()-$K12)</f>
        <v>0</v>
      </c>
      <c r="BH12" s="15" t="str">
        <f aca="false">IFERROR(LEFT(IF($B12="","Notes, ","")&amp;IF($K12="","Latest Date Worked, ","")&amp;IF($AY12="","Last Action, ","")&amp;IF(AND(OR(TRIM($A12)="Denied",TRIM($A12)="Rejected"),$BA12=""),"Denial Reason, ","")&amp;IF(AND(TRIM($A12)="Denied",$BB12="",TRIM($BA12)&lt;&gt;"NO DENIAL"),"Denial Code, ","")&amp;IF(AND(TRIM($A12)&lt;&gt;"Finalized",$BD12=""),"Next Review Date, ","")&amp;IF(AND(TRIM($A12)&lt;&gt;"Finalized",$BE12=""),"Next Step, ","")&amp;IF(AND(TRIM($A12)="Finalized",$AV12="",$AR12="",$AT12="",$AX12="",$AW12=""),"CPT outcome, ",""),LEN(IF($B12="","Notes, ","")&amp;IF($K12="","Latest Date Worked, ","")&amp;IF($AY12="","Last Action, ","")&amp;IF(AND(OR(TRIM($A12)="Denied",TRIM($A12)="Rejected"),$BA12=""),"Denial Reason, ","")&amp;IF(AND(TRIM($A12)="Denied",$BB12="",TRIM($BA12)&lt;&gt;"NO DENIAL"),"Denial Code, ","")&amp;IF(AND(TRIM($A12)&lt;&gt;"Finalized",$BD12=""),"Next Review Date, ","")&amp;IF(AND(TRIM($A12)&lt;&gt;"Finalized",$BE12=""),"Next Step, ","")&amp;IF(AND(TRIM($A12)="Finalized",$AV12="",$AR12="",$AT12="",$AX12="",$AW12=""),"CPT outcome, ",""))-2),"")</f>
        <v>Next Step</v>
      </c>
      <c r="BI12" s="15" t="str">
        <f aca="false">IF($BB12="","",IFERROR(INDEX('Denial Codes'!$C:$C,MATCH(LEFT($BB12,FIND(" - ",$BB12&amp;" - ")+2)&amp;"*",'Denial Codes'!$A:$A,0)),""))</f>
        <v>Medical records needed</v>
      </c>
      <c r="BJ12" s="15" t="str">
        <f aca="false">IF($BA12="","",IFERROR(INDEX(Lists!$B:$B,MATCH(TRIM($BA12),Lists!$A:$A,0))&amp;"",""))</f>
        <v>Upload the MR on the payer portal, note the PIQ/reference number and set a review date.</v>
      </c>
    </row>
    <row r="13" customFormat="false" ht="15" hidden="false" customHeight="false" outlineLevel="0" collapsed="false">
      <c r="A13" s="7" t="s">
        <v>17</v>
      </c>
      <c r="B13" s="7" t="s">
        <v>248</v>
      </c>
      <c r="C13" s="8" t="n">
        <v>573339755</v>
      </c>
      <c r="D13" s="9" t="n">
        <v>46289</v>
      </c>
      <c r="E13" s="10" t="s">
        <v>249</v>
      </c>
      <c r="F13" s="11" t="n">
        <v>46132</v>
      </c>
      <c r="G13" s="10" t="s">
        <v>180</v>
      </c>
      <c r="H13" s="10" t="s">
        <v>180</v>
      </c>
      <c r="I13" s="10" t="s">
        <v>129</v>
      </c>
      <c r="J13" s="10" t="s">
        <v>250</v>
      </c>
      <c r="K13" s="9" t="n">
        <v>46295</v>
      </c>
      <c r="L13" s="12" t="n">
        <f aca="true">IF($O13="","",$O13-TODAY())</f>
        <v>-89</v>
      </c>
      <c r="M13" s="12" t="n">
        <f aca="true">IF(AND(TRIM($A13)="Finalized",$K13&lt;&gt;""),"",IF($D13="","",$D13+180-TODAY()))</f>
        <v>158</v>
      </c>
      <c r="N13" s="12" t="n">
        <f aca="true">IF(AND(TRIM($A13)="Finalized",$K13&lt;&gt;""),"",IF($D13="","",$D13+365-TODAY()))</f>
        <v>343</v>
      </c>
      <c r="O13" s="11" t="n">
        <f aca="false">IF(AND(TRIM($A13)="Finalized",$K13&lt;&gt;""),"",DATE(2026,7,19))</f>
        <v>46222</v>
      </c>
      <c r="P13" s="10" t="s">
        <v>165</v>
      </c>
      <c r="Q13" s="10" t="s">
        <v>182</v>
      </c>
      <c r="R13" s="10" t="s">
        <v>147</v>
      </c>
      <c r="S13" s="10" t="s">
        <v>116</v>
      </c>
      <c r="T13" s="10" t="s">
        <v>114</v>
      </c>
      <c r="U13" s="10" t="s">
        <v>116</v>
      </c>
      <c r="V13" s="10" t="s">
        <v>221</v>
      </c>
      <c r="W13" s="10" t="s">
        <v>132</v>
      </c>
      <c r="X13" s="10"/>
      <c r="Y13" s="10"/>
      <c r="Z13" s="10"/>
      <c r="AA13" s="10" t="s">
        <v>197</v>
      </c>
      <c r="AB13" s="8" t="n">
        <f aca="true">IF($F13="","",TODAY()-$F13)</f>
        <v>179</v>
      </c>
      <c r="AC13" s="10" t="s">
        <v>251</v>
      </c>
      <c r="AD13" s="10"/>
      <c r="AE13" s="10"/>
      <c r="AF13" s="10"/>
      <c r="AG13" s="10"/>
      <c r="AH13" s="10"/>
      <c r="AI13" s="10"/>
      <c r="AJ13" s="10" t="s">
        <v>252</v>
      </c>
      <c r="AK13" s="10" t="s">
        <v>253</v>
      </c>
      <c r="AL13" s="10" t="s">
        <v>254</v>
      </c>
      <c r="AM13" s="10"/>
      <c r="AN13" s="8"/>
      <c r="AO13" s="10" t="s">
        <v>255</v>
      </c>
      <c r="AP13" s="10" t="s">
        <v>175</v>
      </c>
      <c r="AQ13" s="11" t="n">
        <v>46149</v>
      </c>
      <c r="AR13" s="13"/>
      <c r="AS13" s="13"/>
      <c r="AT13" s="13"/>
      <c r="AU13" s="13"/>
      <c r="AV13" s="13"/>
      <c r="AW13" s="13"/>
      <c r="AX13" s="13" t="s">
        <v>256</v>
      </c>
      <c r="AY13" s="7" t="s">
        <v>159</v>
      </c>
      <c r="AZ13" s="7" t="s">
        <v>203</v>
      </c>
      <c r="BA13" s="7" t="s">
        <v>36</v>
      </c>
      <c r="BB13" s="7" t="s">
        <v>257</v>
      </c>
      <c r="BC13" s="7"/>
      <c r="BD13" s="9"/>
      <c r="BE13" s="7"/>
      <c r="BF13" s="14" t="str">
        <f aca="true">IF(TRIM($A13)="Finalized","Closed",IF($BD13="","No review date set",IF($BD13&lt;TODAY(),"OVERDUE",IF($BD13-TODAY()&lt;=7,"Due within 7 days","Scheduled"))))</f>
        <v>No review date set</v>
      </c>
      <c r="BG13" s="14" t="n">
        <f aca="true">IF($K13="","",TODAY()-$K13)</f>
        <v>16</v>
      </c>
      <c r="BH13" s="15" t="str">
        <f aca="false">IFERROR(LEFT(IF($B13="","Notes, ","")&amp;IF($K13="","Latest Date Worked, ","")&amp;IF($AY13="","Last Action, ","")&amp;IF(AND(OR(TRIM($A13)="Denied",TRIM($A13)="Rejected"),$BA13=""),"Denial Reason, ","")&amp;IF(AND(TRIM($A13)="Denied",$BB13="",TRIM($BA13)&lt;&gt;"NO DENIAL"),"Denial Code, ","")&amp;IF(AND(TRIM($A13)&lt;&gt;"Finalized",$BD13=""),"Next Review Date, ","")&amp;IF(AND(TRIM($A13)&lt;&gt;"Finalized",$BE13=""),"Next Step, ","")&amp;IF(AND(TRIM($A13)="Finalized",$AV13="",$AR13="",$AT13="",$AX13="",$AW13=""),"CPT outcome, ",""),LEN(IF($B13="","Notes, ","")&amp;IF($K13="","Latest Date Worked, ","")&amp;IF($AY13="","Last Action, ","")&amp;IF(AND(OR(TRIM($A13)="Denied",TRIM($A13)="Rejected"),$BA13=""),"Denial Reason, ","")&amp;IF(AND(TRIM($A13)="Denied",$BB13="",TRIM($BA13)&lt;&gt;"NO DENIAL"),"Denial Code, ","")&amp;IF(AND(TRIM($A13)&lt;&gt;"Finalized",$BD13=""),"Next Review Date, ","")&amp;IF(AND(TRIM($A13)&lt;&gt;"Finalized",$BE13=""),"Next Step, ","")&amp;IF(AND(TRIM($A13)="Finalized",$AV13="",$AR13="",$AT13="",$AX13="",$AW13=""),"CPT outcome, ",""))-2),"")</f>
        <v>Next Review Date, Next Step</v>
      </c>
      <c r="BI13" s="15" t="str">
        <f aca="false">IF($BB13="","",IFERROR(INDEX('Denial Codes'!$C:$C,MATCH(LEFT($BB13,FIND(" - ",$BB13&amp;" - ")+2)&amp;"*",'Denial Codes'!$A:$A,0)),""))</f>
        <v>Medical necessity / frequency</v>
      </c>
      <c r="BJ13" s="15" t="str">
        <f aca="false">IF($BA13="","",IFERROR(INDEX(Lists!$B:$B,MATCH(TRIM($BA13),Lists!$A:$A,0))&amp;"",""))</f>
        <v>Upload the MR on the payer portal, note the PIQ/reference number and set a review date.</v>
      </c>
    </row>
    <row r="14" customFormat="false" ht="15" hidden="false" customHeight="false" outlineLevel="0" collapsed="false">
      <c r="A14" s="7" t="s">
        <v>17</v>
      </c>
      <c r="B14" s="7" t="s">
        <v>258</v>
      </c>
      <c r="C14" s="8" t="n">
        <v>557506616</v>
      </c>
      <c r="D14" s="9" t="n">
        <v>46258</v>
      </c>
      <c r="E14" s="10" t="s">
        <v>259</v>
      </c>
      <c r="F14" s="11" t="n">
        <v>46136</v>
      </c>
      <c r="G14" s="10" t="s">
        <v>163</v>
      </c>
      <c r="H14" s="10" t="s">
        <v>163</v>
      </c>
      <c r="I14" s="10" t="s">
        <v>260</v>
      </c>
      <c r="J14" s="10" t="s">
        <v>261</v>
      </c>
      <c r="K14" s="9" t="n">
        <v>46310</v>
      </c>
      <c r="L14" s="12" t="n">
        <f aca="true">IF($O14="","",$O14-TODAY())</f>
        <v>-85</v>
      </c>
      <c r="M14" s="12" t="n">
        <f aca="true">IF(AND(TRIM($A14)="Finalized",$K14&lt;&gt;""),"",IF($F14="","",$F14+90-TODAY()))</f>
        <v>-85</v>
      </c>
      <c r="N14" s="12" t="n">
        <f aca="true">IF(AND(TRIM($A14)="Finalized",$K14&lt;&gt;""),"",IF($D14="","",$D14+365-TODAY()))</f>
        <v>312</v>
      </c>
      <c r="O14" s="11" t="n">
        <f aca="false">IF(AND(TRIM($A14)="Finalized",$K14&lt;&gt;""),"",DATE(2026,7,23))</f>
        <v>46226</v>
      </c>
      <c r="P14" s="10" t="s">
        <v>165</v>
      </c>
      <c r="Q14" s="10" t="s">
        <v>166</v>
      </c>
      <c r="R14" s="10" t="s">
        <v>165</v>
      </c>
      <c r="S14" s="10" t="s">
        <v>149</v>
      </c>
      <c r="T14" s="10" t="s">
        <v>114</v>
      </c>
      <c r="U14" s="10" t="s">
        <v>116</v>
      </c>
      <c r="V14" s="10" t="s">
        <v>221</v>
      </c>
      <c r="W14" s="10" t="s">
        <v>119</v>
      </c>
      <c r="X14" s="10" t="s">
        <v>120</v>
      </c>
      <c r="Y14" s="10"/>
      <c r="Z14" s="10"/>
      <c r="AA14" s="10" t="s">
        <v>230</v>
      </c>
      <c r="AB14" s="8" t="n">
        <f aca="true">IF($F14="","",TODAY()-$F14)</f>
        <v>175</v>
      </c>
      <c r="AC14" s="10" t="s">
        <v>122</v>
      </c>
      <c r="AD14" s="10"/>
      <c r="AE14" s="10"/>
      <c r="AF14" s="10"/>
      <c r="AG14" s="10"/>
      <c r="AH14" s="10"/>
      <c r="AI14" s="10"/>
      <c r="AJ14" s="10" t="s">
        <v>123</v>
      </c>
      <c r="AK14" s="10" t="s">
        <v>124</v>
      </c>
      <c r="AL14" s="10"/>
      <c r="AM14" s="10"/>
      <c r="AN14" s="8"/>
      <c r="AO14" s="10" t="s">
        <v>262</v>
      </c>
      <c r="AP14" s="10" t="s">
        <v>156</v>
      </c>
      <c r="AQ14" s="11" t="n">
        <v>46254</v>
      </c>
      <c r="AR14" s="13"/>
      <c r="AS14" s="13"/>
      <c r="AT14" s="13"/>
      <c r="AU14" s="13"/>
      <c r="AV14" s="13"/>
      <c r="AW14" s="13"/>
      <c r="AX14" s="13" t="s">
        <v>122</v>
      </c>
      <c r="AY14" s="7" t="s">
        <v>159</v>
      </c>
      <c r="AZ14" s="7"/>
      <c r="BA14" s="7" t="s">
        <v>47</v>
      </c>
      <c r="BB14" s="7" t="s">
        <v>263</v>
      </c>
      <c r="BC14" s="7"/>
      <c r="BD14" s="9" t="n">
        <v>46341</v>
      </c>
      <c r="BE14" s="7"/>
      <c r="BF14" s="14" t="str">
        <f aca="true">IF(TRIM($A14)="Finalized","Closed",IF($BD14="","No review date set",IF($BD14&lt;TODAY(),"OVERDUE",IF($BD14-TODAY()&lt;=7,"Due within 7 days","Scheduled"))))</f>
        <v>Scheduled</v>
      </c>
      <c r="BG14" s="14" t="n">
        <f aca="true">IF($K14="","",TODAY()-$K14)</f>
        <v>1</v>
      </c>
      <c r="BH14" s="15" t="str">
        <f aca="false">IFERROR(LEFT(IF($B14="","Notes, ","")&amp;IF($K14="","Latest Date Worked, ","")&amp;IF($AY14="","Last Action, ","")&amp;IF(AND(OR(TRIM($A14)="Denied",TRIM($A14)="Rejected"),$BA14=""),"Denial Reason, ","")&amp;IF(AND(TRIM($A14)="Denied",$BB14="",TRIM($BA14)&lt;&gt;"NO DENIAL"),"Denial Code, ","")&amp;IF(AND(TRIM($A14)&lt;&gt;"Finalized",$BD14=""),"Next Review Date, ","")&amp;IF(AND(TRIM($A14)&lt;&gt;"Finalized",$BE14=""),"Next Step, ","")&amp;IF(AND(TRIM($A14)="Finalized",$AV14="",$AR14="",$AT14="",$AX14="",$AW14=""),"CPT outcome, ",""),LEN(IF($B14="","Notes, ","")&amp;IF($K14="","Latest Date Worked, ","")&amp;IF($AY14="","Last Action, ","")&amp;IF(AND(OR(TRIM($A14)="Denied",TRIM($A14)="Rejected"),$BA14=""),"Denial Reason, ","")&amp;IF(AND(TRIM($A14)="Denied",$BB14="",TRIM($BA14)&lt;&gt;"NO DENIAL"),"Denial Code, ","")&amp;IF(AND(TRIM($A14)&lt;&gt;"Finalized",$BD14=""),"Next Review Date, ","")&amp;IF(AND(TRIM($A14)&lt;&gt;"Finalized",$BE14=""),"Next Step, ","")&amp;IF(AND(TRIM($A14)="Finalized",$AV14="",$AR14="",$AT14="",$AX14="",$AW14=""),"CPT outcome, ",""))-2),"")</f>
        <v>Next Step</v>
      </c>
      <c r="BI14" s="15" t="str">
        <f aca="false">IF($BB14="","",IFERROR(INDEX('Denial Codes'!$C:$C,MATCH(LEFT($BB14,FIND(" - ",$BB14&amp;" - ")+2)&amp;"*",'Denial Codes'!$A:$A,0)),""))</f>
        <v>Not covered by plan</v>
      </c>
      <c r="BJ14" s="15" t="str">
        <f aca="false">IF($BA14="","",IFERROR(INDEX(Lists!$B:$B,MATCH(TRIM($BA14),Lists!$A:$A,0))&amp;"",""))</f>
        <v>Check provider enrollment, NPI/TIN and network status; appeal once credentialing is confirmed.</v>
      </c>
    </row>
    <row r="15" customFormat="false" ht="15" hidden="false" customHeight="false" outlineLevel="0" collapsed="false">
      <c r="A15" s="7" t="s">
        <v>17</v>
      </c>
      <c r="B15" s="7" t="s">
        <v>264</v>
      </c>
      <c r="C15" s="8" t="n">
        <v>568470154</v>
      </c>
      <c r="D15" s="9" t="n">
        <v>46253</v>
      </c>
      <c r="E15" s="10" t="s">
        <v>265</v>
      </c>
      <c r="F15" s="11" t="n">
        <v>46148</v>
      </c>
      <c r="G15" s="10" t="s">
        <v>260</v>
      </c>
      <c r="H15" s="10" t="s">
        <v>260</v>
      </c>
      <c r="I15" s="10" t="s">
        <v>227</v>
      </c>
      <c r="J15" s="10" t="s">
        <v>194</v>
      </c>
      <c r="K15" s="9" t="n">
        <v>46310</v>
      </c>
      <c r="L15" s="12" t="n">
        <f aca="true">IF($O15="","",$O15-TODAY())</f>
        <v>202</v>
      </c>
      <c r="M15" s="12" t="n">
        <f aca="true">IF(AND(TRIM($A15)="Finalized",$K15&lt;&gt;""),"",IF($D15="","",$D15+365-TODAY()))</f>
        <v>307</v>
      </c>
      <c r="N15" s="12" t="n">
        <f aca="true">IF(AND(TRIM($A15)="Finalized",$K15&lt;&gt;""),"",IF($D15="","",$D15+120-TODAY()))</f>
        <v>62</v>
      </c>
      <c r="O15" s="11" t="n">
        <f aca="false">IF(AND(TRIM($A15)="Finalized",$K15&lt;&gt;""),"",DATE(2027,5,6))</f>
        <v>46513</v>
      </c>
      <c r="P15" s="10" t="s">
        <v>114</v>
      </c>
      <c r="Q15" s="10" t="s">
        <v>115</v>
      </c>
      <c r="R15" s="10" t="s">
        <v>114</v>
      </c>
      <c r="S15" s="10" t="s">
        <v>116</v>
      </c>
      <c r="T15" s="10" t="s">
        <v>117</v>
      </c>
      <c r="U15" s="10" t="s">
        <v>116</v>
      </c>
      <c r="V15" s="10" t="s">
        <v>266</v>
      </c>
      <c r="W15" s="10" t="s">
        <v>196</v>
      </c>
      <c r="X15" s="10"/>
      <c r="Y15" s="10"/>
      <c r="Z15" s="10"/>
      <c r="AA15" s="10" t="s">
        <v>197</v>
      </c>
      <c r="AB15" s="8" t="n">
        <f aca="true">IF($F15="","",TODAY()-$F15)</f>
        <v>163</v>
      </c>
      <c r="AC15" s="10" t="s">
        <v>198</v>
      </c>
      <c r="AD15" s="10"/>
      <c r="AE15" s="10"/>
      <c r="AF15" s="10"/>
      <c r="AG15" s="10"/>
      <c r="AH15" s="10"/>
      <c r="AI15" s="10"/>
      <c r="AJ15" s="10" t="s">
        <v>267</v>
      </c>
      <c r="AK15" s="10"/>
      <c r="AL15" s="10"/>
      <c r="AM15" s="10"/>
      <c r="AN15" s="8"/>
      <c r="AO15" s="10" t="s">
        <v>255</v>
      </c>
      <c r="AP15" s="10" t="s">
        <v>268</v>
      </c>
      <c r="AQ15" s="11" t="n">
        <v>46246</v>
      </c>
      <c r="AR15" s="13"/>
      <c r="AS15" s="13"/>
      <c r="AT15" s="13"/>
      <c r="AU15" s="13"/>
      <c r="AV15" s="13"/>
      <c r="AW15" s="13"/>
      <c r="AX15" s="13" t="n">
        <v>93970</v>
      </c>
      <c r="AY15" s="7" t="s">
        <v>159</v>
      </c>
      <c r="AZ15" s="7"/>
      <c r="BA15" s="7" t="s">
        <v>48</v>
      </c>
      <c r="BB15" s="7" t="s">
        <v>269</v>
      </c>
      <c r="BC15" s="7"/>
      <c r="BD15" s="9" t="n">
        <v>46341</v>
      </c>
      <c r="BE15" s="7"/>
      <c r="BF15" s="14" t="str">
        <f aca="true">IF(TRIM($A15)="Finalized","Closed",IF($BD15="","No review date set",IF($BD15&lt;TODAY(),"OVERDUE",IF($BD15-TODAY()&lt;=7,"Due within 7 days","Scheduled"))))</f>
        <v>Scheduled</v>
      </c>
      <c r="BG15" s="14" t="n">
        <f aca="true">IF($K15="","",TODAY()-$K15)</f>
        <v>1</v>
      </c>
      <c r="BH15" s="15" t="str">
        <f aca="false">IFERROR(LEFT(IF($B15="","Notes, ","")&amp;IF($K15="","Latest Date Worked, ","")&amp;IF($AY15="","Last Action, ","")&amp;IF(AND(OR(TRIM($A15)="Denied",TRIM($A15)="Rejected"),$BA15=""),"Denial Reason, ","")&amp;IF(AND(TRIM($A15)="Denied",$BB15="",TRIM($BA15)&lt;&gt;"NO DENIAL"),"Denial Code, ","")&amp;IF(AND(TRIM($A15)&lt;&gt;"Finalized",$BD15=""),"Next Review Date, ","")&amp;IF(AND(TRIM($A15)&lt;&gt;"Finalized",$BE15=""),"Next Step, ","")&amp;IF(AND(TRIM($A15)="Finalized",$AV15="",$AR15="",$AT15="",$AX15="",$AW15=""),"CPT outcome, ",""),LEN(IF($B15="","Notes, ","")&amp;IF($K15="","Latest Date Worked, ","")&amp;IF($AY15="","Last Action, ","")&amp;IF(AND(OR(TRIM($A15)="Denied",TRIM($A15)="Rejected"),$BA15=""),"Denial Reason, ","")&amp;IF(AND(TRIM($A15)="Denied",$BB15="",TRIM($BA15)&lt;&gt;"NO DENIAL"),"Denial Code, ","")&amp;IF(AND(TRIM($A15)&lt;&gt;"Finalized",$BD15=""),"Next Review Date, ","")&amp;IF(AND(TRIM($A15)&lt;&gt;"Finalized",$BE15=""),"Next Step, ","")&amp;IF(AND(TRIM($A15)="Finalized",$AV15="",$AR15="",$AT15="",$AX15="",$AW15=""),"CPT outcome, ",""))-2),"")</f>
        <v>Next Step</v>
      </c>
      <c r="BI15" s="15" t="str">
        <f aca="false">IF($BB15="","",IFERROR(INDEX('Denial Codes'!$C:$C,MATCH(LEFT($BB15,FIND(" - ",$BB15&amp;" - ")+2)&amp;"*",'Denial Codes'!$A:$A,0)),""))</f>
        <v>Referral / referring provider</v>
      </c>
      <c r="BJ15" s="15" t="str">
        <f aca="false">IF($BA15="","",IFERROR(INDEX(Lists!$B:$B,MATCH(TRIM($BA15),Lists!$A:$A,0))&amp;"",""))</f>
        <v>Get a valid referral or correct the referring provider, then resubmit.</v>
      </c>
    </row>
    <row r="16" customFormat="false" ht="15" hidden="false" customHeight="false" outlineLevel="0" collapsed="false">
      <c r="A16" s="7" t="s">
        <v>17</v>
      </c>
      <c r="B16" s="7" t="s">
        <v>225</v>
      </c>
      <c r="C16" s="8" t="n">
        <v>559112760</v>
      </c>
      <c r="D16" s="9" t="n">
        <v>46218</v>
      </c>
      <c r="E16" s="10" t="s">
        <v>270</v>
      </c>
      <c r="F16" s="11" t="n">
        <v>46149</v>
      </c>
      <c r="G16" s="10" t="s">
        <v>271</v>
      </c>
      <c r="H16" s="10" t="s">
        <v>112</v>
      </c>
      <c r="I16" s="10" t="s">
        <v>271</v>
      </c>
      <c r="J16" s="10" t="s">
        <v>272</v>
      </c>
      <c r="K16" s="9"/>
      <c r="L16" s="12" t="n">
        <f aca="true">IF($O16="","",$O16-TODAY())</f>
        <v>203</v>
      </c>
      <c r="M16" s="12" t="n">
        <f aca="true">IF(AND(TRIM($A16)="Finalized",$K16&lt;&gt;""),"",IF($D16="","",$D16+365-TODAY()))</f>
        <v>272</v>
      </c>
      <c r="N16" s="12" t="n">
        <f aca="true">IF(AND(TRIM($A16)="Finalized",$K16&lt;&gt;""),"",IF($D16="","",$D16+120-TODAY()))</f>
        <v>27</v>
      </c>
      <c r="O16" s="11" t="n">
        <f aca="false">IF(AND(TRIM($A16)="Finalized",$K16&lt;&gt;""),"",DATE(2027,5,7))</f>
        <v>46514</v>
      </c>
      <c r="P16" s="10" t="s">
        <v>114</v>
      </c>
      <c r="Q16" s="10" t="s">
        <v>115</v>
      </c>
      <c r="R16" s="10" t="s">
        <v>114</v>
      </c>
      <c r="S16" s="10" t="s">
        <v>116</v>
      </c>
      <c r="T16" s="10" t="s">
        <v>117</v>
      </c>
      <c r="U16" s="10" t="s">
        <v>116</v>
      </c>
      <c r="V16" s="10" t="s">
        <v>266</v>
      </c>
      <c r="W16" s="10" t="s">
        <v>119</v>
      </c>
      <c r="X16" s="10" t="s">
        <v>120</v>
      </c>
      <c r="Y16" s="10"/>
      <c r="Z16" s="10"/>
      <c r="AA16" s="10" t="s">
        <v>121</v>
      </c>
      <c r="AB16" s="8" t="n">
        <f aca="true">IF($F16="","",TODAY()-$F16)</f>
        <v>162</v>
      </c>
      <c r="AC16" s="10" t="s">
        <v>273</v>
      </c>
      <c r="AD16" s="10"/>
      <c r="AE16" s="10"/>
      <c r="AF16" s="10"/>
      <c r="AG16" s="10"/>
      <c r="AH16" s="10"/>
      <c r="AI16" s="10"/>
      <c r="AJ16" s="10" t="s">
        <v>123</v>
      </c>
      <c r="AK16" s="10" t="s">
        <v>139</v>
      </c>
      <c r="AL16" s="10" t="s">
        <v>124</v>
      </c>
      <c r="AM16" s="10"/>
      <c r="AN16" s="8" t="n">
        <v>561539073</v>
      </c>
      <c r="AO16" s="10" t="s">
        <v>274</v>
      </c>
      <c r="AP16" s="10" t="s">
        <v>275</v>
      </c>
      <c r="AQ16" s="11" t="n">
        <v>46155</v>
      </c>
      <c r="AR16" s="13"/>
      <c r="AS16" s="13"/>
      <c r="AT16" s="13"/>
      <c r="AU16" s="13"/>
      <c r="AV16" s="13"/>
      <c r="AW16" s="13"/>
      <c r="AX16" s="13" t="s">
        <v>273</v>
      </c>
      <c r="AY16" s="7"/>
      <c r="AZ16" s="7"/>
      <c r="BA16" s="7" t="s">
        <v>37</v>
      </c>
      <c r="BB16" s="7" t="s">
        <v>276</v>
      </c>
      <c r="BC16" s="7"/>
      <c r="BD16" s="9"/>
      <c r="BE16" s="7" t="s">
        <v>235</v>
      </c>
      <c r="BF16" s="14" t="str">
        <f aca="true">IF(TRIM($A16)="Finalized","Closed",IF($BD16="","No review date set",IF($BD16&lt;TODAY(),"OVERDUE",IF($BD16-TODAY()&lt;=7,"Due within 7 days","Scheduled"))))</f>
        <v>No review date set</v>
      </c>
      <c r="BG16" s="14" t="str">
        <f aca="true">IF($K16="","",TODAY()-$K16)</f>
        <v/>
      </c>
      <c r="BH16" s="15" t="str">
        <f aca="false">IFERROR(LEFT(IF($B16="","Notes, ","")&amp;IF($K16="","Latest Date Worked, ","")&amp;IF($AY16="","Last Action, ","")&amp;IF(AND(OR(TRIM($A16)="Denied",TRIM($A16)="Rejected"),$BA16=""),"Denial Reason, ","")&amp;IF(AND(TRIM($A16)="Denied",$BB16="",TRIM($BA16)&lt;&gt;"NO DENIAL"),"Denial Code, ","")&amp;IF(AND(TRIM($A16)&lt;&gt;"Finalized",$BD16=""),"Next Review Date, ","")&amp;IF(AND(TRIM($A16)&lt;&gt;"Finalized",$BE16=""),"Next Step, ","")&amp;IF(AND(TRIM($A16)="Finalized",$AV16="",$AR16="",$AT16="",$AX16="",$AW16=""),"CPT outcome, ",""),LEN(IF($B16="","Notes, ","")&amp;IF($K16="","Latest Date Worked, ","")&amp;IF($AY16="","Last Action, ","")&amp;IF(AND(OR(TRIM($A16)="Denied",TRIM($A16)="Rejected"),$BA16=""),"Denial Reason, ","")&amp;IF(AND(TRIM($A16)="Denied",$BB16="",TRIM($BA16)&lt;&gt;"NO DENIAL"),"Denial Code, ","")&amp;IF(AND(TRIM($A16)&lt;&gt;"Finalized",$BD16=""),"Next Review Date, ","")&amp;IF(AND(TRIM($A16)&lt;&gt;"Finalized",$BE16=""),"Next Step, ","")&amp;IF(AND(TRIM($A16)="Finalized",$AV16="",$AR16="",$AT16="",$AX16="",$AW16=""),"CPT outcome, ",""))-2),"")</f>
        <v>Latest Date Worked, Last Action, Next Review Date</v>
      </c>
      <c r="BI16" s="15" t="str">
        <f aca="false">IF($BB16="","",IFERROR(INDEX('Denial Codes'!$C:$C,MATCH(LEFT($BB16,FIND(" - ",$BB16&amp;" - ")+2)&amp;"*",'Denial Codes'!$A:$A,0)),""))</f>
        <v/>
      </c>
      <c r="BJ16" s="15" t="str">
        <f aca="false">IF($BA16="","",IFERROR(INDEX(Lists!$B:$B,MATCH(TRIM($BA16),Lists!$A:$A,0))&amp;"",""))</f>
        <v>Check the NCCI pair; if the service was distinct, add 59/XU (or XS) and resubmit; otherwise adjust.</v>
      </c>
    </row>
    <row r="17" customFormat="false" ht="15" hidden="false" customHeight="false" outlineLevel="0" collapsed="false">
      <c r="A17" s="7" t="s">
        <v>21</v>
      </c>
      <c r="B17" s="7" t="s">
        <v>277</v>
      </c>
      <c r="C17" s="8" t="n">
        <v>560559053</v>
      </c>
      <c r="D17" s="9"/>
      <c r="E17" s="10" t="s">
        <v>278</v>
      </c>
      <c r="F17" s="11" t="n">
        <v>46168</v>
      </c>
      <c r="G17" s="10" t="s">
        <v>279</v>
      </c>
      <c r="H17" s="10" t="s">
        <v>279</v>
      </c>
      <c r="I17" s="10" t="s">
        <v>129</v>
      </c>
      <c r="J17" s="10" t="s">
        <v>280</v>
      </c>
      <c r="K17" s="9"/>
      <c r="L17" s="12" t="n">
        <f aca="true">IF($O17="","",$O17-TODAY())</f>
        <v>-23</v>
      </c>
      <c r="M17" s="12" t="n">
        <f aca="true">IF(AND(TRIM($A17)="Finalized",$K17&lt;&gt;""),"",IF($F17="","",$F17+365-TODAY()))</f>
        <v>222</v>
      </c>
      <c r="N17" s="12" t="n">
        <f aca="true">IF(AND(TRIM($A17)="Finalized",$K17&lt;&gt;""),"",IF($F17="","",$F17+365-TODAY()))</f>
        <v>222</v>
      </c>
      <c r="O17" s="11" t="n">
        <f aca="false">IF(AND(TRIM($A17)="Finalized",$K17&lt;&gt;""),"",DATE(2026,9,23))</f>
        <v>46288</v>
      </c>
      <c r="P17" s="10" t="s">
        <v>117</v>
      </c>
      <c r="Q17" s="10" t="s">
        <v>281</v>
      </c>
      <c r="R17" s="10" t="s">
        <v>114</v>
      </c>
      <c r="S17" s="10" t="s">
        <v>149</v>
      </c>
      <c r="T17" s="10" t="s">
        <v>114</v>
      </c>
      <c r="U17" s="10" t="s">
        <v>149</v>
      </c>
      <c r="V17" s="10" t="s">
        <v>266</v>
      </c>
      <c r="W17" s="10" t="s">
        <v>183</v>
      </c>
      <c r="X17" s="10" t="s">
        <v>282</v>
      </c>
      <c r="Y17" s="10"/>
      <c r="Z17" s="10"/>
      <c r="AA17" s="10" t="s">
        <v>197</v>
      </c>
      <c r="AB17" s="8" t="n">
        <f aca="true">IF($F17="","",TODAY()-$F17)</f>
        <v>143</v>
      </c>
      <c r="AC17" s="10" t="s">
        <v>283</v>
      </c>
      <c r="AD17" s="10"/>
      <c r="AE17" s="10"/>
      <c r="AF17" s="10"/>
      <c r="AG17" s="10"/>
      <c r="AH17" s="10"/>
      <c r="AI17" s="10"/>
      <c r="AJ17" s="10" t="s">
        <v>170</v>
      </c>
      <c r="AK17" s="10" t="s">
        <v>139</v>
      </c>
      <c r="AL17" s="10" t="s">
        <v>284</v>
      </c>
      <c r="AM17" s="10" t="s">
        <v>285</v>
      </c>
      <c r="AN17" s="8"/>
      <c r="AO17" s="10" t="s">
        <v>286</v>
      </c>
      <c r="AP17" s="10" t="s">
        <v>202</v>
      </c>
      <c r="AQ17" s="11" t="n">
        <v>46275</v>
      </c>
      <c r="AR17" s="13"/>
      <c r="AS17" s="13"/>
      <c r="AT17" s="13"/>
      <c r="AU17" s="13"/>
      <c r="AV17" s="13"/>
      <c r="AW17" s="13"/>
      <c r="AX17" s="13" t="s">
        <v>287</v>
      </c>
      <c r="AY17" s="7"/>
      <c r="AZ17" s="7"/>
      <c r="BA17" s="7" t="s">
        <v>38</v>
      </c>
      <c r="BB17" s="7"/>
      <c r="BC17" s="7"/>
      <c r="BD17" s="9"/>
      <c r="BE17" s="7" t="s">
        <v>288</v>
      </c>
      <c r="BF17" s="14" t="str">
        <f aca="true">IF(TRIM($A17)="Finalized","Closed",IF($BD17="","No review date set",IF($BD17&lt;TODAY(),"OVERDUE",IF($BD17-TODAY()&lt;=7,"Due within 7 days","Scheduled"))))</f>
        <v>No review date set</v>
      </c>
      <c r="BG17" s="14" t="str">
        <f aca="true">IF($K17="","",TODAY()-$K17)</f>
        <v/>
      </c>
      <c r="BH17" s="15" t="str">
        <f aca="false">IFERROR(LEFT(IF($B17="","Notes, ","")&amp;IF($K17="","Latest Date Worked, ","")&amp;IF($AY17="","Last Action, ","")&amp;IF(AND(OR(TRIM($A17)="Denied",TRIM($A17)="Rejected"),$BA17=""),"Denial Reason, ","")&amp;IF(AND(TRIM($A17)="Denied",$BB17="",TRIM($BA17)&lt;&gt;"NO DENIAL"),"Denial Code, ","")&amp;IF(AND(TRIM($A17)&lt;&gt;"Finalized",$BD17=""),"Next Review Date, ","")&amp;IF(AND(TRIM($A17)&lt;&gt;"Finalized",$BE17=""),"Next Step, ","")&amp;IF(AND(TRIM($A17)="Finalized",$AV17="",$AR17="",$AT17="",$AX17="",$AW17=""),"CPT outcome, ",""),LEN(IF($B17="","Notes, ","")&amp;IF($K17="","Latest Date Worked, ","")&amp;IF($AY17="","Last Action, ","")&amp;IF(AND(OR(TRIM($A17)="Denied",TRIM($A17)="Rejected"),$BA17=""),"Denial Reason, ","")&amp;IF(AND(TRIM($A17)="Denied",$BB17="",TRIM($BA17)&lt;&gt;"NO DENIAL"),"Denial Code, ","")&amp;IF(AND(TRIM($A17)&lt;&gt;"Finalized",$BD17=""),"Next Review Date, ","")&amp;IF(AND(TRIM($A17)&lt;&gt;"Finalized",$BE17=""),"Next Step, ","")&amp;IF(AND(TRIM($A17)="Finalized",$AV17="",$AR17="",$AT17="",$AX17="",$AW17=""),"CPT outcome, ",""))-2),"")</f>
        <v>Latest Date Worked, Last Action, Next Review Date</v>
      </c>
      <c r="BI17" s="15" t="str">
        <f aca="false">IF($BB17="","",IFERROR(INDEX('Denial Codes'!$C:$C,MATCH(LEFT($BB17,FIND(" - ",$BB17&amp;" - ")+2)&amp;"*",'Denial Codes'!$A:$A,0)),""))</f>
        <v/>
      </c>
      <c r="BJ17" s="15" t="str">
        <f aca="false">IF($BA17="","",IFERROR(INDEX(Lists!$B:$B,MATCH(TRIM($BA17),Lists!$A:$A,0))&amp;"",""))</f>
        <v>Correct or add the modifier (e.g. NU/RR, KX, RT/LT, 25) and resubmit.</v>
      </c>
    </row>
    <row r="18" customFormat="false" ht="15" hidden="false" customHeight="false" outlineLevel="0" collapsed="false">
      <c r="A18" s="7" t="s">
        <v>21</v>
      </c>
      <c r="B18" s="7" t="s">
        <v>277</v>
      </c>
      <c r="C18" s="8" t="n">
        <v>560607909</v>
      </c>
      <c r="D18" s="9"/>
      <c r="E18" s="10" t="s">
        <v>289</v>
      </c>
      <c r="F18" s="11" t="n">
        <v>46169</v>
      </c>
      <c r="G18" s="10" t="s">
        <v>279</v>
      </c>
      <c r="H18" s="10" t="s">
        <v>279</v>
      </c>
      <c r="I18" s="10" t="s">
        <v>129</v>
      </c>
      <c r="J18" s="10" t="s">
        <v>280</v>
      </c>
      <c r="K18" s="9"/>
      <c r="L18" s="12" t="n">
        <f aca="true">IF($O18="","",$O18-TODAY())</f>
        <v>-22</v>
      </c>
      <c r="M18" s="12" t="n">
        <f aca="true">IF(AND(TRIM($A18)="Finalized",$K18&lt;&gt;""),"",IF($F18="","",$F18+365-TODAY()))</f>
        <v>223</v>
      </c>
      <c r="N18" s="12" t="n">
        <f aca="true">IF(AND(TRIM($A18)="Finalized",$K18&lt;&gt;""),"",IF($F18="","",$F18+365-TODAY()))</f>
        <v>223</v>
      </c>
      <c r="O18" s="11" t="n">
        <f aca="false">IF(AND(TRIM($A18)="Finalized",$K18&lt;&gt;""),"",DATE(2026,9,24))</f>
        <v>46289</v>
      </c>
      <c r="P18" s="10" t="s">
        <v>117</v>
      </c>
      <c r="Q18" s="10" t="s">
        <v>281</v>
      </c>
      <c r="R18" s="10" t="s">
        <v>114</v>
      </c>
      <c r="S18" s="10" t="s">
        <v>149</v>
      </c>
      <c r="T18" s="10" t="s">
        <v>114</v>
      </c>
      <c r="U18" s="10" t="s">
        <v>149</v>
      </c>
      <c r="V18" s="10" t="s">
        <v>266</v>
      </c>
      <c r="W18" s="10" t="s">
        <v>183</v>
      </c>
      <c r="X18" s="10" t="s">
        <v>282</v>
      </c>
      <c r="Y18" s="10"/>
      <c r="Z18" s="10"/>
      <c r="AA18" s="10" t="s">
        <v>197</v>
      </c>
      <c r="AB18" s="8" t="n">
        <f aca="true">IF($F18="","",TODAY()-$F18)</f>
        <v>142</v>
      </c>
      <c r="AC18" s="10" t="s">
        <v>283</v>
      </c>
      <c r="AD18" s="10"/>
      <c r="AE18" s="10"/>
      <c r="AF18" s="10"/>
      <c r="AG18" s="10"/>
      <c r="AH18" s="10"/>
      <c r="AI18" s="10"/>
      <c r="AJ18" s="10" t="s">
        <v>290</v>
      </c>
      <c r="AK18" s="10" t="s">
        <v>291</v>
      </c>
      <c r="AL18" s="10" t="s">
        <v>284</v>
      </c>
      <c r="AM18" s="10" t="s">
        <v>285</v>
      </c>
      <c r="AN18" s="8"/>
      <c r="AO18" s="10" t="s">
        <v>286</v>
      </c>
      <c r="AP18" s="10" t="s">
        <v>202</v>
      </c>
      <c r="AQ18" s="11" t="n">
        <v>46275</v>
      </c>
      <c r="AR18" s="13"/>
      <c r="AS18" s="13"/>
      <c r="AT18" s="13"/>
      <c r="AU18" s="13"/>
      <c r="AV18" s="13"/>
      <c r="AW18" s="13"/>
      <c r="AX18" s="13" t="s">
        <v>287</v>
      </c>
      <c r="AY18" s="7"/>
      <c r="AZ18" s="7"/>
      <c r="BA18" s="7" t="s">
        <v>38</v>
      </c>
      <c r="BB18" s="7"/>
      <c r="BC18" s="7"/>
      <c r="BD18" s="9"/>
      <c r="BE18" s="7" t="s">
        <v>288</v>
      </c>
      <c r="BF18" s="14" t="str">
        <f aca="true">IF(TRIM($A18)="Finalized","Closed",IF($BD18="","No review date set",IF($BD18&lt;TODAY(),"OVERDUE",IF($BD18-TODAY()&lt;=7,"Due within 7 days","Scheduled"))))</f>
        <v>No review date set</v>
      </c>
      <c r="BG18" s="14" t="str">
        <f aca="true">IF($K18="","",TODAY()-$K18)</f>
        <v/>
      </c>
      <c r="BH18" s="15" t="str">
        <f aca="false">IFERROR(LEFT(IF($B18="","Notes, ","")&amp;IF($K18="","Latest Date Worked, ","")&amp;IF($AY18="","Last Action, ","")&amp;IF(AND(OR(TRIM($A18)="Denied",TRIM($A18)="Rejected"),$BA18=""),"Denial Reason, ","")&amp;IF(AND(TRIM($A18)="Denied",$BB18="",TRIM($BA18)&lt;&gt;"NO DENIAL"),"Denial Code, ","")&amp;IF(AND(TRIM($A18)&lt;&gt;"Finalized",$BD18=""),"Next Review Date, ","")&amp;IF(AND(TRIM($A18)&lt;&gt;"Finalized",$BE18=""),"Next Step, ","")&amp;IF(AND(TRIM($A18)="Finalized",$AV18="",$AR18="",$AT18="",$AX18="",$AW18=""),"CPT outcome, ",""),LEN(IF($B18="","Notes, ","")&amp;IF($K18="","Latest Date Worked, ","")&amp;IF($AY18="","Last Action, ","")&amp;IF(AND(OR(TRIM($A18)="Denied",TRIM($A18)="Rejected"),$BA18=""),"Denial Reason, ","")&amp;IF(AND(TRIM($A18)="Denied",$BB18="",TRIM($BA18)&lt;&gt;"NO DENIAL"),"Denial Code, ","")&amp;IF(AND(TRIM($A18)&lt;&gt;"Finalized",$BD18=""),"Next Review Date, ","")&amp;IF(AND(TRIM($A18)&lt;&gt;"Finalized",$BE18=""),"Next Step, ","")&amp;IF(AND(TRIM($A18)="Finalized",$AV18="",$AR18="",$AT18="",$AX18="",$AW18=""),"CPT outcome, ",""))-2),"")</f>
        <v>Latest Date Worked, Last Action, Next Review Date</v>
      </c>
      <c r="BI18" s="15" t="str">
        <f aca="false">IF($BB18="","",IFERROR(INDEX('Denial Codes'!$C:$C,MATCH(LEFT($BB18,FIND(" - ",$BB18&amp;" - ")+2)&amp;"*",'Denial Codes'!$A:$A,0)),""))</f>
        <v/>
      </c>
      <c r="BJ18" s="15" t="str">
        <f aca="false">IF($BA18="","",IFERROR(INDEX(Lists!$B:$B,MATCH(TRIM($BA18),Lists!$A:$A,0))&amp;"",""))</f>
        <v>Correct or add the modifier (e.g. NU/RR, KX, RT/LT, 25) and resubmit.</v>
      </c>
    </row>
    <row r="19" customFormat="false" ht="15" hidden="false" customHeight="false" outlineLevel="0" collapsed="false">
      <c r="A19" s="7" t="s">
        <v>17</v>
      </c>
      <c r="B19" s="7" t="s">
        <v>292</v>
      </c>
      <c r="C19" s="8" t="n">
        <v>570821252</v>
      </c>
      <c r="D19" s="9" t="n">
        <v>46279</v>
      </c>
      <c r="E19" s="10" t="s">
        <v>293</v>
      </c>
      <c r="F19" s="11" t="n">
        <v>46169</v>
      </c>
      <c r="G19" s="10" t="s">
        <v>260</v>
      </c>
      <c r="H19" s="10" t="s">
        <v>260</v>
      </c>
      <c r="I19" s="10" t="s">
        <v>129</v>
      </c>
      <c r="J19" s="10" t="s">
        <v>280</v>
      </c>
      <c r="K19" s="9"/>
      <c r="L19" s="12" t="n">
        <f aca="true">IF($O19="","",$O19-TODAY())</f>
        <v>223</v>
      </c>
      <c r="M19" s="12" t="n">
        <f aca="true">IF(AND(TRIM($A19)="Finalized",$K19&lt;&gt;""),"",IF($D19="","",$D19+365-TODAY()))</f>
        <v>333</v>
      </c>
      <c r="N19" s="12" t="n">
        <f aca="true">IF(AND(TRIM($A19)="Finalized",$K19&lt;&gt;""),"",IF($D19="","",$D19+120-TODAY()))</f>
        <v>88</v>
      </c>
      <c r="O19" s="11" t="n">
        <f aca="false">IF(AND(TRIM($A19)="Finalized",$K19&lt;&gt;""),"",DATE(2027,5,27))</f>
        <v>46534</v>
      </c>
      <c r="P19" s="10" t="s">
        <v>114</v>
      </c>
      <c r="Q19" s="10" t="s">
        <v>115</v>
      </c>
      <c r="R19" s="10" t="s">
        <v>114</v>
      </c>
      <c r="S19" s="10" t="s">
        <v>116</v>
      </c>
      <c r="T19" s="10" t="s">
        <v>117</v>
      </c>
      <c r="U19" s="10" t="s">
        <v>116</v>
      </c>
      <c r="V19" s="10" t="s">
        <v>266</v>
      </c>
      <c r="W19" s="10" t="s">
        <v>183</v>
      </c>
      <c r="X19" s="10" t="s">
        <v>282</v>
      </c>
      <c r="Y19" s="10"/>
      <c r="Z19" s="10"/>
      <c r="AA19" s="10" t="s">
        <v>197</v>
      </c>
      <c r="AB19" s="8" t="n">
        <f aca="true">IF($F19="","",TODAY()-$F19)</f>
        <v>142</v>
      </c>
      <c r="AC19" s="10" t="s">
        <v>283</v>
      </c>
      <c r="AD19" s="10"/>
      <c r="AE19" s="10"/>
      <c r="AF19" s="10"/>
      <c r="AG19" s="10"/>
      <c r="AH19" s="10"/>
      <c r="AI19" s="10"/>
      <c r="AJ19" s="10" t="s">
        <v>123</v>
      </c>
      <c r="AK19" s="10" t="s">
        <v>254</v>
      </c>
      <c r="AL19" s="10" t="s">
        <v>284</v>
      </c>
      <c r="AM19" s="10" t="s">
        <v>285</v>
      </c>
      <c r="AN19" s="8"/>
      <c r="AO19" s="10" t="s">
        <v>286</v>
      </c>
      <c r="AP19" s="10" t="s">
        <v>202</v>
      </c>
      <c r="AQ19" s="11" t="n">
        <v>46268</v>
      </c>
      <c r="AR19" s="13"/>
      <c r="AS19" s="13"/>
      <c r="AT19" s="13"/>
      <c r="AU19" s="13"/>
      <c r="AV19" s="13"/>
      <c r="AW19" s="13"/>
      <c r="AX19" s="13" t="s">
        <v>287</v>
      </c>
      <c r="AY19" s="7"/>
      <c r="AZ19" s="7"/>
      <c r="BA19" s="7" t="s">
        <v>43</v>
      </c>
      <c r="BB19" s="7" t="s">
        <v>294</v>
      </c>
      <c r="BC19" s="7"/>
      <c r="BD19" s="9"/>
      <c r="BE19" s="7" t="s">
        <v>288</v>
      </c>
      <c r="BF19" s="14" t="str">
        <f aca="true">IF(TRIM($A19)="Finalized","Closed",IF($BD19="","No review date set",IF($BD19&lt;TODAY(),"OVERDUE",IF($BD19-TODAY()&lt;=7,"Due within 7 days","Scheduled"))))</f>
        <v>No review date set</v>
      </c>
      <c r="BG19" s="14" t="str">
        <f aca="true">IF($K19="","",TODAY()-$K19)</f>
        <v/>
      </c>
      <c r="BH19" s="15" t="str">
        <f aca="false">IFERROR(LEFT(IF($B19="","Notes, ","")&amp;IF($K19="","Latest Date Worked, ","")&amp;IF($AY19="","Last Action, ","")&amp;IF(AND(OR(TRIM($A19)="Denied",TRIM($A19)="Rejected"),$BA19=""),"Denial Reason, ","")&amp;IF(AND(TRIM($A19)="Denied",$BB19="",TRIM($BA19)&lt;&gt;"NO DENIAL"),"Denial Code, ","")&amp;IF(AND(TRIM($A19)&lt;&gt;"Finalized",$BD19=""),"Next Review Date, ","")&amp;IF(AND(TRIM($A19)&lt;&gt;"Finalized",$BE19=""),"Next Step, ","")&amp;IF(AND(TRIM($A19)="Finalized",$AV19="",$AR19="",$AT19="",$AX19="",$AW19=""),"CPT outcome, ",""),LEN(IF($B19="","Notes, ","")&amp;IF($K19="","Latest Date Worked, ","")&amp;IF($AY19="","Last Action, ","")&amp;IF(AND(OR(TRIM($A19)="Denied",TRIM($A19)="Rejected"),$BA19=""),"Denial Reason, ","")&amp;IF(AND(TRIM($A19)="Denied",$BB19="",TRIM($BA19)&lt;&gt;"NO DENIAL"),"Denial Code, ","")&amp;IF(AND(TRIM($A19)&lt;&gt;"Finalized",$BD19=""),"Next Review Date, ","")&amp;IF(AND(TRIM($A19)&lt;&gt;"Finalized",$BE19=""),"Next Step, ","")&amp;IF(AND(TRIM($A19)="Finalized",$AV19="",$AR19="",$AT19="",$AX19="",$AW19=""),"CPT outcome, ",""))-2),"")</f>
        <v>Latest Date Worked, Last Action, Next Review Date</v>
      </c>
      <c r="BI19" s="15" t="str">
        <f aca="false">IF($BB19="","",IFERROR(INDEX('Denial Codes'!$C:$C,MATCH(LEFT($BB19,FIND(" - ",$BB19&amp;" - ")+2)&amp;"*",'Denial Codes'!$A:$A,0)),""))</f>
        <v>Not covered by plan</v>
      </c>
      <c r="BJ19" s="15" t="str">
        <f aca="false">IF($BA19="","",IFERROR(INDEX(Lists!$B:$B,MATCH(TRIM($BA19),Lists!$A:$A,0))&amp;"",""))</f>
        <v>Appeal with medical records and a letter of medical necessity; check LCD/MUE limits.</v>
      </c>
    </row>
    <row r="20" customFormat="false" ht="15" hidden="false" customHeight="false" outlineLevel="0" collapsed="false">
      <c r="A20" s="7" t="s">
        <v>18</v>
      </c>
      <c r="B20" s="7" t="s">
        <v>295</v>
      </c>
      <c r="C20" s="8" t="n">
        <v>560610028</v>
      </c>
      <c r="D20" s="9" t="n">
        <v>46283</v>
      </c>
      <c r="E20" s="10" t="s">
        <v>296</v>
      </c>
      <c r="F20" s="11" t="n">
        <v>46169</v>
      </c>
      <c r="G20" s="10" t="s">
        <v>260</v>
      </c>
      <c r="H20" s="10" t="s">
        <v>260</v>
      </c>
      <c r="I20" s="10" t="s">
        <v>163</v>
      </c>
      <c r="J20" s="10" t="s">
        <v>280</v>
      </c>
      <c r="K20" s="9"/>
      <c r="L20" s="12" t="n">
        <f aca="true">IF($O20="","",$O20-TODAY())</f>
        <v>223</v>
      </c>
      <c r="M20" s="12" t="n">
        <f aca="true">IF(AND(TRIM($A20)="Finalized",$K20&lt;&gt;""),"",IF($D20="","",$D20+365-TODAY()))</f>
        <v>337</v>
      </c>
      <c r="N20" s="12" t="n">
        <f aca="true">IF(AND(TRIM($A20)="Finalized",$K20&lt;&gt;""),"",IF($D20="","",$D20+120-TODAY()))</f>
        <v>92</v>
      </c>
      <c r="O20" s="11" t="n">
        <f aca="false">IF(AND(TRIM($A20)="Finalized",$K20&lt;&gt;""),"",DATE(2027,5,27))</f>
        <v>46534</v>
      </c>
      <c r="P20" s="10" t="s">
        <v>114</v>
      </c>
      <c r="Q20" s="10" t="s">
        <v>115</v>
      </c>
      <c r="R20" s="10" t="s">
        <v>114</v>
      </c>
      <c r="S20" s="10" t="s">
        <v>116</v>
      </c>
      <c r="T20" s="10" t="s">
        <v>117</v>
      </c>
      <c r="U20" s="10" t="s">
        <v>116</v>
      </c>
      <c r="V20" s="10" t="s">
        <v>266</v>
      </c>
      <c r="W20" s="10" t="s">
        <v>183</v>
      </c>
      <c r="X20" s="10" t="s">
        <v>282</v>
      </c>
      <c r="Y20" s="10"/>
      <c r="Z20" s="10"/>
      <c r="AA20" s="10" t="s">
        <v>197</v>
      </c>
      <c r="AB20" s="8" t="n">
        <f aca="true">IF($F20="","",TODAY()-$F20)</f>
        <v>142</v>
      </c>
      <c r="AC20" s="10" t="s">
        <v>283</v>
      </c>
      <c r="AD20" s="10"/>
      <c r="AE20" s="10"/>
      <c r="AF20" s="10"/>
      <c r="AG20" s="10"/>
      <c r="AH20" s="10"/>
      <c r="AI20" s="10"/>
      <c r="AJ20" s="10" t="s">
        <v>123</v>
      </c>
      <c r="AK20" s="10" t="s">
        <v>297</v>
      </c>
      <c r="AL20" s="10" t="s">
        <v>254</v>
      </c>
      <c r="AM20" s="10" t="s">
        <v>298</v>
      </c>
      <c r="AN20" s="8"/>
      <c r="AO20" s="10" t="s">
        <v>286</v>
      </c>
      <c r="AP20" s="10" t="s">
        <v>202</v>
      </c>
      <c r="AQ20" s="11" t="n">
        <v>46275</v>
      </c>
      <c r="AR20" s="13"/>
      <c r="AS20" s="13"/>
      <c r="AT20" s="13" t="n">
        <v>99204</v>
      </c>
      <c r="AU20" s="13" t="s">
        <v>299</v>
      </c>
      <c r="AV20" s="13"/>
      <c r="AW20" s="13"/>
      <c r="AX20" s="13" t="s">
        <v>287</v>
      </c>
      <c r="AY20" s="7"/>
      <c r="AZ20" s="7"/>
      <c r="BA20" s="7" t="s">
        <v>43</v>
      </c>
      <c r="BB20" s="7" t="s">
        <v>299</v>
      </c>
      <c r="BC20" s="7"/>
      <c r="BD20" s="9" t="n">
        <v>46310</v>
      </c>
      <c r="BE20" s="7" t="s">
        <v>300</v>
      </c>
      <c r="BF20" s="14" t="str">
        <f aca="true">IF(TRIM($A20)="Finalized","Closed",IF($BD20="","No review date set",IF($BD20&lt;TODAY(),"OVERDUE",IF($BD20-TODAY()&lt;=7,"Due within 7 days","Scheduled"))))</f>
        <v>OVERDUE</v>
      </c>
      <c r="BG20" s="14" t="str">
        <f aca="true">IF($K20="","",TODAY()-$K20)</f>
        <v/>
      </c>
      <c r="BH20" s="15" t="str">
        <f aca="false">IFERROR(LEFT(IF($B20="","Notes, ","")&amp;IF($K20="","Latest Date Worked, ","")&amp;IF($AY20="","Last Action, ","")&amp;IF(AND(OR(TRIM($A20)="Denied",TRIM($A20)="Rejected"),$BA20=""),"Denial Reason, ","")&amp;IF(AND(TRIM($A20)="Denied",$BB20="",TRIM($BA20)&lt;&gt;"NO DENIAL"),"Denial Code, ","")&amp;IF(AND(TRIM($A20)&lt;&gt;"Finalized",$BD20=""),"Next Review Date, ","")&amp;IF(AND(TRIM($A20)&lt;&gt;"Finalized",$BE20=""),"Next Step, ","")&amp;IF(AND(TRIM($A20)="Finalized",$AV20="",$AR20="",$AT20="",$AX20="",$AW20=""),"CPT outcome, ",""),LEN(IF($B20="","Notes, ","")&amp;IF($K20="","Latest Date Worked, ","")&amp;IF($AY20="","Last Action, ","")&amp;IF(AND(OR(TRIM($A20)="Denied",TRIM($A20)="Rejected"),$BA20=""),"Denial Reason, ","")&amp;IF(AND(TRIM($A20)="Denied",$BB20="",TRIM($BA20)&lt;&gt;"NO DENIAL"),"Denial Code, ","")&amp;IF(AND(TRIM($A20)&lt;&gt;"Finalized",$BD20=""),"Next Review Date, ","")&amp;IF(AND(TRIM($A20)&lt;&gt;"Finalized",$BE20=""),"Next Step, ","")&amp;IF(AND(TRIM($A20)="Finalized",$AV20="",$AR20="",$AT20="",$AX20="",$AW20=""),"CPT outcome, ",""))-2),"")</f>
        <v>Latest Date Worked, Last Action</v>
      </c>
      <c r="BI20" s="15" t="str">
        <f aca="false">IF($BB20="","",IFERROR(INDEX('Denial Codes'!$C:$C,MATCH(LEFT($BB20,FIND(" - ",$BB20&amp;" - ")+2)&amp;"*",'Denial Codes'!$A:$A,0)),""))</f>
        <v>Medical necessity / frequency</v>
      </c>
      <c r="BJ20" s="15" t="str">
        <f aca="false">IF($BA20="","",IFERROR(INDEX(Lists!$B:$B,MATCH(TRIM($BA20),Lists!$A:$A,0))&amp;"",""))</f>
        <v>Appeal with medical records and a letter of medical necessity; check LCD/MUE limits.</v>
      </c>
    </row>
    <row r="21" customFormat="false" ht="15" hidden="false" customHeight="false" outlineLevel="0" collapsed="false">
      <c r="A21" s="7" t="s">
        <v>20</v>
      </c>
      <c r="B21" s="7" t="s">
        <v>109</v>
      </c>
      <c r="C21" s="8" t="n">
        <v>562125174</v>
      </c>
      <c r="D21" s="9" t="n">
        <v>46280</v>
      </c>
      <c r="E21" s="10" t="s">
        <v>301</v>
      </c>
      <c r="F21" s="11" t="n">
        <v>46175</v>
      </c>
      <c r="G21" s="10" t="s">
        <v>163</v>
      </c>
      <c r="H21" s="10" t="s">
        <v>163</v>
      </c>
      <c r="I21" s="10" t="s">
        <v>129</v>
      </c>
      <c r="J21" s="10" t="s">
        <v>302</v>
      </c>
      <c r="K21" s="9"/>
      <c r="L21" s="12" t="n">
        <f aca="true">IF($O21="","",$O21-TODAY())</f>
        <v>-46</v>
      </c>
      <c r="M21" s="12" t="n">
        <f aca="true">IF(AND(TRIM($A21)="Finalized",$K21&lt;&gt;""),"",IF($F21="","",$F21+90-TODAY()))</f>
        <v>-46</v>
      </c>
      <c r="N21" s="12" t="n">
        <f aca="true">IF(AND(TRIM($A21)="Finalized",$K21&lt;&gt;""),"",IF($D21="","",$D21+365-TODAY()))</f>
        <v>334</v>
      </c>
      <c r="O21" s="11" t="n">
        <f aca="false">IF(AND(TRIM($A21)="Finalized",$K21&lt;&gt;""),"",DATE(2026,8,31))</f>
        <v>46265</v>
      </c>
      <c r="P21" s="10" t="s">
        <v>165</v>
      </c>
      <c r="Q21" s="10" t="s">
        <v>166</v>
      </c>
      <c r="R21" s="10" t="s">
        <v>165</v>
      </c>
      <c r="S21" s="10" t="s">
        <v>149</v>
      </c>
      <c r="T21" s="10" t="s">
        <v>114</v>
      </c>
      <c r="U21" s="10" t="s">
        <v>116</v>
      </c>
      <c r="V21" s="10" t="s">
        <v>303</v>
      </c>
      <c r="W21" s="10" t="s">
        <v>119</v>
      </c>
      <c r="X21" s="10" t="s">
        <v>304</v>
      </c>
      <c r="Y21" s="10"/>
      <c r="Z21" s="10"/>
      <c r="AA21" s="10" t="s">
        <v>197</v>
      </c>
      <c r="AB21" s="8" t="n">
        <f aca="true">IF($F21="","",TODAY()-$F21)</f>
        <v>136</v>
      </c>
      <c r="AC21" s="10" t="s">
        <v>305</v>
      </c>
      <c r="AD21" s="10"/>
      <c r="AE21" s="10"/>
      <c r="AF21" s="10"/>
      <c r="AG21" s="10"/>
      <c r="AH21" s="10"/>
      <c r="AI21" s="10"/>
      <c r="AJ21" s="10" t="s">
        <v>306</v>
      </c>
      <c r="AK21" s="10"/>
      <c r="AL21" s="10"/>
      <c r="AM21" s="10"/>
      <c r="AN21" s="8"/>
      <c r="AO21" s="10" t="s">
        <v>307</v>
      </c>
      <c r="AP21" s="10" t="s">
        <v>308</v>
      </c>
      <c r="AQ21" s="11" t="n">
        <v>46185</v>
      </c>
      <c r="AR21" s="13"/>
      <c r="AS21" s="13"/>
      <c r="AT21" s="13"/>
      <c r="AU21" s="13"/>
      <c r="AV21" s="13" t="s">
        <v>305</v>
      </c>
      <c r="AW21" s="13"/>
      <c r="AX21" s="13"/>
      <c r="AY21" s="7"/>
      <c r="AZ21" s="7"/>
      <c r="BA21" s="7"/>
      <c r="BB21" s="7"/>
      <c r="BC21" s="7"/>
      <c r="BD21" s="9"/>
      <c r="BE21" s="7" t="s">
        <v>309</v>
      </c>
      <c r="BF21" s="14" t="str">
        <f aca="true">IF(TRIM($A21)="Finalized","Closed",IF($BD21="","No review date set",IF($BD21&lt;TODAY(),"OVERDUE",IF($BD21-TODAY()&lt;=7,"Due within 7 days","Scheduled"))))</f>
        <v>No review date set</v>
      </c>
      <c r="BG21" s="14" t="str">
        <f aca="true">IF($K21="","",TODAY()-$K21)</f>
        <v/>
      </c>
      <c r="BH21" s="15" t="str">
        <f aca="false">IFERROR(LEFT(IF($B21="","Notes, ","")&amp;IF($K21="","Latest Date Worked, ","")&amp;IF($AY21="","Last Action, ","")&amp;IF(AND(OR(TRIM($A21)="Denied",TRIM($A21)="Rejected"),$BA21=""),"Denial Reason, ","")&amp;IF(AND(TRIM($A21)="Denied",$BB21="",TRIM($BA21)&lt;&gt;"NO DENIAL"),"Denial Code, ","")&amp;IF(AND(TRIM($A21)&lt;&gt;"Finalized",$BD21=""),"Next Review Date, ","")&amp;IF(AND(TRIM($A21)&lt;&gt;"Finalized",$BE21=""),"Next Step, ","")&amp;IF(AND(TRIM($A21)="Finalized",$AV21="",$AR21="",$AT21="",$AX21="",$AW21=""),"CPT outcome, ",""),LEN(IF($B21="","Notes, ","")&amp;IF($K21="","Latest Date Worked, ","")&amp;IF($AY21="","Last Action, ","")&amp;IF(AND(OR(TRIM($A21)="Denied",TRIM($A21)="Rejected"),$BA21=""),"Denial Reason, ","")&amp;IF(AND(TRIM($A21)="Denied",$BB21="",TRIM($BA21)&lt;&gt;"NO DENIAL"),"Denial Code, ","")&amp;IF(AND(TRIM($A21)&lt;&gt;"Finalized",$BD21=""),"Next Review Date, ","")&amp;IF(AND(TRIM($A21)&lt;&gt;"Finalized",$BE21=""),"Next Step, ","")&amp;IF(AND(TRIM($A21)="Finalized",$AV21="",$AR21="",$AT21="",$AX21="",$AW21=""),"CPT outcome, ",""))-2),"")</f>
        <v>Latest Date Worked, Last Action, Next Review Date</v>
      </c>
      <c r="BI21" s="15" t="str">
        <f aca="false">IF($BB21="","",IFERROR(INDEX('Denial Codes'!$C:$C,MATCH(LEFT($BB21,FIND(" - ",$BB21&amp;" - ")+2)&amp;"*",'Denial Codes'!$A:$A,0)),""))</f>
        <v/>
      </c>
      <c r="BJ21" s="15" t="str">
        <f aca="false">IF($BA21="","",IFERROR(INDEX(Lists!$B:$B,MATCH(TRIM($BA21),Lists!$A:$A,0))&amp;"",""))</f>
        <v/>
      </c>
    </row>
    <row r="22" customFormat="false" ht="15" hidden="false" customHeight="false" outlineLevel="0" collapsed="false">
      <c r="A22" s="7" t="s">
        <v>20</v>
      </c>
      <c r="B22" s="7" t="s">
        <v>109</v>
      </c>
      <c r="C22" s="8" t="n">
        <v>563181415</v>
      </c>
      <c r="D22" s="9" t="n">
        <v>46258</v>
      </c>
      <c r="E22" s="10" t="s">
        <v>310</v>
      </c>
      <c r="F22" s="11" t="n">
        <v>46195</v>
      </c>
      <c r="G22" s="10" t="s">
        <v>163</v>
      </c>
      <c r="H22" s="10" t="s">
        <v>163</v>
      </c>
      <c r="I22" s="10" t="s">
        <v>129</v>
      </c>
      <c r="J22" s="10" t="s">
        <v>302</v>
      </c>
      <c r="K22" s="9"/>
      <c r="L22" s="12" t="n">
        <f aca="true">IF($O22="","",$O22-TODAY())</f>
        <v>-26</v>
      </c>
      <c r="M22" s="12" t="n">
        <f aca="true">IF(AND(TRIM($A22)="Finalized",$K22&lt;&gt;""),"",IF($F22="","",$F22+90-TODAY()))</f>
        <v>-26</v>
      </c>
      <c r="N22" s="12" t="n">
        <f aca="true">IF(AND(TRIM($A22)="Finalized",$K22&lt;&gt;""),"",IF($D22="","",$D22+365-TODAY()))</f>
        <v>312</v>
      </c>
      <c r="O22" s="11" t="n">
        <f aca="false">IF(AND(TRIM($A22)="Finalized",$K22&lt;&gt;""),"",DATE(2026,9,20))</f>
        <v>46285</v>
      </c>
      <c r="P22" s="10" t="s">
        <v>165</v>
      </c>
      <c r="Q22" s="10" t="s">
        <v>166</v>
      </c>
      <c r="R22" s="10" t="s">
        <v>165</v>
      </c>
      <c r="S22" s="10" t="s">
        <v>149</v>
      </c>
      <c r="T22" s="10" t="s">
        <v>114</v>
      </c>
      <c r="U22" s="10" t="s">
        <v>116</v>
      </c>
      <c r="V22" s="10" t="s">
        <v>303</v>
      </c>
      <c r="W22" s="10" t="s">
        <v>119</v>
      </c>
      <c r="X22" s="10" t="s">
        <v>304</v>
      </c>
      <c r="Y22" s="10"/>
      <c r="Z22" s="10"/>
      <c r="AA22" s="10" t="s">
        <v>197</v>
      </c>
      <c r="AB22" s="8" t="n">
        <f aca="true">IF($F22="","",TODAY()-$F22)</f>
        <v>116</v>
      </c>
      <c r="AC22" s="10" t="s">
        <v>305</v>
      </c>
      <c r="AD22" s="10"/>
      <c r="AE22" s="10"/>
      <c r="AF22" s="10"/>
      <c r="AG22" s="10"/>
      <c r="AH22" s="10"/>
      <c r="AI22" s="10"/>
      <c r="AJ22" s="10" t="s">
        <v>139</v>
      </c>
      <c r="AK22" s="10" t="s">
        <v>311</v>
      </c>
      <c r="AL22" s="10" t="s">
        <v>312</v>
      </c>
      <c r="AM22" s="10"/>
      <c r="AN22" s="8"/>
      <c r="AO22" s="10" t="s">
        <v>213</v>
      </c>
      <c r="AP22" s="10" t="s">
        <v>188</v>
      </c>
      <c r="AQ22" s="11" t="n">
        <v>46196</v>
      </c>
      <c r="AR22" s="13"/>
      <c r="AS22" s="13"/>
      <c r="AT22" s="13"/>
      <c r="AU22" s="13"/>
      <c r="AV22" s="13" t="s">
        <v>305</v>
      </c>
      <c r="AW22" s="13"/>
      <c r="AX22" s="13"/>
      <c r="AY22" s="7"/>
      <c r="AZ22" s="7"/>
      <c r="BA22" s="7"/>
      <c r="BB22" s="7"/>
      <c r="BC22" s="7"/>
      <c r="BD22" s="9"/>
      <c r="BE22" s="7" t="s">
        <v>309</v>
      </c>
      <c r="BF22" s="14" t="str">
        <f aca="true">IF(TRIM($A22)="Finalized","Closed",IF($BD22="","No review date set",IF($BD22&lt;TODAY(),"OVERDUE",IF($BD22-TODAY()&lt;=7,"Due within 7 days","Scheduled"))))</f>
        <v>No review date set</v>
      </c>
      <c r="BG22" s="14" t="str">
        <f aca="true">IF($K22="","",TODAY()-$K22)</f>
        <v/>
      </c>
      <c r="BH22" s="15" t="str">
        <f aca="false">IFERROR(LEFT(IF($B22="","Notes, ","")&amp;IF($K22="","Latest Date Worked, ","")&amp;IF($AY22="","Last Action, ","")&amp;IF(AND(OR(TRIM($A22)="Denied",TRIM($A22)="Rejected"),$BA22=""),"Denial Reason, ","")&amp;IF(AND(TRIM($A22)="Denied",$BB22="",TRIM($BA22)&lt;&gt;"NO DENIAL"),"Denial Code, ","")&amp;IF(AND(TRIM($A22)&lt;&gt;"Finalized",$BD22=""),"Next Review Date, ","")&amp;IF(AND(TRIM($A22)&lt;&gt;"Finalized",$BE22=""),"Next Step, ","")&amp;IF(AND(TRIM($A22)="Finalized",$AV22="",$AR22="",$AT22="",$AX22="",$AW22=""),"CPT outcome, ",""),LEN(IF($B22="","Notes, ","")&amp;IF($K22="","Latest Date Worked, ","")&amp;IF($AY22="","Last Action, ","")&amp;IF(AND(OR(TRIM($A22)="Denied",TRIM($A22)="Rejected"),$BA22=""),"Denial Reason, ","")&amp;IF(AND(TRIM($A22)="Denied",$BB22="",TRIM($BA22)&lt;&gt;"NO DENIAL"),"Denial Code, ","")&amp;IF(AND(TRIM($A22)&lt;&gt;"Finalized",$BD22=""),"Next Review Date, ","")&amp;IF(AND(TRIM($A22)&lt;&gt;"Finalized",$BE22=""),"Next Step, ","")&amp;IF(AND(TRIM($A22)="Finalized",$AV22="",$AR22="",$AT22="",$AX22="",$AW22=""),"CPT outcome, ",""))-2),"")</f>
        <v>Latest Date Worked, Last Action, Next Review Date</v>
      </c>
      <c r="BI22" s="15" t="str">
        <f aca="false">IF($BB22="","",IFERROR(INDEX('Denial Codes'!$C:$C,MATCH(LEFT($BB22,FIND(" - ",$BB22&amp;" - ")+2)&amp;"*",'Denial Codes'!$A:$A,0)),""))</f>
        <v/>
      </c>
      <c r="BJ22" s="15" t="str">
        <f aca="false">IF($BA22="","",IFERROR(INDEX(Lists!$B:$B,MATCH(TRIM($BA22),Lists!$A:$A,0))&amp;"",""))</f>
        <v/>
      </c>
    </row>
    <row r="23" customFormat="false" ht="15" hidden="false" customHeight="false" outlineLevel="0" collapsed="false">
      <c r="A23" s="7" t="s">
        <v>17</v>
      </c>
      <c r="B23" s="7" t="s">
        <v>313</v>
      </c>
      <c r="C23" s="8" t="n">
        <v>563596494</v>
      </c>
      <c r="D23" s="9"/>
      <c r="E23" s="10" t="s">
        <v>314</v>
      </c>
      <c r="F23" s="11" t="n">
        <v>46199</v>
      </c>
      <c r="G23" s="10" t="s">
        <v>260</v>
      </c>
      <c r="H23" s="10" t="s">
        <v>260</v>
      </c>
      <c r="I23" s="10" t="s">
        <v>129</v>
      </c>
      <c r="J23" s="10" t="s">
        <v>315</v>
      </c>
      <c r="K23" s="9" t="n">
        <v>46309</v>
      </c>
      <c r="L23" s="12" t="n">
        <f aca="true">IF($O23="","",$O23-TODAY())</f>
        <v>253</v>
      </c>
      <c r="M23" s="12" t="str">
        <f aca="true">IF(AND(TRIM($A23)="Finalized",$K23&lt;&gt;""),"",IF($D23="","",$D23+365-TODAY()))</f>
        <v/>
      </c>
      <c r="N23" s="12" t="str">
        <f aca="true">IF(AND(TRIM($A23)="Finalized",$K23&lt;&gt;""),"",IF($D23="","",$D23+120-TODAY()))</f>
        <v/>
      </c>
      <c r="O23" s="11" t="n">
        <f aca="false">IF(AND(TRIM($A23)="Finalized",$K23&lt;&gt;""),"",DATE(2027,6,26))</f>
        <v>46564</v>
      </c>
      <c r="P23" s="10" t="s">
        <v>114</v>
      </c>
      <c r="Q23" s="10" t="s">
        <v>115</v>
      </c>
      <c r="R23" s="10" t="s">
        <v>114</v>
      </c>
      <c r="S23" s="10" t="s">
        <v>116</v>
      </c>
      <c r="T23" s="10" t="s">
        <v>117</v>
      </c>
      <c r="U23" s="10" t="s">
        <v>116</v>
      </c>
      <c r="V23" s="10" t="s">
        <v>303</v>
      </c>
      <c r="W23" s="10" t="s">
        <v>132</v>
      </c>
      <c r="X23" s="10" t="s">
        <v>316</v>
      </c>
      <c r="Y23" s="10"/>
      <c r="Z23" s="10"/>
      <c r="AA23" s="10" t="s">
        <v>197</v>
      </c>
      <c r="AB23" s="8" t="n">
        <f aca="true">IF($F23="","",TODAY()-$F23)</f>
        <v>112</v>
      </c>
      <c r="AC23" s="10" t="s">
        <v>317</v>
      </c>
      <c r="AD23" s="10"/>
      <c r="AE23" s="10"/>
      <c r="AF23" s="10"/>
      <c r="AG23" s="10"/>
      <c r="AH23" s="10"/>
      <c r="AI23" s="10"/>
      <c r="AJ23" s="10" t="s">
        <v>284</v>
      </c>
      <c r="AK23" s="10"/>
      <c r="AL23" s="10"/>
      <c r="AM23" s="10"/>
      <c r="AN23" s="8"/>
      <c r="AO23" s="10" t="s">
        <v>286</v>
      </c>
      <c r="AP23" s="10" t="s">
        <v>318</v>
      </c>
      <c r="AQ23" s="11" t="n">
        <v>46289</v>
      </c>
      <c r="AR23" s="13"/>
      <c r="AS23" s="13"/>
      <c r="AT23" s="13"/>
      <c r="AU23" s="13"/>
      <c r="AV23" s="13" t="s">
        <v>319</v>
      </c>
      <c r="AW23" s="13"/>
      <c r="AX23" s="13" t="n">
        <v>62323</v>
      </c>
      <c r="AY23" s="7" t="s">
        <v>159</v>
      </c>
      <c r="AZ23" s="7"/>
      <c r="BA23" s="7" t="s">
        <v>38</v>
      </c>
      <c r="BB23" s="7" t="s">
        <v>320</v>
      </c>
      <c r="BC23" s="7"/>
      <c r="BD23" s="9"/>
      <c r="BE23" s="7"/>
      <c r="BF23" s="14" t="str">
        <f aca="true">IF(TRIM($A23)="Finalized","Closed",IF($BD23="","No review date set",IF($BD23&lt;TODAY(),"OVERDUE",IF($BD23-TODAY()&lt;=7,"Due within 7 days","Scheduled"))))</f>
        <v>No review date set</v>
      </c>
      <c r="BG23" s="14" t="n">
        <f aca="true">IF($K23="","",TODAY()-$K23)</f>
        <v>2</v>
      </c>
      <c r="BH23" s="15" t="str">
        <f aca="false">IFERROR(LEFT(IF($B23="","Notes, ","")&amp;IF($K23="","Latest Date Worked, ","")&amp;IF($AY23="","Last Action, ","")&amp;IF(AND(OR(TRIM($A23)="Denied",TRIM($A23)="Rejected"),$BA23=""),"Denial Reason, ","")&amp;IF(AND(TRIM($A23)="Denied",$BB23="",TRIM($BA23)&lt;&gt;"NO DENIAL"),"Denial Code, ","")&amp;IF(AND(TRIM($A23)&lt;&gt;"Finalized",$BD23=""),"Next Review Date, ","")&amp;IF(AND(TRIM($A23)&lt;&gt;"Finalized",$BE23=""),"Next Step, ","")&amp;IF(AND(TRIM($A23)="Finalized",$AV23="",$AR23="",$AT23="",$AX23="",$AW23=""),"CPT outcome, ",""),LEN(IF($B23="","Notes, ","")&amp;IF($K23="","Latest Date Worked, ","")&amp;IF($AY23="","Last Action, ","")&amp;IF(AND(OR(TRIM($A23)="Denied",TRIM($A23)="Rejected"),$BA23=""),"Denial Reason, ","")&amp;IF(AND(TRIM($A23)="Denied",$BB23="",TRIM($BA23)&lt;&gt;"NO DENIAL"),"Denial Code, ","")&amp;IF(AND(TRIM($A23)&lt;&gt;"Finalized",$BD23=""),"Next Review Date, ","")&amp;IF(AND(TRIM($A23)&lt;&gt;"Finalized",$BE23=""),"Next Step, ","")&amp;IF(AND(TRIM($A23)="Finalized",$AV23="",$AR23="",$AT23="",$AX23="",$AW23=""),"CPT outcome, ",""))-2),"")</f>
        <v>Next Review Date, Next Step</v>
      </c>
      <c r="BI23" s="15" t="str">
        <f aca="false">IF($BB23="","",IFERROR(INDEX('Denial Codes'!$C:$C,MATCH(LEFT($BB23,FIND(" - ",$BB23&amp;" - ")+2)&amp;"*",'Denial Codes'!$A:$A,0)),""))</f>
        <v>Modifier issue</v>
      </c>
      <c r="BJ23" s="15" t="str">
        <f aca="false">IF($BA23="","",IFERROR(INDEX(Lists!$B:$B,MATCH(TRIM($BA23),Lists!$A:$A,0))&amp;"",""))</f>
        <v>Correct or add the modifier (e.g. NU/RR, KX, RT/LT, 25) and resubmit.</v>
      </c>
    </row>
    <row r="24" customFormat="false" ht="15" hidden="false" customHeight="false" outlineLevel="0" collapsed="false">
      <c r="A24" s="7" t="s">
        <v>21</v>
      </c>
      <c r="B24" s="7" t="s">
        <v>321</v>
      </c>
      <c r="C24" s="8" t="n">
        <v>569646388</v>
      </c>
      <c r="D24" s="9" t="n">
        <v>46259</v>
      </c>
      <c r="E24" s="10" t="s">
        <v>322</v>
      </c>
      <c r="F24" s="11" t="n">
        <v>46037</v>
      </c>
      <c r="G24" s="10" t="s">
        <v>323</v>
      </c>
      <c r="H24" s="10" t="s">
        <v>323</v>
      </c>
      <c r="I24" s="10" t="s">
        <v>129</v>
      </c>
      <c r="J24" s="10" t="s">
        <v>250</v>
      </c>
      <c r="K24" s="9" t="n">
        <v>46279</v>
      </c>
      <c r="L24" s="12" t="n">
        <f aca="true">IF($O24="","",$O24-TODAY())</f>
        <v>-214</v>
      </c>
      <c r="M24" s="12" t="n">
        <f aca="true">IF(AND(TRIM($A24)="Finalized",$K24&lt;&gt;""),"",IF($D24="","",$D24+365-TODAY()))</f>
        <v>313</v>
      </c>
      <c r="N24" s="12" t="n">
        <f aca="true">IF(AND(TRIM($A24)="Finalized",$K24&lt;&gt;""),"",IF($D24="","",$D24+365-TODAY()))</f>
        <v>313</v>
      </c>
      <c r="O24" s="11" t="n">
        <f aca="false">IF(AND(TRIM($A24)="Finalized",$K24&lt;&gt;""),"",DATE(2026,3,16))</f>
        <v>46097</v>
      </c>
      <c r="P24" s="10" t="s">
        <v>324</v>
      </c>
      <c r="Q24" s="10" t="s">
        <v>325</v>
      </c>
      <c r="R24" s="10" t="s">
        <v>114</v>
      </c>
      <c r="S24" s="10" t="s">
        <v>116</v>
      </c>
      <c r="T24" s="10" t="s">
        <v>114</v>
      </c>
      <c r="U24" s="10" t="s">
        <v>116</v>
      </c>
      <c r="V24" s="10" t="s">
        <v>118</v>
      </c>
      <c r="W24" s="10" t="s">
        <v>132</v>
      </c>
      <c r="X24" s="10"/>
      <c r="Y24" s="10"/>
      <c r="Z24" s="10"/>
      <c r="AA24" s="10" t="s">
        <v>197</v>
      </c>
      <c r="AB24" s="8" t="n">
        <f aca="true">IF($F24="","",TODAY()-$F24)</f>
        <v>274</v>
      </c>
      <c r="AC24" s="10" t="s">
        <v>251</v>
      </c>
      <c r="AD24" s="10"/>
      <c r="AE24" s="10"/>
      <c r="AF24" s="10"/>
      <c r="AG24" s="10"/>
      <c r="AH24" s="10"/>
      <c r="AI24" s="10"/>
      <c r="AJ24" s="10" t="s">
        <v>254</v>
      </c>
      <c r="AK24" s="10" t="s">
        <v>139</v>
      </c>
      <c r="AL24" s="10"/>
      <c r="AM24" s="10"/>
      <c r="AN24" s="8"/>
      <c r="AO24" s="10" t="s">
        <v>326</v>
      </c>
      <c r="AP24" s="10" t="s">
        <v>327</v>
      </c>
      <c r="AQ24" s="11" t="n">
        <v>46048</v>
      </c>
      <c r="AR24" s="13"/>
      <c r="AS24" s="13"/>
      <c r="AT24" s="13"/>
      <c r="AU24" s="13"/>
      <c r="AV24" s="13"/>
      <c r="AW24" s="13"/>
      <c r="AX24" s="13" t="n">
        <v>63047</v>
      </c>
      <c r="AY24" s="7" t="s">
        <v>328</v>
      </c>
      <c r="AZ24" s="7" t="s">
        <v>329</v>
      </c>
      <c r="BA24" s="7" t="s">
        <v>44</v>
      </c>
      <c r="BB24" s="7"/>
      <c r="BC24" s="7" t="s">
        <v>330</v>
      </c>
      <c r="BD24" s="9" t="n">
        <v>46309</v>
      </c>
      <c r="BE24" s="7"/>
      <c r="BF24" s="14" t="str">
        <f aca="true">IF(TRIM($A24)="Finalized","Closed",IF($BD24="","No review date set",IF($BD24&lt;TODAY(),"OVERDUE",IF($BD24-TODAY()&lt;=7,"Due within 7 days","Scheduled"))))</f>
        <v>OVERDUE</v>
      </c>
      <c r="BG24" s="14" t="n">
        <f aca="true">IF($K24="","",TODAY()-$K24)</f>
        <v>32</v>
      </c>
      <c r="BH24" s="15" t="str">
        <f aca="false">IFERROR(LEFT(IF($B24="","Notes, ","")&amp;IF($K24="","Latest Date Worked, ","")&amp;IF($AY24="","Last Action, ","")&amp;IF(AND(OR(TRIM($A24)="Denied",TRIM($A24)="Rejected"),$BA24=""),"Denial Reason, ","")&amp;IF(AND(TRIM($A24)="Denied",$BB24="",TRIM($BA24)&lt;&gt;"NO DENIAL"),"Denial Code, ","")&amp;IF(AND(TRIM($A24)&lt;&gt;"Finalized",$BD24=""),"Next Review Date, ","")&amp;IF(AND(TRIM($A24)&lt;&gt;"Finalized",$BE24=""),"Next Step, ","")&amp;IF(AND(TRIM($A24)="Finalized",$AV24="",$AR24="",$AT24="",$AX24="",$AW24=""),"CPT outcome, ",""),LEN(IF($B24="","Notes, ","")&amp;IF($K24="","Latest Date Worked, ","")&amp;IF($AY24="","Last Action, ","")&amp;IF(AND(OR(TRIM($A24)="Denied",TRIM($A24)="Rejected"),$BA24=""),"Denial Reason, ","")&amp;IF(AND(TRIM($A24)="Denied",$BB24="",TRIM($BA24)&lt;&gt;"NO DENIAL"),"Denial Code, ","")&amp;IF(AND(TRIM($A24)&lt;&gt;"Finalized",$BD24=""),"Next Review Date, ","")&amp;IF(AND(TRIM($A24)&lt;&gt;"Finalized",$BE24=""),"Next Step, ","")&amp;IF(AND(TRIM($A24)="Finalized",$AV24="",$AR24="",$AT24="",$AX24="",$AW24=""),"CPT outcome, ",""))-2),"")</f>
        <v>Next Step</v>
      </c>
      <c r="BI24" s="15" t="str">
        <f aca="false">IF($BB24="","",IFERROR(INDEX('Denial Codes'!$C:$C,MATCH(LEFT($BB24,FIND(" - ",$BB24&amp;" - ")+2)&amp;"*",'Denial Codes'!$A:$A,0)),""))</f>
        <v/>
      </c>
      <c r="BJ24" s="15" t="str">
        <f aca="false">IF($BA24="","",IFERROR(INDEX(Lists!$B:$B,MATCH(TRIM($BA24),Lists!$A:$A,0))&amp;"",""))</f>
        <v>Bill the correct payer, delegated vendor or capitated group/IPA (e.g. Optum Behavioral, Preferred Homecare).</v>
      </c>
    </row>
    <row r="25" customFormat="false" ht="15" hidden="false" customHeight="false" outlineLevel="0" collapsed="false">
      <c r="A25" s="7" t="s">
        <v>19</v>
      </c>
      <c r="B25" s="7" t="s">
        <v>331</v>
      </c>
      <c r="C25" s="8" t="n">
        <v>546184427</v>
      </c>
      <c r="D25" s="9" t="n">
        <v>46089</v>
      </c>
      <c r="E25" s="10" t="s">
        <v>332</v>
      </c>
      <c r="F25" s="11" t="n">
        <v>46027</v>
      </c>
      <c r="G25" s="10" t="s">
        <v>227</v>
      </c>
      <c r="H25" s="10" t="s">
        <v>333</v>
      </c>
      <c r="I25" s="10" t="s">
        <v>227</v>
      </c>
      <c r="J25" s="10" t="s">
        <v>228</v>
      </c>
      <c r="K25" s="9" t="n">
        <v>46141</v>
      </c>
      <c r="L25" s="12" t="n">
        <f aca="true">IF($O25="","",$O25-TODAY())</f>
        <v>-194</v>
      </c>
      <c r="M25" s="12" t="n">
        <f aca="true">IF(AND(TRIM($A25)="Finalized",$K25&lt;&gt;""),"",IF($F25="","",$F25+90-TODAY()))</f>
        <v>-194</v>
      </c>
      <c r="N25" s="12" t="n">
        <f aca="true">IF(AND(TRIM($A25)="Finalized",$K25&lt;&gt;""),"",IF($D25="","",$D25+60-TODAY()))</f>
        <v>-162</v>
      </c>
      <c r="O25" s="11" t="n">
        <f aca="false">IF(AND(TRIM($A25)="Finalized",$K25&lt;&gt;""),"",DATE(2026,4,5))</f>
        <v>46117</v>
      </c>
      <c r="P25" s="10" t="s">
        <v>165</v>
      </c>
      <c r="Q25" s="10" t="s">
        <v>334</v>
      </c>
      <c r="R25" s="10" t="s">
        <v>165</v>
      </c>
      <c r="S25" s="10" t="s">
        <v>149</v>
      </c>
      <c r="T25" s="10" t="s">
        <v>324</v>
      </c>
      <c r="U25" s="10" t="s">
        <v>116</v>
      </c>
      <c r="V25" s="10" t="s">
        <v>118</v>
      </c>
      <c r="W25" s="10" t="s">
        <v>119</v>
      </c>
      <c r="X25" s="10" t="s">
        <v>229</v>
      </c>
      <c r="Y25" s="10"/>
      <c r="Z25" s="10"/>
      <c r="AA25" s="10" t="s">
        <v>230</v>
      </c>
      <c r="AB25" s="8" t="n">
        <f aca="true">IF($F25="","",TODAY()-$F25)</f>
        <v>284</v>
      </c>
      <c r="AC25" s="10" t="s">
        <v>122</v>
      </c>
      <c r="AD25" s="10"/>
      <c r="AE25" s="10"/>
      <c r="AF25" s="10"/>
      <c r="AG25" s="10"/>
      <c r="AH25" s="10"/>
      <c r="AI25" s="10"/>
      <c r="AJ25" s="10" t="s">
        <v>123</v>
      </c>
      <c r="AK25" s="10" t="s">
        <v>335</v>
      </c>
      <c r="AL25" s="10" t="s">
        <v>254</v>
      </c>
      <c r="AM25" s="10"/>
      <c r="AN25" s="8" t="n">
        <v>557644876</v>
      </c>
      <c r="AO25" s="10" t="s">
        <v>336</v>
      </c>
      <c r="AP25" s="10" t="s">
        <v>268</v>
      </c>
      <c r="AQ25" s="11" t="n">
        <v>46036</v>
      </c>
      <c r="AR25" s="13"/>
      <c r="AS25" s="13"/>
      <c r="AT25" s="13"/>
      <c r="AU25" s="13"/>
      <c r="AV25" s="13" t="s">
        <v>122</v>
      </c>
      <c r="AW25" s="13"/>
      <c r="AX25" s="13" t="s">
        <v>122</v>
      </c>
      <c r="AY25" s="7" t="s">
        <v>159</v>
      </c>
      <c r="AZ25" s="7"/>
      <c r="BA25" s="7" t="s">
        <v>45</v>
      </c>
      <c r="BB25" s="7"/>
      <c r="BC25" s="7"/>
      <c r="BD25" s="9" t="n">
        <v>46171</v>
      </c>
      <c r="BE25" s="7" t="s">
        <v>337</v>
      </c>
      <c r="BF25" s="14" t="str">
        <f aca="true">IF(TRIM($A25)="Finalized","Closed",IF($BD25="","No review date set",IF($BD25&lt;TODAY(),"OVERDUE",IF($BD25-TODAY()&lt;=7,"Due within 7 days","Scheduled"))))</f>
        <v>OVERDUE</v>
      </c>
      <c r="BG25" s="14" t="n">
        <f aca="true">IF($K25="","",TODAY()-$K25)</f>
        <v>170</v>
      </c>
      <c r="BH25" s="15" t="str">
        <f aca="false">IFERROR(LEFT(IF($B25="","Notes, ","")&amp;IF($K25="","Latest Date Worked, ","")&amp;IF($AY25="","Last Action, ","")&amp;IF(AND(OR(TRIM($A25)="Denied",TRIM($A25)="Rejected"),$BA25=""),"Denial Reason, ","")&amp;IF(AND(TRIM($A25)="Denied",$BB25="",TRIM($BA25)&lt;&gt;"NO DENIAL"),"Denial Code, ","")&amp;IF(AND(TRIM($A25)&lt;&gt;"Finalized",$BD25=""),"Next Review Date, ","")&amp;IF(AND(TRIM($A25)&lt;&gt;"Finalized",$BE25=""),"Next Step, ","")&amp;IF(AND(TRIM($A25)="Finalized",$AV25="",$AR25="",$AT25="",$AX25="",$AW25=""),"CPT outcome, ",""),LEN(IF($B25="","Notes, ","")&amp;IF($K25="","Latest Date Worked, ","")&amp;IF($AY25="","Last Action, ","")&amp;IF(AND(OR(TRIM($A25)="Denied",TRIM($A25)="Rejected"),$BA25=""),"Denial Reason, ","")&amp;IF(AND(TRIM($A25)="Denied",$BB25="",TRIM($BA25)&lt;&gt;"NO DENIAL"),"Denial Code, ","")&amp;IF(AND(TRIM($A25)&lt;&gt;"Finalized",$BD25=""),"Next Review Date, ","")&amp;IF(AND(TRIM($A25)&lt;&gt;"Finalized",$BE25=""),"Next Step, ","")&amp;IF(AND(TRIM($A25)="Finalized",$AV25="",$AR25="",$AT25="",$AX25="",$AW25=""),"CPT outcome, ",""))-2),"")</f>
        <v/>
      </c>
      <c r="BI25" s="15" t="str">
        <f aca="false">IF($BB25="","",IFERROR(INDEX('Denial Codes'!$C:$C,MATCH(LEFT($BB25,FIND(" - ",$BB25&amp;" - ")+2)&amp;"*",'Denial Codes'!$A:$A,0)),""))</f>
        <v/>
      </c>
      <c r="BJ25" s="15" t="str">
        <f aca="false">IF($BA25="","",IFERROR(INDEX(Lists!$B:$B,MATCH(TRIM($BA25),Lists!$A:$A,0))&amp;"",""))</f>
        <v>Get the other insurance and primary EOB, update COB with the payer and bill primary first.</v>
      </c>
    </row>
    <row r="26" customFormat="false" ht="15" hidden="false" customHeight="false" outlineLevel="0" collapsed="false">
      <c r="A26" s="7" t="s">
        <v>17</v>
      </c>
      <c r="B26" s="7" t="s">
        <v>203</v>
      </c>
      <c r="C26" s="8" t="n">
        <v>545332485</v>
      </c>
      <c r="D26" s="9" t="n">
        <v>46142</v>
      </c>
      <c r="E26" s="10" t="s">
        <v>338</v>
      </c>
      <c r="F26" s="11" t="n">
        <v>46028</v>
      </c>
      <c r="G26" s="10" t="s">
        <v>180</v>
      </c>
      <c r="H26" s="10" t="s">
        <v>180</v>
      </c>
      <c r="I26" s="10" t="s">
        <v>129</v>
      </c>
      <c r="J26" s="10" t="s">
        <v>339</v>
      </c>
      <c r="K26" s="9" t="n">
        <v>46122</v>
      </c>
      <c r="L26" s="12" t="n">
        <f aca="true">IF($O26="","",$O26-TODAY())</f>
        <v>-193</v>
      </c>
      <c r="M26" s="12" t="n">
        <f aca="true">IF(AND(TRIM($A26)="Finalized",$K26&lt;&gt;""),"",IF($D26="","",$D26+180-TODAY()))</f>
        <v>11</v>
      </c>
      <c r="N26" s="12" t="n">
        <f aca="true">IF(AND(TRIM($A26)="Finalized",$K26&lt;&gt;""),"",IF($D26="","",$D26+365-TODAY()))</f>
        <v>196</v>
      </c>
      <c r="O26" s="11" t="n">
        <f aca="false">IF(AND(TRIM($A26)="Finalized",$K26&lt;&gt;""),"",DATE(2026,4,6))</f>
        <v>46118</v>
      </c>
      <c r="P26" s="10" t="s">
        <v>165</v>
      </c>
      <c r="Q26" s="10" t="s">
        <v>182</v>
      </c>
      <c r="R26" s="10" t="s">
        <v>147</v>
      </c>
      <c r="S26" s="10" t="s">
        <v>116</v>
      </c>
      <c r="T26" s="10" t="s">
        <v>114</v>
      </c>
      <c r="U26" s="10" t="s">
        <v>116</v>
      </c>
      <c r="V26" s="10" t="s">
        <v>118</v>
      </c>
      <c r="W26" s="10" t="s">
        <v>183</v>
      </c>
      <c r="X26" s="10"/>
      <c r="Y26" s="10"/>
      <c r="Z26" s="10"/>
      <c r="AA26" s="10" t="s">
        <v>197</v>
      </c>
      <c r="AB26" s="8" t="n">
        <f aca="true">IF($F26="","",TODAY()-$F26)</f>
        <v>283</v>
      </c>
      <c r="AC26" s="10" t="s">
        <v>184</v>
      </c>
      <c r="AD26" s="10"/>
      <c r="AE26" s="10"/>
      <c r="AF26" s="10"/>
      <c r="AG26" s="10"/>
      <c r="AH26" s="10"/>
      <c r="AI26" s="10"/>
      <c r="AJ26" s="10" t="s">
        <v>340</v>
      </c>
      <c r="AK26" s="10"/>
      <c r="AL26" s="10"/>
      <c r="AM26" s="10"/>
      <c r="AN26" s="8"/>
      <c r="AO26" s="10" t="s">
        <v>341</v>
      </c>
      <c r="AP26" s="10" t="s">
        <v>308</v>
      </c>
      <c r="AQ26" s="11" t="n">
        <v>46057</v>
      </c>
      <c r="AR26" s="13"/>
      <c r="AS26" s="13"/>
      <c r="AT26" s="13"/>
      <c r="AU26" s="13"/>
      <c r="AV26" s="13"/>
      <c r="AW26" s="13"/>
      <c r="AX26" s="13" t="s">
        <v>184</v>
      </c>
      <c r="AY26" s="7" t="s">
        <v>203</v>
      </c>
      <c r="AZ26" s="7"/>
      <c r="BA26" s="7" t="s">
        <v>36</v>
      </c>
      <c r="BB26" s="7" t="s">
        <v>204</v>
      </c>
      <c r="BC26" s="7" t="s">
        <v>342</v>
      </c>
      <c r="BD26" s="9" t="n">
        <v>46152</v>
      </c>
      <c r="BE26" s="7"/>
      <c r="BF26" s="14" t="str">
        <f aca="true">IF(TRIM($A26)="Finalized","Closed",IF($BD26="","No review date set",IF($BD26&lt;TODAY(),"OVERDUE",IF($BD26-TODAY()&lt;=7,"Due within 7 days","Scheduled"))))</f>
        <v>OVERDUE</v>
      </c>
      <c r="BG26" s="14" t="n">
        <f aca="true">IF($K26="","",TODAY()-$K26)</f>
        <v>189</v>
      </c>
      <c r="BH26" s="15" t="str">
        <f aca="false">IFERROR(LEFT(IF($B26="","Notes, ","")&amp;IF($K26="","Latest Date Worked, ","")&amp;IF($AY26="","Last Action, ","")&amp;IF(AND(OR(TRIM($A26)="Denied",TRIM($A26)="Rejected"),$BA26=""),"Denial Reason, ","")&amp;IF(AND(TRIM($A26)="Denied",$BB26="",TRIM($BA26)&lt;&gt;"NO DENIAL"),"Denial Code, ","")&amp;IF(AND(TRIM($A26)&lt;&gt;"Finalized",$BD26=""),"Next Review Date, ","")&amp;IF(AND(TRIM($A26)&lt;&gt;"Finalized",$BE26=""),"Next Step, ","")&amp;IF(AND(TRIM($A26)="Finalized",$AV26="",$AR26="",$AT26="",$AX26="",$AW26=""),"CPT outcome, ",""),LEN(IF($B26="","Notes, ","")&amp;IF($K26="","Latest Date Worked, ","")&amp;IF($AY26="","Last Action, ","")&amp;IF(AND(OR(TRIM($A26)="Denied",TRIM($A26)="Rejected"),$BA26=""),"Denial Reason, ","")&amp;IF(AND(TRIM($A26)="Denied",$BB26="",TRIM($BA26)&lt;&gt;"NO DENIAL"),"Denial Code, ","")&amp;IF(AND(TRIM($A26)&lt;&gt;"Finalized",$BD26=""),"Next Review Date, ","")&amp;IF(AND(TRIM($A26)&lt;&gt;"Finalized",$BE26=""),"Next Step, ","")&amp;IF(AND(TRIM($A26)="Finalized",$AV26="",$AR26="",$AT26="",$AX26="",$AW26=""),"CPT outcome, ",""))-2),"")</f>
        <v>Next Step</v>
      </c>
      <c r="BI26" s="15" t="str">
        <f aca="false">IF($BB26="","",IFERROR(INDEX('Denial Codes'!$C:$C,MATCH(LEFT($BB26,FIND(" - ",$BB26&amp;" - ")+2)&amp;"*",'Denial Codes'!$A:$A,0)),""))</f>
        <v>Medical records needed</v>
      </c>
      <c r="BJ26" s="15" t="str">
        <f aca="false">IF($BA26="","",IFERROR(INDEX(Lists!$B:$B,MATCH(TRIM($BA26),Lists!$A:$A,0))&amp;"",""))</f>
        <v>Upload the MR on the payer portal, note the PIQ/reference number and set a review date.</v>
      </c>
    </row>
    <row r="27" customFormat="false" ht="15" hidden="false" customHeight="false" outlineLevel="0" collapsed="false">
      <c r="A27" s="7" t="s">
        <v>18</v>
      </c>
      <c r="B27" s="7"/>
      <c r="C27" s="8" t="n">
        <v>545484752</v>
      </c>
      <c r="D27" s="9" t="n">
        <v>46063</v>
      </c>
      <c r="E27" s="10" t="s">
        <v>343</v>
      </c>
      <c r="F27" s="11" t="n">
        <v>46029</v>
      </c>
      <c r="G27" s="10" t="s">
        <v>163</v>
      </c>
      <c r="H27" s="10" t="s">
        <v>163</v>
      </c>
      <c r="I27" s="10" t="s">
        <v>129</v>
      </c>
      <c r="J27" s="10" t="s">
        <v>181</v>
      </c>
      <c r="K27" s="9"/>
      <c r="L27" s="12" t="n">
        <f aca="true">IF($O27="","",$O27-TODAY())</f>
        <v>-192</v>
      </c>
      <c r="M27" s="12" t="n">
        <f aca="true">IF(AND(TRIM($A27)="Finalized",$K27&lt;&gt;""),"",IF($F27="","",$F27+90-TODAY()))</f>
        <v>-192</v>
      </c>
      <c r="N27" s="12" t="n">
        <f aca="true">IF(AND(TRIM($A27)="Finalized",$K27&lt;&gt;""),"",IF($D27="","",$D27+365-TODAY()))</f>
        <v>117</v>
      </c>
      <c r="O27" s="11" t="n">
        <f aca="false">IF(AND(TRIM($A27)="Finalized",$K27&lt;&gt;""),"",DATE(2026,4,7))</f>
        <v>46119</v>
      </c>
      <c r="P27" s="10" t="s">
        <v>165</v>
      </c>
      <c r="Q27" s="10" t="s">
        <v>166</v>
      </c>
      <c r="R27" s="10" t="s">
        <v>165</v>
      </c>
      <c r="S27" s="10" t="s">
        <v>149</v>
      </c>
      <c r="T27" s="10" t="s">
        <v>114</v>
      </c>
      <c r="U27" s="10" t="s">
        <v>116</v>
      </c>
      <c r="V27" s="10" t="s">
        <v>118</v>
      </c>
      <c r="W27" s="10" t="s">
        <v>183</v>
      </c>
      <c r="X27" s="10"/>
      <c r="Y27" s="10"/>
      <c r="Z27" s="10"/>
      <c r="AA27" s="10" t="s">
        <v>197</v>
      </c>
      <c r="AB27" s="8" t="n">
        <f aca="true">IF($F27="","",TODAY()-$F27)</f>
        <v>282</v>
      </c>
      <c r="AC27" s="10" t="s">
        <v>184</v>
      </c>
      <c r="AD27" s="10" t="s">
        <v>185</v>
      </c>
      <c r="AE27" s="10"/>
      <c r="AF27" s="10"/>
      <c r="AG27" s="10"/>
      <c r="AH27" s="10"/>
      <c r="AI27" s="10"/>
      <c r="AJ27" s="10" t="s">
        <v>340</v>
      </c>
      <c r="AK27" s="10"/>
      <c r="AL27" s="10"/>
      <c r="AM27" s="10"/>
      <c r="AN27" s="8"/>
      <c r="AO27" s="10" t="s">
        <v>344</v>
      </c>
      <c r="AP27" s="10" t="s">
        <v>308</v>
      </c>
      <c r="AQ27" s="11" t="n">
        <v>46057</v>
      </c>
      <c r="AR27" s="13"/>
      <c r="AS27" s="13"/>
      <c r="AT27" s="13"/>
      <c r="AU27" s="13"/>
      <c r="AV27" s="13"/>
      <c r="AW27" s="13"/>
      <c r="AX27" s="13"/>
      <c r="AY27" s="7"/>
      <c r="AZ27" s="7"/>
      <c r="BA27" s="7" t="s">
        <v>46</v>
      </c>
      <c r="BB27" s="7"/>
      <c r="BC27" s="7"/>
      <c r="BD27" s="9"/>
      <c r="BE27" s="7" t="s">
        <v>345</v>
      </c>
      <c r="BF27" s="14" t="str">
        <f aca="true">IF(TRIM($A27)="Finalized","Closed",IF($BD27="","No review date set",IF($BD27&lt;TODAY(),"OVERDUE",IF($BD27-TODAY()&lt;=7,"Due within 7 days","Scheduled"))))</f>
        <v>No review date set</v>
      </c>
      <c r="BG27" s="14" t="str">
        <f aca="true">IF($K27="","",TODAY()-$K27)</f>
        <v/>
      </c>
      <c r="BH27" s="15" t="str">
        <f aca="false">IFERROR(LEFT(IF($B27="","Notes, ","")&amp;IF($K27="","Latest Date Worked, ","")&amp;IF($AY27="","Last Action, ","")&amp;IF(AND(OR(TRIM($A27)="Denied",TRIM($A27)="Rejected"),$BA27=""),"Denial Reason, ","")&amp;IF(AND(TRIM($A27)="Denied",$BB27="",TRIM($BA27)&lt;&gt;"NO DENIAL"),"Denial Code, ","")&amp;IF(AND(TRIM($A27)&lt;&gt;"Finalized",$BD27=""),"Next Review Date, ","")&amp;IF(AND(TRIM($A27)&lt;&gt;"Finalized",$BE27=""),"Next Step, ","")&amp;IF(AND(TRIM($A27)="Finalized",$AV27="",$AR27="",$AT27="",$AX27="",$AW27=""),"CPT outcome, ",""),LEN(IF($B27="","Notes, ","")&amp;IF($K27="","Latest Date Worked, ","")&amp;IF($AY27="","Last Action, ","")&amp;IF(AND(OR(TRIM($A27)="Denied",TRIM($A27)="Rejected"),$BA27=""),"Denial Reason, ","")&amp;IF(AND(TRIM($A27)="Denied",$BB27="",TRIM($BA27)&lt;&gt;"NO DENIAL"),"Denial Code, ","")&amp;IF(AND(TRIM($A27)&lt;&gt;"Finalized",$BD27=""),"Next Review Date, ","")&amp;IF(AND(TRIM($A27)&lt;&gt;"Finalized",$BE27=""),"Next Step, ","")&amp;IF(AND(TRIM($A27)="Finalized",$AV27="",$AR27="",$AT27="",$AX27="",$AW27=""),"CPT outcome, ",""))-2),"")</f>
        <v>Notes, Latest Date Worked, Last Action, Next Review Date</v>
      </c>
      <c r="BI27" s="15" t="str">
        <f aca="false">IF($BB27="","",IFERROR(INDEX('Denial Codes'!$C:$C,MATCH(LEFT($BB27,FIND(" - ",$BB27&amp;" - ")+2)&amp;"*",'Denial Codes'!$A:$A,0)),""))</f>
        <v/>
      </c>
      <c r="BJ27" s="15" t="str">
        <f aca="false">IF($BA27="","",IFERROR(INDEX(Lists!$B:$B,MATCH(TRIM($BA27),Lists!$A:$A,0))&amp;"",""))</f>
        <v>Verify eligibility; correct the member ID/MBI, name or DOB and resubmit.</v>
      </c>
    </row>
    <row r="28" customFormat="false" ht="15" hidden="false" customHeight="false" outlineLevel="0" collapsed="false">
      <c r="A28" s="7" t="s">
        <v>20</v>
      </c>
      <c r="B28" s="7" t="s">
        <v>109</v>
      </c>
      <c r="C28" s="8" t="n">
        <v>555109108</v>
      </c>
      <c r="D28" s="9" t="n">
        <v>46199</v>
      </c>
      <c r="E28" s="10" t="s">
        <v>346</v>
      </c>
      <c r="F28" s="11" t="n">
        <v>46030</v>
      </c>
      <c r="G28" s="10" t="s">
        <v>347</v>
      </c>
      <c r="H28" s="10" t="s">
        <v>347</v>
      </c>
      <c r="I28" s="10" t="s">
        <v>129</v>
      </c>
      <c r="J28" s="10" t="s">
        <v>219</v>
      </c>
      <c r="K28" s="9" t="n">
        <v>46212</v>
      </c>
      <c r="L28" s="12" t="n">
        <f aca="true">IF($O28="","",$O28-TODAY())</f>
        <v>-191</v>
      </c>
      <c r="M28" s="12" t="n">
        <f aca="true">IF(AND(TRIM($A28)="Finalized",$K28&lt;&gt;""),"",IF($F28="","",$F28+90-TODAY()))</f>
        <v>-191</v>
      </c>
      <c r="N28" s="12" t="n">
        <f aca="true">IF(AND(TRIM($A28)="Finalized",$K28&lt;&gt;""),"",IF($D28="","",$D28+540-TODAY()))</f>
        <v>428</v>
      </c>
      <c r="O28" s="11" t="n">
        <f aca="false">IF(AND(TRIM($A28)="Finalized",$K28&lt;&gt;""),"",DATE(2026,4,8))</f>
        <v>46120</v>
      </c>
      <c r="P28" s="10" t="s">
        <v>165</v>
      </c>
      <c r="Q28" s="10" t="s">
        <v>348</v>
      </c>
      <c r="R28" s="10" t="s">
        <v>165</v>
      </c>
      <c r="S28" s="10" t="s">
        <v>149</v>
      </c>
      <c r="T28" s="10" t="s">
        <v>349</v>
      </c>
      <c r="U28" s="10" t="s">
        <v>116</v>
      </c>
      <c r="V28" s="10" t="s">
        <v>118</v>
      </c>
      <c r="W28" s="10" t="s">
        <v>196</v>
      </c>
      <c r="X28" s="10"/>
      <c r="Y28" s="10"/>
      <c r="Z28" s="10"/>
      <c r="AA28" s="10" t="s">
        <v>197</v>
      </c>
      <c r="AB28" s="8" t="n">
        <f aca="true">IF($F28="","",TODAY()-$F28)</f>
        <v>281</v>
      </c>
      <c r="AC28" s="10" t="s">
        <v>222</v>
      </c>
      <c r="AD28" s="10"/>
      <c r="AE28" s="10"/>
      <c r="AF28" s="10"/>
      <c r="AG28" s="10"/>
      <c r="AH28" s="10"/>
      <c r="AI28" s="10"/>
      <c r="AJ28" s="10" t="s">
        <v>350</v>
      </c>
      <c r="AK28" s="10"/>
      <c r="AL28" s="10"/>
      <c r="AM28" s="10"/>
      <c r="AN28" s="8"/>
      <c r="AO28" s="10" t="s">
        <v>213</v>
      </c>
      <c r="AP28" s="10" t="s">
        <v>188</v>
      </c>
      <c r="AQ28" s="11" t="n">
        <v>46048</v>
      </c>
      <c r="AR28" s="13"/>
      <c r="AS28" s="13"/>
      <c r="AT28" s="13"/>
      <c r="AU28" s="13"/>
      <c r="AV28" s="13" t="s">
        <v>222</v>
      </c>
      <c r="AW28" s="13"/>
      <c r="AX28" s="13" t="s">
        <v>222</v>
      </c>
      <c r="AY28" s="7"/>
      <c r="AZ28" s="7"/>
      <c r="BA28" s="7"/>
      <c r="BB28" s="7"/>
      <c r="BC28" s="7"/>
      <c r="BD28" s="9" t="n">
        <v>46243</v>
      </c>
      <c r="BE28" s="7" t="s">
        <v>351</v>
      </c>
      <c r="BF28" s="14" t="str">
        <f aca="true">IF(TRIM($A28)="Finalized","Closed",IF($BD28="","No review date set",IF($BD28&lt;TODAY(),"OVERDUE",IF($BD28-TODAY()&lt;=7,"Due within 7 days","Scheduled"))))</f>
        <v>OVERDUE</v>
      </c>
      <c r="BG28" s="14" t="n">
        <f aca="true">IF($K28="","",TODAY()-$K28)</f>
        <v>99</v>
      </c>
      <c r="BH28" s="15" t="str">
        <f aca="false">IFERROR(LEFT(IF($B28="","Notes, ","")&amp;IF($K28="","Latest Date Worked, ","")&amp;IF($AY28="","Last Action, ","")&amp;IF(AND(OR(TRIM($A28)="Denied",TRIM($A28)="Rejected"),$BA28=""),"Denial Reason, ","")&amp;IF(AND(TRIM($A28)="Denied",$BB28="",TRIM($BA28)&lt;&gt;"NO DENIAL"),"Denial Code, ","")&amp;IF(AND(TRIM($A28)&lt;&gt;"Finalized",$BD28=""),"Next Review Date, ","")&amp;IF(AND(TRIM($A28)&lt;&gt;"Finalized",$BE28=""),"Next Step, ","")&amp;IF(AND(TRIM($A28)="Finalized",$AV28="",$AR28="",$AT28="",$AX28="",$AW28=""),"CPT outcome, ",""),LEN(IF($B28="","Notes, ","")&amp;IF($K28="","Latest Date Worked, ","")&amp;IF($AY28="","Last Action, ","")&amp;IF(AND(OR(TRIM($A28)="Denied",TRIM($A28)="Rejected"),$BA28=""),"Denial Reason, ","")&amp;IF(AND(TRIM($A28)="Denied",$BB28="",TRIM($BA28)&lt;&gt;"NO DENIAL"),"Denial Code, ","")&amp;IF(AND(TRIM($A28)&lt;&gt;"Finalized",$BD28=""),"Next Review Date, ","")&amp;IF(AND(TRIM($A28)&lt;&gt;"Finalized",$BE28=""),"Next Step, ","")&amp;IF(AND(TRIM($A28)="Finalized",$AV28="",$AR28="",$AT28="",$AX28="",$AW28=""),"CPT outcome, ",""))-2),"")</f>
        <v>Last Action</v>
      </c>
      <c r="BI28" s="15" t="str">
        <f aca="false">IF($BB28="","",IFERROR(INDEX('Denial Codes'!$C:$C,MATCH(LEFT($BB28,FIND(" - ",$BB28&amp;" - ")+2)&amp;"*",'Denial Codes'!$A:$A,0)),""))</f>
        <v/>
      </c>
      <c r="BJ28" s="15" t="str">
        <f aca="false">IF($BA28="","",IFERROR(INDEX(Lists!$B:$B,MATCH(TRIM($BA28),Lists!$A:$A,0))&amp;"",""))</f>
        <v/>
      </c>
    </row>
    <row r="29" customFormat="false" ht="15" hidden="false" customHeight="false" outlineLevel="0" collapsed="false">
      <c r="A29" s="7" t="s">
        <v>17</v>
      </c>
      <c r="B29" s="7" t="s">
        <v>352</v>
      </c>
      <c r="C29" s="8" t="n">
        <v>545748574</v>
      </c>
      <c r="D29" s="9" t="n">
        <v>46141</v>
      </c>
      <c r="E29" s="10" t="s">
        <v>353</v>
      </c>
      <c r="F29" s="11" t="n">
        <v>46031</v>
      </c>
      <c r="G29" s="10" t="s">
        <v>180</v>
      </c>
      <c r="H29" s="10" t="s">
        <v>180</v>
      </c>
      <c r="I29" s="10" t="s">
        <v>129</v>
      </c>
      <c r="J29" s="10" t="s">
        <v>181</v>
      </c>
      <c r="K29" s="9" t="n">
        <v>46304</v>
      </c>
      <c r="L29" s="12" t="n">
        <f aca="true">IF($O29="","",$O29-TODAY())</f>
        <v>-190</v>
      </c>
      <c r="M29" s="12" t="n">
        <f aca="true">IF(AND(TRIM($A29)="Finalized",$K29&lt;&gt;""),"",IF($D29="","",$D29+180-TODAY()))</f>
        <v>10</v>
      </c>
      <c r="N29" s="12" t="n">
        <f aca="true">IF(AND(TRIM($A29)="Finalized",$K29&lt;&gt;""),"",IF($D29="","",$D29+365-TODAY()))</f>
        <v>195</v>
      </c>
      <c r="O29" s="11" t="n">
        <f aca="false">IF(AND(TRIM($A29)="Finalized",$K29&lt;&gt;""),"",DATE(2026,4,9))</f>
        <v>46121</v>
      </c>
      <c r="P29" s="10" t="s">
        <v>165</v>
      </c>
      <c r="Q29" s="10" t="s">
        <v>182</v>
      </c>
      <c r="R29" s="10" t="s">
        <v>147</v>
      </c>
      <c r="S29" s="10" t="s">
        <v>116</v>
      </c>
      <c r="T29" s="10" t="s">
        <v>114</v>
      </c>
      <c r="U29" s="10" t="s">
        <v>116</v>
      </c>
      <c r="V29" s="10" t="s">
        <v>118</v>
      </c>
      <c r="W29" s="10" t="s">
        <v>183</v>
      </c>
      <c r="X29" s="10"/>
      <c r="Y29" s="10"/>
      <c r="Z29" s="10"/>
      <c r="AA29" s="10" t="s">
        <v>197</v>
      </c>
      <c r="AB29" s="8" t="n">
        <f aca="true">IF($F29="","",TODAY()-$F29)</f>
        <v>280</v>
      </c>
      <c r="AC29" s="10" t="s">
        <v>184</v>
      </c>
      <c r="AD29" s="10" t="s">
        <v>185</v>
      </c>
      <c r="AE29" s="10"/>
      <c r="AF29" s="10"/>
      <c r="AG29" s="10"/>
      <c r="AH29" s="10"/>
      <c r="AI29" s="10"/>
      <c r="AJ29" s="10" t="s">
        <v>340</v>
      </c>
      <c r="AK29" s="10"/>
      <c r="AL29" s="10"/>
      <c r="AM29" s="10"/>
      <c r="AN29" s="8"/>
      <c r="AO29" s="10" t="s">
        <v>213</v>
      </c>
      <c r="AP29" s="10" t="s">
        <v>308</v>
      </c>
      <c r="AQ29" s="11" t="n">
        <v>46057</v>
      </c>
      <c r="AR29" s="13"/>
      <c r="AS29" s="13"/>
      <c r="AT29" s="13"/>
      <c r="AU29" s="13"/>
      <c r="AV29" s="13"/>
      <c r="AW29" s="13"/>
      <c r="AX29" s="13" t="s">
        <v>185</v>
      </c>
      <c r="AY29" s="7" t="s">
        <v>354</v>
      </c>
      <c r="AZ29" s="7" t="s">
        <v>203</v>
      </c>
      <c r="BA29" s="7" t="s">
        <v>50</v>
      </c>
      <c r="BB29" s="7"/>
      <c r="BC29" s="7" t="s">
        <v>355</v>
      </c>
      <c r="BD29" s="9" t="n">
        <v>46335</v>
      </c>
      <c r="BE29" s="7"/>
      <c r="BF29" s="14" t="str">
        <f aca="true">IF(TRIM($A29)="Finalized","Closed",IF($BD29="","No review date set",IF($BD29&lt;TODAY(),"OVERDUE",IF($BD29-TODAY()&lt;=7,"Due within 7 days","Scheduled"))))</f>
        <v>Scheduled</v>
      </c>
      <c r="BG29" s="14" t="n">
        <f aca="true">IF($K29="","",TODAY()-$K29)</f>
        <v>7</v>
      </c>
      <c r="BH29" s="15" t="str">
        <f aca="false">IFERROR(LEFT(IF($B29="","Notes, ","")&amp;IF($K29="","Latest Date Worked, ","")&amp;IF($AY29="","Last Action, ","")&amp;IF(AND(OR(TRIM($A29)="Denied",TRIM($A29)="Rejected"),$BA29=""),"Denial Reason, ","")&amp;IF(AND(TRIM($A29)="Denied",$BB29="",TRIM($BA29)&lt;&gt;"NO DENIAL"),"Denial Code, ","")&amp;IF(AND(TRIM($A29)&lt;&gt;"Finalized",$BD29=""),"Next Review Date, ","")&amp;IF(AND(TRIM($A29)&lt;&gt;"Finalized",$BE29=""),"Next Step, ","")&amp;IF(AND(TRIM($A29)="Finalized",$AV29="",$AR29="",$AT29="",$AX29="",$AW29=""),"CPT outcome, ",""),LEN(IF($B29="","Notes, ","")&amp;IF($K29="","Latest Date Worked, ","")&amp;IF($AY29="","Last Action, ","")&amp;IF(AND(OR(TRIM($A29)="Denied",TRIM($A29)="Rejected"),$BA29=""),"Denial Reason, ","")&amp;IF(AND(TRIM($A29)="Denied",$BB29="",TRIM($BA29)&lt;&gt;"NO DENIAL"),"Denial Code, ","")&amp;IF(AND(TRIM($A29)&lt;&gt;"Finalized",$BD29=""),"Next Review Date, ","")&amp;IF(AND(TRIM($A29)&lt;&gt;"Finalized",$BE29=""),"Next Step, ","")&amp;IF(AND(TRIM($A29)="Finalized",$AV29="",$AR29="",$AT29="",$AX29="",$AW29=""),"CPT outcome, ",""))-2),"")</f>
        <v>Denial Code, Next Step</v>
      </c>
      <c r="BI29" s="15" t="str">
        <f aca="false">IF($BB29="","",IFERROR(INDEX('Denial Codes'!$C:$C,MATCH(LEFT($BB29,FIND(" - ",$BB29&amp;" - ")+2)&amp;"*",'Denial Codes'!$A:$A,0)),""))</f>
        <v/>
      </c>
      <c r="BJ29" s="15" t="str">
        <f aca="false">IF($BA29="","",IFERROR(INDEX(Lists!$B:$B,MATCH(TRIM($BA29),Lists!$A:$A,0))&amp;"",""))</f>
        <v>Verify the place of service (inpatient/outpatient) and correct the claim.</v>
      </c>
    </row>
    <row r="30" customFormat="false" ht="15" hidden="false" customHeight="false" outlineLevel="0" collapsed="false">
      <c r="A30" s="7" t="s">
        <v>17</v>
      </c>
      <c r="B30" s="7" t="s">
        <v>356</v>
      </c>
      <c r="C30" s="8" t="n">
        <v>545934422</v>
      </c>
      <c r="D30" s="9" t="n">
        <v>46112</v>
      </c>
      <c r="E30" s="10" t="s">
        <v>357</v>
      </c>
      <c r="F30" s="11" t="n">
        <v>46031</v>
      </c>
      <c r="G30" s="10" t="s">
        <v>358</v>
      </c>
      <c r="H30" s="10" t="s">
        <v>358</v>
      </c>
      <c r="I30" s="10" t="s">
        <v>129</v>
      </c>
      <c r="J30" s="10" t="s">
        <v>244</v>
      </c>
      <c r="K30" s="9" t="n">
        <v>46305</v>
      </c>
      <c r="L30" s="12" t="n">
        <f aca="true">IF($O30="","",$O30-TODAY())</f>
        <v>-190</v>
      </c>
      <c r="M30" s="12" t="n">
        <f aca="true">IF(AND(TRIM($A30)="Finalized",$K30&lt;&gt;""),"",IF($F30="","",$F30+90-TODAY()))</f>
        <v>-190</v>
      </c>
      <c r="N30" s="12" t="n">
        <f aca="true">IF(AND(TRIM($A30)="Finalized",$K30&lt;&gt;""),"",IF($D30="","",$D30+180-TODAY()))</f>
        <v>-19</v>
      </c>
      <c r="O30" s="11" t="n">
        <f aca="false">IF(AND(TRIM($A30)="Finalized",$K30&lt;&gt;""),"",DATE(2026,4,9))</f>
        <v>46121</v>
      </c>
      <c r="P30" s="10" t="s">
        <v>165</v>
      </c>
      <c r="Q30" s="10" t="s">
        <v>220</v>
      </c>
      <c r="R30" s="10" t="s">
        <v>165</v>
      </c>
      <c r="S30" s="10" t="s">
        <v>149</v>
      </c>
      <c r="T30" s="10" t="s">
        <v>147</v>
      </c>
      <c r="U30" s="10" t="s">
        <v>116</v>
      </c>
      <c r="V30" s="10" t="s">
        <v>118</v>
      </c>
      <c r="W30" s="10" t="s">
        <v>132</v>
      </c>
      <c r="X30" s="10"/>
      <c r="Y30" s="10"/>
      <c r="Z30" s="10"/>
      <c r="AA30" s="10" t="s">
        <v>197</v>
      </c>
      <c r="AB30" s="8" t="n">
        <f aca="true">IF($F30="","",TODAY()-$F30)</f>
        <v>280</v>
      </c>
      <c r="AC30" s="10" t="s">
        <v>246</v>
      </c>
      <c r="AD30" s="10"/>
      <c r="AE30" s="10"/>
      <c r="AF30" s="10"/>
      <c r="AG30" s="10"/>
      <c r="AH30" s="10"/>
      <c r="AI30" s="10"/>
      <c r="AJ30" s="10" t="s">
        <v>124</v>
      </c>
      <c r="AK30" s="10"/>
      <c r="AL30" s="10"/>
      <c r="AM30" s="10"/>
      <c r="AN30" s="8"/>
      <c r="AO30" s="10" t="s">
        <v>359</v>
      </c>
      <c r="AP30" s="10" t="s">
        <v>175</v>
      </c>
      <c r="AQ30" s="11" t="n">
        <v>46037</v>
      </c>
      <c r="AR30" s="13"/>
      <c r="AS30" s="13"/>
      <c r="AT30" s="13"/>
      <c r="AU30" s="13"/>
      <c r="AV30" s="13"/>
      <c r="AW30" s="13"/>
      <c r="AX30" s="13" t="s">
        <v>246</v>
      </c>
      <c r="AY30" s="7" t="s">
        <v>354</v>
      </c>
      <c r="AZ30" s="7"/>
      <c r="BA30" s="7" t="s">
        <v>44</v>
      </c>
      <c r="BB30" s="7"/>
      <c r="BC30" s="7" t="s">
        <v>360</v>
      </c>
      <c r="BD30" s="9" t="n">
        <v>46336</v>
      </c>
      <c r="BE30" s="7"/>
      <c r="BF30" s="14" t="str">
        <f aca="true">IF(TRIM($A30)="Finalized","Closed",IF($BD30="","No review date set",IF($BD30&lt;TODAY(),"OVERDUE",IF($BD30-TODAY()&lt;=7,"Due within 7 days","Scheduled"))))</f>
        <v>Scheduled</v>
      </c>
      <c r="BG30" s="14" t="n">
        <f aca="true">IF($K30="","",TODAY()-$K30)</f>
        <v>6</v>
      </c>
      <c r="BH30" s="15" t="str">
        <f aca="false">IFERROR(LEFT(IF($B30="","Notes, ","")&amp;IF($K30="","Latest Date Worked, ","")&amp;IF($AY30="","Last Action, ","")&amp;IF(AND(OR(TRIM($A30)="Denied",TRIM($A30)="Rejected"),$BA30=""),"Denial Reason, ","")&amp;IF(AND(TRIM($A30)="Denied",$BB30="",TRIM($BA30)&lt;&gt;"NO DENIAL"),"Denial Code, ","")&amp;IF(AND(TRIM($A30)&lt;&gt;"Finalized",$BD30=""),"Next Review Date, ","")&amp;IF(AND(TRIM($A30)&lt;&gt;"Finalized",$BE30=""),"Next Step, ","")&amp;IF(AND(TRIM($A30)="Finalized",$AV30="",$AR30="",$AT30="",$AX30="",$AW30=""),"CPT outcome, ",""),LEN(IF($B30="","Notes, ","")&amp;IF($K30="","Latest Date Worked, ","")&amp;IF($AY30="","Last Action, ","")&amp;IF(AND(OR(TRIM($A30)="Denied",TRIM($A30)="Rejected"),$BA30=""),"Denial Reason, ","")&amp;IF(AND(TRIM($A30)="Denied",$BB30="",TRIM($BA30)&lt;&gt;"NO DENIAL"),"Denial Code, ","")&amp;IF(AND(TRIM($A30)&lt;&gt;"Finalized",$BD30=""),"Next Review Date, ","")&amp;IF(AND(TRIM($A30)&lt;&gt;"Finalized",$BE30=""),"Next Step, ","")&amp;IF(AND(TRIM($A30)="Finalized",$AV30="",$AR30="",$AT30="",$AX30="",$AW30=""),"CPT outcome, ",""))-2),"")</f>
        <v>Denial Code, Next Step</v>
      </c>
      <c r="BI30" s="15" t="str">
        <f aca="false">IF($BB30="","",IFERROR(INDEX('Denial Codes'!$C:$C,MATCH(LEFT($BB30,FIND(" - ",$BB30&amp;" - ")+2)&amp;"*",'Denial Codes'!$A:$A,0)),""))</f>
        <v/>
      </c>
      <c r="BJ30" s="15" t="str">
        <f aca="false">IF($BA30="","",IFERROR(INDEX(Lists!$B:$B,MATCH(TRIM($BA30),Lists!$A:$A,0))&amp;"",""))</f>
        <v>Bill the correct payer, delegated vendor or capitated group/IPA (e.g. Optum Behavioral, Preferred Homecare).</v>
      </c>
    </row>
    <row r="31" customFormat="false" ht="15" hidden="false" customHeight="false" outlineLevel="0" collapsed="false">
      <c r="A31" s="7" t="s">
        <v>16</v>
      </c>
      <c r="B31" s="7" t="s">
        <v>20</v>
      </c>
      <c r="C31" s="8" t="n">
        <v>545934840</v>
      </c>
      <c r="D31" s="9" t="n">
        <v>46156</v>
      </c>
      <c r="E31" s="10" t="s">
        <v>361</v>
      </c>
      <c r="F31" s="11" t="n">
        <v>46031</v>
      </c>
      <c r="G31" s="10" t="s">
        <v>208</v>
      </c>
      <c r="H31" s="10" t="s">
        <v>180</v>
      </c>
      <c r="I31" s="10" t="s">
        <v>208</v>
      </c>
      <c r="J31" s="10" t="s">
        <v>250</v>
      </c>
      <c r="K31" s="9" t="n">
        <v>46134</v>
      </c>
      <c r="L31" s="12" t="str">
        <f aca="true">IF($O31="","",$O31-TODAY())</f>
        <v/>
      </c>
      <c r="M31" s="12" t="str">
        <f aca="true">IF(AND(TRIM($A31)="Finalized",$K31&lt;&gt;""),"",IF($D31="","",$D31+180-TODAY()))</f>
        <v/>
      </c>
      <c r="N31" s="12" t="str">
        <f aca="true">IF(AND(TRIM($A31)="Finalized",$K31&lt;&gt;""),"",IF($D31="","",$D31+365-TODAY()))</f>
        <v/>
      </c>
      <c r="O31" s="11" t="str">
        <f aca="false">IF(AND(TRIM($A31)="Finalized",$K31&lt;&gt;""),"",DATE(2026,4,9))</f>
        <v/>
      </c>
      <c r="P31" s="10" t="s">
        <v>165</v>
      </c>
      <c r="Q31" s="10" t="s">
        <v>182</v>
      </c>
      <c r="R31" s="10" t="s">
        <v>147</v>
      </c>
      <c r="S31" s="10" t="s">
        <v>116</v>
      </c>
      <c r="T31" s="10" t="s">
        <v>114</v>
      </c>
      <c r="U31" s="10" t="s">
        <v>116</v>
      </c>
      <c r="V31" s="10" t="s">
        <v>118</v>
      </c>
      <c r="W31" s="10" t="s">
        <v>132</v>
      </c>
      <c r="X31" s="10"/>
      <c r="Y31" s="10"/>
      <c r="Z31" s="10"/>
      <c r="AA31" s="10" t="s">
        <v>197</v>
      </c>
      <c r="AB31" s="8" t="n">
        <f aca="true">IF($F31="","",TODAY()-$F31)</f>
        <v>280</v>
      </c>
      <c r="AC31" s="10" t="s">
        <v>251</v>
      </c>
      <c r="AD31" s="10"/>
      <c r="AE31" s="10"/>
      <c r="AF31" s="10"/>
      <c r="AG31" s="10"/>
      <c r="AH31" s="10"/>
      <c r="AI31" s="10"/>
      <c r="AJ31" s="10" t="s">
        <v>362</v>
      </c>
      <c r="AK31" s="10"/>
      <c r="AL31" s="10"/>
      <c r="AM31" s="10"/>
      <c r="AN31" s="8" t="n">
        <v>556916920</v>
      </c>
      <c r="AO31" s="10" t="s">
        <v>359</v>
      </c>
      <c r="AP31" s="10" t="s">
        <v>175</v>
      </c>
      <c r="AQ31" s="11" t="n">
        <v>46037</v>
      </c>
      <c r="AR31" s="13"/>
      <c r="AS31" s="13"/>
      <c r="AT31" s="13"/>
      <c r="AU31" s="13"/>
      <c r="AV31" s="13" t="s">
        <v>251</v>
      </c>
      <c r="AW31" s="13"/>
      <c r="AX31" s="13"/>
      <c r="AY31" s="7" t="s">
        <v>363</v>
      </c>
      <c r="AZ31" s="7"/>
      <c r="BA31" s="7"/>
      <c r="BB31" s="7"/>
      <c r="BC31" s="7"/>
      <c r="BD31" s="9"/>
      <c r="BE31" s="7"/>
      <c r="BF31" s="14" t="str">
        <f aca="true">IF(TRIM($A31)="Finalized","Closed",IF($BD31="","No review date set",IF($BD31&lt;TODAY(),"OVERDUE",IF($BD31-TODAY()&lt;=7,"Due within 7 days","Scheduled"))))</f>
        <v>Closed</v>
      </c>
      <c r="BG31" s="14" t="n">
        <f aca="true">IF($K31="","",TODAY()-$K31)</f>
        <v>177</v>
      </c>
      <c r="BH31" s="15" t="str">
        <f aca="false">IFERROR(LEFT(IF($B31="","Notes, ","")&amp;IF($K31="","Latest Date Worked, ","")&amp;IF($AY31="","Last Action, ","")&amp;IF(AND(OR(TRIM($A31)="Denied",TRIM($A31)="Rejected"),$BA31=""),"Denial Reason, ","")&amp;IF(AND(TRIM($A31)="Denied",$BB31="",TRIM($BA31)&lt;&gt;"NO DENIAL"),"Denial Code, ","")&amp;IF(AND(TRIM($A31)&lt;&gt;"Finalized",$BD31=""),"Next Review Date, ","")&amp;IF(AND(TRIM($A31)&lt;&gt;"Finalized",$BE31=""),"Next Step, ","")&amp;IF(AND(TRIM($A31)="Finalized",$AV31="",$AR31="",$AT31="",$AX31="",$AW31=""),"CPT outcome, ",""),LEN(IF($B31="","Notes, ","")&amp;IF($K31="","Latest Date Worked, ","")&amp;IF($AY31="","Last Action, ","")&amp;IF(AND(OR(TRIM($A31)="Denied",TRIM($A31)="Rejected"),$BA31=""),"Denial Reason, ","")&amp;IF(AND(TRIM($A31)="Denied",$BB31="",TRIM($BA31)&lt;&gt;"NO DENIAL"),"Denial Code, ","")&amp;IF(AND(TRIM($A31)&lt;&gt;"Finalized",$BD31=""),"Next Review Date, ","")&amp;IF(AND(TRIM($A31)&lt;&gt;"Finalized",$BE31=""),"Next Step, ","")&amp;IF(AND(TRIM($A31)="Finalized",$AV31="",$AR31="",$AT31="",$AX31="",$AW31=""),"CPT outcome, ",""))-2),"")</f>
        <v/>
      </c>
      <c r="BI31" s="15" t="str">
        <f aca="false">IF($BB31="","",IFERROR(INDEX('Denial Codes'!$C:$C,MATCH(LEFT($BB31,FIND(" - ",$BB31&amp;" - ")+2)&amp;"*",'Denial Codes'!$A:$A,0)),""))</f>
        <v/>
      </c>
      <c r="BJ31" s="15" t="str">
        <f aca="false">IF($BA31="","",IFERROR(INDEX(Lists!$B:$B,MATCH(TRIM($BA31),Lists!$A:$A,0))&amp;"",""))</f>
        <v/>
      </c>
    </row>
    <row r="32" customFormat="false" ht="15" hidden="false" customHeight="false" outlineLevel="0" collapsed="false">
      <c r="A32" s="7" t="s">
        <v>20</v>
      </c>
      <c r="B32" s="7" t="s">
        <v>109</v>
      </c>
      <c r="C32" s="8" t="n">
        <v>548717876</v>
      </c>
      <c r="D32" s="9" t="n">
        <v>46069</v>
      </c>
      <c r="E32" s="10" t="s">
        <v>364</v>
      </c>
      <c r="F32" s="11" t="n">
        <v>46035</v>
      </c>
      <c r="G32" s="10" t="s">
        <v>365</v>
      </c>
      <c r="H32" s="10" t="s">
        <v>365</v>
      </c>
      <c r="I32" s="10" t="s">
        <v>129</v>
      </c>
      <c r="J32" s="10" t="s">
        <v>219</v>
      </c>
      <c r="K32" s="9" t="n">
        <v>46079</v>
      </c>
      <c r="L32" s="12" t="n">
        <f aca="true">IF($O32="","",$O32-TODAY())</f>
        <v>-186</v>
      </c>
      <c r="M32" s="12" t="n">
        <f aca="true">IF(AND(TRIM($A32)="Finalized",$K32&lt;&gt;""),"",IF($F32="","",$F32+90-TODAY()))</f>
        <v>-186</v>
      </c>
      <c r="N32" s="12" t="n">
        <f aca="true">IF(AND(TRIM($A32)="Finalized",$K32&lt;&gt;""),"",IF($D32="","",$D32+180-TODAY()))</f>
        <v>-62</v>
      </c>
      <c r="O32" s="11" t="n">
        <f aca="false">IF(AND(TRIM($A32)="Finalized",$K32&lt;&gt;""),"",DATE(2026,4,13))</f>
        <v>46125</v>
      </c>
      <c r="P32" s="10" t="s">
        <v>165</v>
      </c>
      <c r="Q32" s="10" t="s">
        <v>220</v>
      </c>
      <c r="R32" s="10" t="s">
        <v>165</v>
      </c>
      <c r="S32" s="10" t="s">
        <v>149</v>
      </c>
      <c r="T32" s="10" t="s">
        <v>147</v>
      </c>
      <c r="U32" s="10" t="s">
        <v>116</v>
      </c>
      <c r="V32" s="10" t="s">
        <v>118</v>
      </c>
      <c r="W32" s="10" t="s">
        <v>196</v>
      </c>
      <c r="X32" s="10"/>
      <c r="Y32" s="10"/>
      <c r="Z32" s="10"/>
      <c r="AA32" s="10" t="s">
        <v>197</v>
      </c>
      <c r="AB32" s="8" t="n">
        <f aca="true">IF($F32="","",TODAY()-$F32)</f>
        <v>276</v>
      </c>
      <c r="AC32" s="10" t="s">
        <v>222</v>
      </c>
      <c r="AD32" s="10"/>
      <c r="AE32" s="10"/>
      <c r="AF32" s="10"/>
      <c r="AG32" s="10"/>
      <c r="AH32" s="10"/>
      <c r="AI32" s="10"/>
      <c r="AJ32" s="10" t="s">
        <v>350</v>
      </c>
      <c r="AK32" s="10"/>
      <c r="AL32" s="10"/>
      <c r="AM32" s="10"/>
      <c r="AN32" s="8"/>
      <c r="AO32" s="10" t="s">
        <v>201</v>
      </c>
      <c r="AP32" s="10" t="s">
        <v>202</v>
      </c>
      <c r="AQ32" s="11" t="n">
        <v>46051</v>
      </c>
      <c r="AR32" s="13"/>
      <c r="AS32" s="13"/>
      <c r="AT32" s="13"/>
      <c r="AU32" s="13"/>
      <c r="AV32" s="13" t="s">
        <v>222</v>
      </c>
      <c r="AW32" s="13"/>
      <c r="AX32" s="13" t="s">
        <v>222</v>
      </c>
      <c r="AY32" s="7"/>
      <c r="AZ32" s="7"/>
      <c r="BA32" s="7"/>
      <c r="BB32" s="7"/>
      <c r="BC32" s="7"/>
      <c r="BD32" s="9" t="n">
        <v>46107</v>
      </c>
      <c r="BE32" s="7" t="s">
        <v>366</v>
      </c>
      <c r="BF32" s="14" t="str">
        <f aca="true">IF(TRIM($A32)="Finalized","Closed",IF($BD32="","No review date set",IF($BD32&lt;TODAY(),"OVERDUE",IF($BD32-TODAY()&lt;=7,"Due within 7 days","Scheduled"))))</f>
        <v>OVERDUE</v>
      </c>
      <c r="BG32" s="14" t="n">
        <f aca="true">IF($K32="","",TODAY()-$K32)</f>
        <v>232</v>
      </c>
      <c r="BH32" s="15" t="str">
        <f aca="false">IFERROR(LEFT(IF($B32="","Notes, ","")&amp;IF($K32="","Latest Date Worked, ","")&amp;IF($AY32="","Last Action, ","")&amp;IF(AND(OR(TRIM($A32)="Denied",TRIM($A32)="Rejected"),$BA32=""),"Denial Reason, ","")&amp;IF(AND(TRIM($A32)="Denied",$BB32="",TRIM($BA32)&lt;&gt;"NO DENIAL"),"Denial Code, ","")&amp;IF(AND(TRIM($A32)&lt;&gt;"Finalized",$BD32=""),"Next Review Date, ","")&amp;IF(AND(TRIM($A32)&lt;&gt;"Finalized",$BE32=""),"Next Step, ","")&amp;IF(AND(TRIM($A32)="Finalized",$AV32="",$AR32="",$AT32="",$AX32="",$AW32=""),"CPT outcome, ",""),LEN(IF($B32="","Notes, ","")&amp;IF($K32="","Latest Date Worked, ","")&amp;IF($AY32="","Last Action, ","")&amp;IF(AND(OR(TRIM($A32)="Denied",TRIM($A32)="Rejected"),$BA32=""),"Denial Reason, ","")&amp;IF(AND(TRIM($A32)="Denied",$BB32="",TRIM($BA32)&lt;&gt;"NO DENIAL"),"Denial Code, ","")&amp;IF(AND(TRIM($A32)&lt;&gt;"Finalized",$BD32=""),"Next Review Date, ","")&amp;IF(AND(TRIM($A32)&lt;&gt;"Finalized",$BE32=""),"Next Step, ","")&amp;IF(AND(TRIM($A32)="Finalized",$AV32="",$AR32="",$AT32="",$AX32="",$AW32=""),"CPT outcome, ",""))-2),"")</f>
        <v>Last Action</v>
      </c>
      <c r="BI32" s="15" t="str">
        <f aca="false">IF($BB32="","",IFERROR(INDEX('Denial Codes'!$C:$C,MATCH(LEFT($BB32,FIND(" - ",$BB32&amp;" - ")+2)&amp;"*",'Denial Codes'!$A:$A,0)),""))</f>
        <v/>
      </c>
      <c r="BJ32" s="15" t="str">
        <f aca="false">IF($BA32="","",IFERROR(INDEX(Lists!$B:$B,MATCH(TRIM($BA32),Lists!$A:$A,0))&amp;"",""))</f>
        <v/>
      </c>
    </row>
    <row r="33" customFormat="false" ht="15" hidden="false" customHeight="false" outlineLevel="0" collapsed="false">
      <c r="A33" s="7" t="s">
        <v>17</v>
      </c>
      <c r="B33" s="7" t="s">
        <v>367</v>
      </c>
      <c r="C33" s="8" t="n">
        <v>556348109</v>
      </c>
      <c r="D33" s="9" t="n">
        <v>46133</v>
      </c>
      <c r="E33" s="10" t="s">
        <v>368</v>
      </c>
      <c r="F33" s="11" t="n">
        <v>46036</v>
      </c>
      <c r="G33" s="10" t="s">
        <v>369</v>
      </c>
      <c r="H33" s="10" t="s">
        <v>369</v>
      </c>
      <c r="I33" s="10" t="s">
        <v>129</v>
      </c>
      <c r="J33" s="10" t="s">
        <v>370</v>
      </c>
      <c r="K33" s="9" t="n">
        <v>46129</v>
      </c>
      <c r="L33" s="12" t="n">
        <f aca="true">IF($O33="","",$O33-TODAY())</f>
        <v>-185</v>
      </c>
      <c r="M33" s="12" t="n">
        <f aca="true">IF(AND(TRIM($A33)="Finalized",$K33&lt;&gt;""),"",IF($D33="","",$D33+365-TODAY()))</f>
        <v>187</v>
      </c>
      <c r="N33" s="12" t="n">
        <f aca="true">IF(AND(TRIM($A33)="Finalized",$K33&lt;&gt;""),"",IF($D33="","",$D33+365-TODAY()))</f>
        <v>187</v>
      </c>
      <c r="O33" s="11" t="n">
        <f aca="false">IF(AND(TRIM($A33)="Finalized",$K33&lt;&gt;""),"",DATE(2026,4,14))</f>
        <v>46126</v>
      </c>
      <c r="P33" s="10" t="s">
        <v>165</v>
      </c>
      <c r="Q33" s="10" t="s">
        <v>371</v>
      </c>
      <c r="R33" s="10" t="s">
        <v>114</v>
      </c>
      <c r="S33" s="10" t="s">
        <v>116</v>
      </c>
      <c r="T33" s="10" t="s">
        <v>114</v>
      </c>
      <c r="U33" s="10" t="s">
        <v>116</v>
      </c>
      <c r="V33" s="10" t="s">
        <v>118</v>
      </c>
      <c r="W33" s="10" t="s">
        <v>183</v>
      </c>
      <c r="X33" s="10"/>
      <c r="Y33" s="10"/>
      <c r="Z33" s="10"/>
      <c r="AA33" s="10" t="s">
        <v>197</v>
      </c>
      <c r="AB33" s="8" t="n">
        <f aca="true">IF($F33="","",TODAY()-$F33)</f>
        <v>275</v>
      </c>
      <c r="AC33" s="10" t="s">
        <v>211</v>
      </c>
      <c r="AD33" s="10"/>
      <c r="AE33" s="10"/>
      <c r="AF33" s="10"/>
      <c r="AG33" s="10"/>
      <c r="AH33" s="10"/>
      <c r="AI33" s="10"/>
      <c r="AJ33" s="10" t="s">
        <v>186</v>
      </c>
      <c r="AK33" s="10"/>
      <c r="AL33" s="10"/>
      <c r="AM33" s="10"/>
      <c r="AN33" s="8"/>
      <c r="AO33" s="10" t="s">
        <v>201</v>
      </c>
      <c r="AP33" s="10" t="s">
        <v>202</v>
      </c>
      <c r="AQ33" s="11" t="n">
        <v>46057</v>
      </c>
      <c r="AR33" s="13"/>
      <c r="AS33" s="13"/>
      <c r="AT33" s="13"/>
      <c r="AU33" s="13"/>
      <c r="AV33" s="13"/>
      <c r="AW33" s="13"/>
      <c r="AX33" s="13"/>
      <c r="AY33" s="7" t="s">
        <v>159</v>
      </c>
      <c r="AZ33" s="7"/>
      <c r="BA33" s="7" t="s">
        <v>40</v>
      </c>
      <c r="BB33" s="7" t="s">
        <v>372</v>
      </c>
      <c r="BC33" s="7"/>
      <c r="BD33" s="9" t="n">
        <v>46159</v>
      </c>
      <c r="BE33" s="7"/>
      <c r="BF33" s="14" t="str">
        <f aca="true">IF(TRIM($A33)="Finalized","Closed",IF($BD33="","No review date set",IF($BD33&lt;TODAY(),"OVERDUE",IF($BD33-TODAY()&lt;=7,"Due within 7 days","Scheduled"))))</f>
        <v>OVERDUE</v>
      </c>
      <c r="BG33" s="14" t="n">
        <f aca="true">IF($K33="","",TODAY()-$K33)</f>
        <v>182</v>
      </c>
      <c r="BH33" s="15" t="str">
        <f aca="false">IFERROR(LEFT(IF($B33="","Notes, ","")&amp;IF($K33="","Latest Date Worked, ","")&amp;IF($AY33="","Last Action, ","")&amp;IF(AND(OR(TRIM($A33)="Denied",TRIM($A33)="Rejected"),$BA33=""),"Denial Reason, ","")&amp;IF(AND(TRIM($A33)="Denied",$BB33="",TRIM($BA33)&lt;&gt;"NO DENIAL"),"Denial Code, ","")&amp;IF(AND(TRIM($A33)&lt;&gt;"Finalized",$BD33=""),"Next Review Date, ","")&amp;IF(AND(TRIM($A33)&lt;&gt;"Finalized",$BE33=""),"Next Step, ","")&amp;IF(AND(TRIM($A33)="Finalized",$AV33="",$AR33="",$AT33="",$AX33="",$AW33=""),"CPT outcome, ",""),LEN(IF($B33="","Notes, ","")&amp;IF($K33="","Latest Date Worked, ","")&amp;IF($AY33="","Last Action, ","")&amp;IF(AND(OR(TRIM($A33)="Denied",TRIM($A33)="Rejected"),$BA33=""),"Denial Reason, ","")&amp;IF(AND(TRIM($A33)="Denied",$BB33="",TRIM($BA33)&lt;&gt;"NO DENIAL"),"Denial Code, ","")&amp;IF(AND(TRIM($A33)&lt;&gt;"Finalized",$BD33=""),"Next Review Date, ","")&amp;IF(AND(TRIM($A33)&lt;&gt;"Finalized",$BE33=""),"Next Step, ","")&amp;IF(AND(TRIM($A33)="Finalized",$AV33="",$AR33="",$AT33="",$AX33="",$AW33=""),"CPT outcome, ",""))-2),"")</f>
        <v>Next Step</v>
      </c>
      <c r="BI33" s="15" t="str">
        <f aca="false">IF($BB33="","",IFERROR(INDEX('Denial Codes'!$C:$C,MATCH(LEFT($BB33,FIND(" - ",$BB33&amp;" - ")+2)&amp;"*",'Denial Codes'!$A:$A,0)),""))</f>
        <v>Coding / billing error</v>
      </c>
      <c r="BJ33" s="15" t="str">
        <f aca="false">IF($BA33="","",IFERROR(INDEX(Lists!$B:$B,MATCH(TRIM($BA33),Lists!$A:$A,0))&amp;"",""))</f>
        <v>Fix the code, units, charge or other claim data and resubmit as a corrected claim.</v>
      </c>
    </row>
    <row r="34" customFormat="false" ht="15" hidden="false" customHeight="false" outlineLevel="0" collapsed="false">
      <c r="A34" s="7" t="s">
        <v>17</v>
      </c>
      <c r="B34" s="7" t="s">
        <v>373</v>
      </c>
      <c r="C34" s="8" t="n">
        <v>547465291</v>
      </c>
      <c r="D34" s="9" t="n">
        <v>46163</v>
      </c>
      <c r="E34" s="10" t="s">
        <v>374</v>
      </c>
      <c r="F34" s="11" t="n">
        <v>46037</v>
      </c>
      <c r="G34" s="10" t="s">
        <v>180</v>
      </c>
      <c r="H34" s="10" t="s">
        <v>180</v>
      </c>
      <c r="I34" s="10" t="s">
        <v>129</v>
      </c>
      <c r="J34" s="10" t="s">
        <v>194</v>
      </c>
      <c r="K34" s="9" t="n">
        <v>46305</v>
      </c>
      <c r="L34" s="12" t="n">
        <f aca="true">IF($O34="","",$O34-TODAY())</f>
        <v>-184</v>
      </c>
      <c r="M34" s="12" t="n">
        <f aca="true">IF(AND(TRIM($A34)="Finalized",$K34&lt;&gt;""),"",IF($D34="","",$D34+180-TODAY()))</f>
        <v>32</v>
      </c>
      <c r="N34" s="12" t="n">
        <f aca="true">IF(AND(TRIM($A34)="Finalized",$K34&lt;&gt;""),"",IF($D34="","",$D34+365-TODAY()))</f>
        <v>217</v>
      </c>
      <c r="O34" s="11" t="n">
        <f aca="false">IF(AND(TRIM($A34)="Finalized",$K34&lt;&gt;""),"",DATE(2026,4,15))</f>
        <v>46127</v>
      </c>
      <c r="P34" s="10" t="s">
        <v>165</v>
      </c>
      <c r="Q34" s="10" t="s">
        <v>182</v>
      </c>
      <c r="R34" s="10" t="s">
        <v>147</v>
      </c>
      <c r="S34" s="10" t="s">
        <v>116</v>
      </c>
      <c r="T34" s="10" t="s">
        <v>114</v>
      </c>
      <c r="U34" s="10" t="s">
        <v>116</v>
      </c>
      <c r="V34" s="10" t="s">
        <v>118</v>
      </c>
      <c r="W34" s="10" t="s">
        <v>196</v>
      </c>
      <c r="X34" s="10"/>
      <c r="Y34" s="10"/>
      <c r="Z34" s="10"/>
      <c r="AA34" s="10" t="s">
        <v>197</v>
      </c>
      <c r="AB34" s="8" t="n">
        <f aca="true">IF($F34="","",TODAY()-$F34)</f>
        <v>274</v>
      </c>
      <c r="AC34" s="10" t="s">
        <v>198</v>
      </c>
      <c r="AD34" s="10"/>
      <c r="AE34" s="10"/>
      <c r="AF34" s="10"/>
      <c r="AG34" s="10"/>
      <c r="AH34" s="10"/>
      <c r="AI34" s="10"/>
      <c r="AJ34" s="10" t="s">
        <v>375</v>
      </c>
      <c r="AK34" s="10" t="s">
        <v>139</v>
      </c>
      <c r="AL34" s="10"/>
      <c r="AM34" s="10"/>
      <c r="AN34" s="8"/>
      <c r="AO34" s="10" t="s">
        <v>213</v>
      </c>
      <c r="AP34" s="10" t="s">
        <v>188</v>
      </c>
      <c r="AQ34" s="11" t="n">
        <v>46048</v>
      </c>
      <c r="AR34" s="13"/>
      <c r="AS34" s="13"/>
      <c r="AT34" s="13"/>
      <c r="AU34" s="13"/>
      <c r="AV34" s="13"/>
      <c r="AW34" s="13"/>
      <c r="AX34" s="13"/>
      <c r="AY34" s="7" t="s">
        <v>354</v>
      </c>
      <c r="AZ34" s="7" t="s">
        <v>203</v>
      </c>
      <c r="BA34" s="7" t="s">
        <v>40</v>
      </c>
      <c r="BB34" s="7" t="s">
        <v>376</v>
      </c>
      <c r="BC34" s="7" t="s">
        <v>377</v>
      </c>
      <c r="BD34" s="9" t="n">
        <v>46336</v>
      </c>
      <c r="BE34" s="7"/>
      <c r="BF34" s="14" t="str">
        <f aca="true">IF(TRIM($A34)="Finalized","Closed",IF($BD34="","No review date set",IF($BD34&lt;TODAY(),"OVERDUE",IF($BD34-TODAY()&lt;=7,"Due within 7 days","Scheduled"))))</f>
        <v>Scheduled</v>
      </c>
      <c r="BG34" s="14" t="n">
        <f aca="true">IF($K34="","",TODAY()-$K34)</f>
        <v>6</v>
      </c>
      <c r="BH34" s="15" t="str">
        <f aca="false">IFERROR(LEFT(IF($B34="","Notes, ","")&amp;IF($K34="","Latest Date Worked, ","")&amp;IF($AY34="","Last Action, ","")&amp;IF(AND(OR(TRIM($A34)="Denied",TRIM($A34)="Rejected"),$BA34=""),"Denial Reason, ","")&amp;IF(AND(TRIM($A34)="Denied",$BB34="",TRIM($BA34)&lt;&gt;"NO DENIAL"),"Denial Code, ","")&amp;IF(AND(TRIM($A34)&lt;&gt;"Finalized",$BD34=""),"Next Review Date, ","")&amp;IF(AND(TRIM($A34)&lt;&gt;"Finalized",$BE34=""),"Next Step, ","")&amp;IF(AND(TRIM($A34)="Finalized",$AV34="",$AR34="",$AT34="",$AX34="",$AW34=""),"CPT outcome, ",""),LEN(IF($B34="","Notes, ","")&amp;IF($K34="","Latest Date Worked, ","")&amp;IF($AY34="","Last Action, ","")&amp;IF(AND(OR(TRIM($A34)="Denied",TRIM($A34)="Rejected"),$BA34=""),"Denial Reason, ","")&amp;IF(AND(TRIM($A34)="Denied",$BB34="",TRIM($BA34)&lt;&gt;"NO DENIAL"),"Denial Code, ","")&amp;IF(AND(TRIM($A34)&lt;&gt;"Finalized",$BD34=""),"Next Review Date, ","")&amp;IF(AND(TRIM($A34)&lt;&gt;"Finalized",$BE34=""),"Next Step, ","")&amp;IF(AND(TRIM($A34)="Finalized",$AV34="",$AR34="",$AT34="",$AX34="",$AW34=""),"CPT outcome, ",""))-2),"")</f>
        <v>Next Step</v>
      </c>
      <c r="BI34" s="15" t="str">
        <f aca="false">IF($BB34="","",IFERROR(INDEX('Denial Codes'!$C:$C,MATCH(LEFT($BB34,FIND(" - ",$BB34&amp;" - ")+2)&amp;"*",'Denial Codes'!$A:$A,0)),""))</f>
        <v>Coding / billing error</v>
      </c>
      <c r="BJ34" s="15" t="str">
        <f aca="false">IF($BA34="","",IFERROR(INDEX(Lists!$B:$B,MATCH(TRIM($BA34),Lists!$A:$A,0))&amp;"",""))</f>
        <v>Fix the code, units, charge or other claim data and resubmit as a corrected claim.</v>
      </c>
    </row>
    <row r="35" customFormat="false" ht="15" hidden="false" customHeight="false" outlineLevel="0" collapsed="false">
      <c r="A35" s="7" t="s">
        <v>17</v>
      </c>
      <c r="B35" s="7" t="s">
        <v>378</v>
      </c>
      <c r="C35" s="8" t="n">
        <v>548015539</v>
      </c>
      <c r="D35" s="9" t="n">
        <v>46064</v>
      </c>
      <c r="E35" s="10" t="s">
        <v>379</v>
      </c>
      <c r="F35" s="11" t="n">
        <v>46043</v>
      </c>
      <c r="G35" s="10" t="s">
        <v>163</v>
      </c>
      <c r="H35" s="10" t="s">
        <v>163</v>
      </c>
      <c r="I35" s="10" t="s">
        <v>260</v>
      </c>
      <c r="J35" s="10" t="s">
        <v>181</v>
      </c>
      <c r="K35" s="9" t="n">
        <v>46134</v>
      </c>
      <c r="L35" s="12" t="n">
        <f aca="true">IF($O35="","",$O35-TODAY())</f>
        <v>-178</v>
      </c>
      <c r="M35" s="12" t="n">
        <f aca="true">IF(AND(TRIM($A35)="Finalized",$K35&lt;&gt;""),"",IF($F35="","",$F35+90-TODAY()))</f>
        <v>-178</v>
      </c>
      <c r="N35" s="12" t="n">
        <f aca="true">IF(AND(TRIM($A35)="Finalized",$K35&lt;&gt;""),"",IF($D35="","",$D35+365-TODAY()))</f>
        <v>118</v>
      </c>
      <c r="O35" s="11" t="n">
        <f aca="false">IF(AND(TRIM($A35)="Finalized",$K35&lt;&gt;""),"",DATE(2026,4,21))</f>
        <v>46133</v>
      </c>
      <c r="P35" s="10" t="s">
        <v>165</v>
      </c>
      <c r="Q35" s="10" t="s">
        <v>166</v>
      </c>
      <c r="R35" s="10" t="s">
        <v>165</v>
      </c>
      <c r="S35" s="10" t="s">
        <v>149</v>
      </c>
      <c r="T35" s="10" t="s">
        <v>114</v>
      </c>
      <c r="U35" s="10" t="s">
        <v>116</v>
      </c>
      <c r="V35" s="10" t="s">
        <v>118</v>
      </c>
      <c r="W35" s="10" t="s">
        <v>183</v>
      </c>
      <c r="X35" s="10"/>
      <c r="Y35" s="10"/>
      <c r="Z35" s="10"/>
      <c r="AA35" s="10" t="s">
        <v>197</v>
      </c>
      <c r="AB35" s="8" t="n">
        <f aca="true">IF($F35="","",TODAY()-$F35)</f>
        <v>268</v>
      </c>
      <c r="AC35" s="10" t="s">
        <v>184</v>
      </c>
      <c r="AD35" s="10" t="s">
        <v>185</v>
      </c>
      <c r="AE35" s="10"/>
      <c r="AF35" s="10"/>
      <c r="AG35" s="10"/>
      <c r="AH35" s="10"/>
      <c r="AI35" s="10"/>
      <c r="AJ35" s="10" t="s">
        <v>380</v>
      </c>
      <c r="AK35" s="10"/>
      <c r="AL35" s="10"/>
      <c r="AM35" s="10"/>
      <c r="AN35" s="8"/>
      <c r="AO35" s="10" t="s">
        <v>201</v>
      </c>
      <c r="AP35" s="10" t="s">
        <v>202</v>
      </c>
      <c r="AQ35" s="11" t="n">
        <v>46057</v>
      </c>
      <c r="AR35" s="13"/>
      <c r="AS35" s="13"/>
      <c r="AT35" s="13"/>
      <c r="AU35" s="13"/>
      <c r="AV35" s="13"/>
      <c r="AW35" s="13"/>
      <c r="AX35" s="13"/>
      <c r="AY35" s="7" t="s">
        <v>328</v>
      </c>
      <c r="AZ35" s="7"/>
      <c r="BA35" s="7"/>
      <c r="BB35" s="7"/>
      <c r="BC35" s="7" t="s">
        <v>381</v>
      </c>
      <c r="BD35" s="9" t="n">
        <v>46164</v>
      </c>
      <c r="BE35" s="7"/>
      <c r="BF35" s="14" t="str">
        <f aca="true">IF(TRIM($A35)="Finalized","Closed",IF($BD35="","No review date set",IF($BD35&lt;TODAY(),"OVERDUE",IF($BD35-TODAY()&lt;=7,"Due within 7 days","Scheduled"))))</f>
        <v>OVERDUE</v>
      </c>
      <c r="BG35" s="14" t="n">
        <f aca="true">IF($K35="","",TODAY()-$K35)</f>
        <v>177</v>
      </c>
      <c r="BH35" s="15" t="str">
        <f aca="false">IFERROR(LEFT(IF($B35="","Notes, ","")&amp;IF($K35="","Latest Date Worked, ","")&amp;IF($AY35="","Last Action, ","")&amp;IF(AND(OR(TRIM($A35)="Denied",TRIM($A35)="Rejected"),$BA35=""),"Denial Reason, ","")&amp;IF(AND(TRIM($A35)="Denied",$BB35="",TRIM($BA35)&lt;&gt;"NO DENIAL"),"Denial Code, ","")&amp;IF(AND(TRIM($A35)&lt;&gt;"Finalized",$BD35=""),"Next Review Date, ","")&amp;IF(AND(TRIM($A35)&lt;&gt;"Finalized",$BE35=""),"Next Step, ","")&amp;IF(AND(TRIM($A35)="Finalized",$AV35="",$AR35="",$AT35="",$AX35="",$AW35=""),"CPT outcome, ",""),LEN(IF($B35="","Notes, ","")&amp;IF($K35="","Latest Date Worked, ","")&amp;IF($AY35="","Last Action, ","")&amp;IF(AND(OR(TRIM($A35)="Denied",TRIM($A35)="Rejected"),$BA35=""),"Denial Reason, ","")&amp;IF(AND(TRIM($A35)="Denied",$BB35="",TRIM($BA35)&lt;&gt;"NO DENIAL"),"Denial Code, ","")&amp;IF(AND(TRIM($A35)&lt;&gt;"Finalized",$BD35=""),"Next Review Date, ","")&amp;IF(AND(TRIM($A35)&lt;&gt;"Finalized",$BE35=""),"Next Step, ","")&amp;IF(AND(TRIM($A35)="Finalized",$AV35="",$AR35="",$AT35="",$AX35="",$AW35=""),"CPT outcome, ",""))-2),"")</f>
        <v>Denial Reason, Denial Code, Next Step</v>
      </c>
      <c r="BI35" s="15" t="str">
        <f aca="false">IF($BB35="","",IFERROR(INDEX('Denial Codes'!$C:$C,MATCH(LEFT($BB35,FIND(" - ",$BB35&amp;" - ")+2)&amp;"*",'Denial Codes'!$A:$A,0)),""))</f>
        <v/>
      </c>
      <c r="BJ35" s="15" t="str">
        <f aca="false">IF($BA35="","",IFERROR(INDEX(Lists!$B:$B,MATCH(TRIM($BA35),Lists!$A:$A,0))&amp;"",""))</f>
        <v/>
      </c>
    </row>
    <row r="36" customFormat="false" ht="15" hidden="false" customHeight="false" outlineLevel="0" collapsed="false">
      <c r="A36" s="7" t="s">
        <v>19</v>
      </c>
      <c r="B36" s="7" t="s">
        <v>382</v>
      </c>
      <c r="C36" s="8" t="n">
        <v>547442681</v>
      </c>
      <c r="D36" s="9" t="n">
        <v>46094</v>
      </c>
      <c r="E36" s="10" t="s">
        <v>383</v>
      </c>
      <c r="F36" s="11" t="n">
        <v>46044</v>
      </c>
      <c r="G36" s="10" t="s">
        <v>384</v>
      </c>
      <c r="H36" s="10" t="s">
        <v>163</v>
      </c>
      <c r="I36" s="10" t="s">
        <v>384</v>
      </c>
      <c r="J36" s="10" t="s">
        <v>370</v>
      </c>
      <c r="K36" s="9" t="n">
        <v>46304</v>
      </c>
      <c r="L36" s="12" t="n">
        <f aca="true">IF($O36="","",$O36-TODAY())</f>
        <v>-177</v>
      </c>
      <c r="M36" s="12" t="n">
        <f aca="true">IF(AND(TRIM($A36)="Finalized",$K36&lt;&gt;""),"",IF($F36="","",$F36+90-TODAY()))</f>
        <v>-177</v>
      </c>
      <c r="N36" s="12" t="n">
        <f aca="true">IF(AND(TRIM($A36)="Finalized",$K36&lt;&gt;""),"",IF($D36="","",$D36+365-TODAY()))</f>
        <v>148</v>
      </c>
      <c r="O36" s="11" t="n">
        <f aca="false">IF(AND(TRIM($A36)="Finalized",$K36&lt;&gt;""),"",DATE(2026,4,22))</f>
        <v>46134</v>
      </c>
      <c r="P36" s="10" t="s">
        <v>165</v>
      </c>
      <c r="Q36" s="10" t="s">
        <v>166</v>
      </c>
      <c r="R36" s="10" t="s">
        <v>165</v>
      </c>
      <c r="S36" s="10" t="s">
        <v>149</v>
      </c>
      <c r="T36" s="10" t="s">
        <v>114</v>
      </c>
      <c r="U36" s="10" t="s">
        <v>116</v>
      </c>
      <c r="V36" s="10" t="s">
        <v>118</v>
      </c>
      <c r="W36" s="10" t="s">
        <v>183</v>
      </c>
      <c r="X36" s="10"/>
      <c r="Y36" s="10"/>
      <c r="Z36" s="10"/>
      <c r="AA36" s="10" t="s">
        <v>197</v>
      </c>
      <c r="AB36" s="8" t="n">
        <f aca="true">IF($F36="","",TODAY()-$F36)</f>
        <v>267</v>
      </c>
      <c r="AC36" s="10" t="s">
        <v>211</v>
      </c>
      <c r="AD36" s="10"/>
      <c r="AE36" s="10"/>
      <c r="AF36" s="10"/>
      <c r="AG36" s="10"/>
      <c r="AH36" s="10"/>
      <c r="AI36" s="10"/>
      <c r="AJ36" s="10" t="s">
        <v>385</v>
      </c>
      <c r="AK36" s="10"/>
      <c r="AL36" s="10"/>
      <c r="AM36" s="10"/>
      <c r="AN36" s="8" t="n">
        <v>556556161</v>
      </c>
      <c r="AO36" s="10" t="s">
        <v>201</v>
      </c>
      <c r="AP36" s="10" t="s">
        <v>188</v>
      </c>
      <c r="AQ36" s="11" t="n">
        <v>46056</v>
      </c>
      <c r="AR36" s="13"/>
      <c r="AS36" s="13"/>
      <c r="AT36" s="13"/>
      <c r="AU36" s="13"/>
      <c r="AV36" s="13"/>
      <c r="AW36" s="13" t="s">
        <v>211</v>
      </c>
      <c r="AX36" s="13" t="s">
        <v>211</v>
      </c>
      <c r="AY36" s="7" t="s">
        <v>159</v>
      </c>
      <c r="AZ36" s="7"/>
      <c r="BA36" s="7"/>
      <c r="BB36" s="7" t="s">
        <v>386</v>
      </c>
      <c r="BC36" s="7"/>
      <c r="BD36" s="9" t="n">
        <v>46335</v>
      </c>
      <c r="BE36" s="7"/>
      <c r="BF36" s="14" t="str">
        <f aca="true">IF(TRIM($A36)="Finalized","Closed",IF($BD36="","No review date set",IF($BD36&lt;TODAY(),"OVERDUE",IF($BD36-TODAY()&lt;=7,"Due within 7 days","Scheduled"))))</f>
        <v>Scheduled</v>
      </c>
      <c r="BG36" s="14" t="n">
        <f aca="true">IF($K36="","",TODAY()-$K36)</f>
        <v>7</v>
      </c>
      <c r="BH36" s="15" t="str">
        <f aca="false">IFERROR(LEFT(IF($B36="","Notes, ","")&amp;IF($K36="","Latest Date Worked, ","")&amp;IF($AY36="","Last Action, ","")&amp;IF(AND(OR(TRIM($A36)="Denied",TRIM($A36)="Rejected"),$BA36=""),"Denial Reason, ","")&amp;IF(AND(TRIM($A36)="Denied",$BB36="",TRIM($BA36)&lt;&gt;"NO DENIAL"),"Denial Code, ","")&amp;IF(AND(TRIM($A36)&lt;&gt;"Finalized",$BD36=""),"Next Review Date, ","")&amp;IF(AND(TRIM($A36)&lt;&gt;"Finalized",$BE36=""),"Next Step, ","")&amp;IF(AND(TRIM($A36)="Finalized",$AV36="",$AR36="",$AT36="",$AX36="",$AW36=""),"CPT outcome, ",""),LEN(IF($B36="","Notes, ","")&amp;IF($K36="","Latest Date Worked, ","")&amp;IF($AY36="","Last Action, ","")&amp;IF(AND(OR(TRIM($A36)="Denied",TRIM($A36)="Rejected"),$BA36=""),"Denial Reason, ","")&amp;IF(AND(TRIM($A36)="Denied",$BB36="",TRIM($BA36)&lt;&gt;"NO DENIAL"),"Denial Code, ","")&amp;IF(AND(TRIM($A36)&lt;&gt;"Finalized",$BD36=""),"Next Review Date, ","")&amp;IF(AND(TRIM($A36)&lt;&gt;"Finalized",$BE36=""),"Next Step, ","")&amp;IF(AND(TRIM($A36)="Finalized",$AV36="",$AR36="",$AT36="",$AX36="",$AW36=""),"CPT outcome, ",""))-2),"")</f>
        <v>Next Step</v>
      </c>
      <c r="BI36" s="15" t="str">
        <f aca="false">IF($BB36="","",IFERROR(INDEX('Denial Codes'!$C:$C,MATCH(LEFT($BB36,FIND(" - ",$BB36&amp;" - ")+2)&amp;"*",'Denial Codes'!$A:$A,0)),""))</f>
        <v>Other</v>
      </c>
      <c r="BJ36" s="15" t="str">
        <f aca="false">IF($BA36="","",IFERROR(INDEX(Lists!$B:$B,MATCH(TRIM($BA36),Lists!$A:$A,0))&amp;"",""))</f>
        <v/>
      </c>
    </row>
    <row r="37" customFormat="false" ht="15" hidden="false" customHeight="false" outlineLevel="0" collapsed="false">
      <c r="A37" s="7" t="s">
        <v>18</v>
      </c>
      <c r="B37" s="7" t="s">
        <v>387</v>
      </c>
      <c r="C37" s="8" t="n">
        <v>547576017</v>
      </c>
      <c r="D37" s="9" t="n">
        <v>46052</v>
      </c>
      <c r="E37" s="10" t="s">
        <v>388</v>
      </c>
      <c r="F37" s="11" t="n">
        <v>46045</v>
      </c>
      <c r="G37" s="10" t="s">
        <v>163</v>
      </c>
      <c r="H37" s="10" t="s">
        <v>163</v>
      </c>
      <c r="I37" s="10" t="s">
        <v>129</v>
      </c>
      <c r="J37" s="10" t="s">
        <v>244</v>
      </c>
      <c r="K37" s="9" t="n">
        <v>46247</v>
      </c>
      <c r="L37" s="12" t="n">
        <f aca="true">IF($O37="","",$O37-TODAY())</f>
        <v>-176</v>
      </c>
      <c r="M37" s="12" t="n">
        <f aca="true">IF(AND(TRIM($A37)="Finalized",$K37&lt;&gt;""),"",IF($F37="","",$F37+90-TODAY()))</f>
        <v>-176</v>
      </c>
      <c r="N37" s="12" t="n">
        <f aca="true">IF(AND(TRIM($A37)="Finalized",$K37&lt;&gt;""),"",IF($D37="","",$D37+365-TODAY()))</f>
        <v>106</v>
      </c>
      <c r="O37" s="11" t="n">
        <f aca="false">IF(AND(TRIM($A37)="Finalized",$K37&lt;&gt;""),"",DATE(2026,4,23))</f>
        <v>46135</v>
      </c>
      <c r="P37" s="10" t="s">
        <v>165</v>
      </c>
      <c r="Q37" s="10" t="s">
        <v>166</v>
      </c>
      <c r="R37" s="10" t="s">
        <v>165</v>
      </c>
      <c r="S37" s="10" t="s">
        <v>149</v>
      </c>
      <c r="T37" s="10" t="s">
        <v>114</v>
      </c>
      <c r="U37" s="10" t="s">
        <v>116</v>
      </c>
      <c r="V37" s="10" t="s">
        <v>118</v>
      </c>
      <c r="W37" s="10" t="s">
        <v>132</v>
      </c>
      <c r="X37" s="10"/>
      <c r="Y37" s="10"/>
      <c r="Z37" s="10"/>
      <c r="AA37" s="10" t="s">
        <v>197</v>
      </c>
      <c r="AB37" s="8" t="n">
        <f aca="true">IF($F37="","",TODAY()-$F37)</f>
        <v>266</v>
      </c>
      <c r="AC37" s="10" t="s">
        <v>246</v>
      </c>
      <c r="AD37" s="10"/>
      <c r="AE37" s="10"/>
      <c r="AF37" s="10"/>
      <c r="AG37" s="10"/>
      <c r="AH37" s="10"/>
      <c r="AI37" s="10"/>
      <c r="AJ37" s="10" t="s">
        <v>124</v>
      </c>
      <c r="AK37" s="10"/>
      <c r="AL37" s="10"/>
      <c r="AM37" s="10"/>
      <c r="AN37" s="8"/>
      <c r="AO37" s="10" t="s">
        <v>359</v>
      </c>
      <c r="AP37" s="10" t="s">
        <v>175</v>
      </c>
      <c r="AQ37" s="11" t="n">
        <v>46049</v>
      </c>
      <c r="AR37" s="13"/>
      <c r="AS37" s="13"/>
      <c r="AT37" s="13"/>
      <c r="AU37" s="13"/>
      <c r="AV37" s="13"/>
      <c r="AW37" s="13"/>
      <c r="AX37" s="13"/>
      <c r="AY37" s="7" t="s">
        <v>328</v>
      </c>
      <c r="AZ37" s="7" t="s">
        <v>389</v>
      </c>
      <c r="BA37" s="7" t="s">
        <v>55</v>
      </c>
      <c r="BB37" s="7"/>
      <c r="BC37" s="7" t="s">
        <v>390</v>
      </c>
      <c r="BD37" s="9" t="n">
        <v>46278</v>
      </c>
      <c r="BE37" s="7"/>
      <c r="BF37" s="14" t="str">
        <f aca="true">IF(TRIM($A37)="Finalized","Closed",IF($BD37="","No review date set",IF($BD37&lt;TODAY(),"OVERDUE",IF($BD37-TODAY()&lt;=7,"Due within 7 days","Scheduled"))))</f>
        <v>OVERDUE</v>
      </c>
      <c r="BG37" s="14" t="n">
        <f aca="true">IF($K37="","",TODAY()-$K37)</f>
        <v>64</v>
      </c>
      <c r="BH37" s="15" t="str">
        <f aca="false">IFERROR(LEFT(IF($B37="","Notes, ","")&amp;IF($K37="","Latest Date Worked, ","")&amp;IF($AY37="","Last Action, ","")&amp;IF(AND(OR(TRIM($A37)="Denied",TRIM($A37)="Rejected"),$BA37=""),"Denial Reason, ","")&amp;IF(AND(TRIM($A37)="Denied",$BB37="",TRIM($BA37)&lt;&gt;"NO DENIAL"),"Denial Code, ","")&amp;IF(AND(TRIM($A37)&lt;&gt;"Finalized",$BD37=""),"Next Review Date, ","")&amp;IF(AND(TRIM($A37)&lt;&gt;"Finalized",$BE37=""),"Next Step, ","")&amp;IF(AND(TRIM($A37)="Finalized",$AV37="",$AR37="",$AT37="",$AX37="",$AW37=""),"CPT outcome, ",""),LEN(IF($B37="","Notes, ","")&amp;IF($K37="","Latest Date Worked, ","")&amp;IF($AY37="","Last Action, ","")&amp;IF(AND(OR(TRIM($A37)="Denied",TRIM($A37)="Rejected"),$BA37=""),"Denial Reason, ","")&amp;IF(AND(TRIM($A37)="Denied",$BB37="",TRIM($BA37)&lt;&gt;"NO DENIAL"),"Denial Code, ","")&amp;IF(AND(TRIM($A37)&lt;&gt;"Finalized",$BD37=""),"Next Review Date, ","")&amp;IF(AND(TRIM($A37)&lt;&gt;"Finalized",$BE37=""),"Next Step, ","")&amp;IF(AND(TRIM($A37)="Finalized",$AV37="",$AR37="",$AT37="",$AX37="",$AW37=""),"CPT outcome, ",""))-2),"")</f>
        <v>Next Step</v>
      </c>
      <c r="BI37" s="15" t="str">
        <f aca="false">IF($BB37="","",IFERROR(INDEX('Denial Codes'!$C:$C,MATCH(LEFT($BB37,FIND(" - ",$BB37&amp;" - ")+2)&amp;"*",'Denial Codes'!$A:$A,0)),""))</f>
        <v/>
      </c>
      <c r="BJ37" s="15" t="str">
        <f aca="false">IF($BA37="","",IFERROR(INDEX(Lists!$B:$B,MATCH(TRIM($BA37),Lists!$A:$A,0))&amp;"",""))</f>
        <v/>
      </c>
    </row>
    <row r="38" customFormat="false" ht="15" hidden="false" customHeight="false" outlineLevel="0" collapsed="false">
      <c r="A38" s="7" t="s">
        <v>19</v>
      </c>
      <c r="B38" s="7" t="s">
        <v>391</v>
      </c>
      <c r="C38" s="8" t="n">
        <v>557162806</v>
      </c>
      <c r="D38" s="9" t="n">
        <v>46156</v>
      </c>
      <c r="E38" s="10" t="s">
        <v>392</v>
      </c>
      <c r="F38" s="11" t="n">
        <v>46041</v>
      </c>
      <c r="G38" s="10" t="s">
        <v>145</v>
      </c>
      <c r="H38" s="10" t="s">
        <v>393</v>
      </c>
      <c r="I38" s="10" t="s">
        <v>145</v>
      </c>
      <c r="J38" s="10" t="s">
        <v>394</v>
      </c>
      <c r="K38" s="9" t="n">
        <v>46136</v>
      </c>
      <c r="L38" s="12" t="n">
        <f aca="true">IF($O38="","",$O38-TODAY())</f>
        <v>-175</v>
      </c>
      <c r="M38" s="12" t="n">
        <f aca="true">IF(AND(TRIM($A38)="Finalized",$K38&lt;&gt;""),"",IF($D38="","",$D38+90-TODAY()))</f>
        <v>-65</v>
      </c>
      <c r="N38" s="12" t="n">
        <f aca="true">IF(AND(TRIM($A38)="Finalized",$K38&lt;&gt;""),"",IF($D38="","",$D38+90-TODAY()))</f>
        <v>-65</v>
      </c>
      <c r="O38" s="11" t="n">
        <f aca="false">IF(AND(TRIM($A38)="Finalized",$K38&lt;&gt;""),"",DATE(2026,4,24))</f>
        <v>46136</v>
      </c>
      <c r="P38" s="10" t="s">
        <v>395</v>
      </c>
      <c r="Q38" s="10" t="s">
        <v>396</v>
      </c>
      <c r="R38" s="10" t="s">
        <v>165</v>
      </c>
      <c r="S38" s="10" t="s">
        <v>116</v>
      </c>
      <c r="T38" s="10" t="s">
        <v>165</v>
      </c>
      <c r="U38" s="10" t="s">
        <v>116</v>
      </c>
      <c r="V38" s="10" t="s">
        <v>118</v>
      </c>
      <c r="W38" s="10" t="s">
        <v>119</v>
      </c>
      <c r="X38" s="10" t="s">
        <v>229</v>
      </c>
      <c r="Y38" s="10"/>
      <c r="Z38" s="10"/>
      <c r="AA38" s="10" t="s">
        <v>121</v>
      </c>
      <c r="AB38" s="8" t="n">
        <f aca="true">IF($F38="","",TODAY()-$F38)</f>
        <v>270</v>
      </c>
      <c r="AC38" s="10" t="s">
        <v>122</v>
      </c>
      <c r="AD38" s="10"/>
      <c r="AE38" s="10"/>
      <c r="AF38" s="10"/>
      <c r="AG38" s="10"/>
      <c r="AH38" s="10"/>
      <c r="AI38" s="10"/>
      <c r="AJ38" s="10" t="s">
        <v>123</v>
      </c>
      <c r="AK38" s="10" t="s">
        <v>254</v>
      </c>
      <c r="AL38" s="10" t="s">
        <v>139</v>
      </c>
      <c r="AM38" s="10"/>
      <c r="AN38" s="8" t="n">
        <v>551367817</v>
      </c>
      <c r="AO38" s="10" t="s">
        <v>326</v>
      </c>
      <c r="AP38" s="10" t="s">
        <v>156</v>
      </c>
      <c r="AQ38" s="11" t="n">
        <v>46063</v>
      </c>
      <c r="AR38" s="13"/>
      <c r="AS38" s="13"/>
      <c r="AT38" s="13"/>
      <c r="AU38" s="13"/>
      <c r="AV38" s="13" t="s">
        <v>122</v>
      </c>
      <c r="AW38" s="13"/>
      <c r="AX38" s="13" t="s">
        <v>397</v>
      </c>
      <c r="AY38" s="7" t="s">
        <v>159</v>
      </c>
      <c r="AZ38" s="7"/>
      <c r="BA38" s="7" t="s">
        <v>40</v>
      </c>
      <c r="BB38" s="7"/>
      <c r="BC38" s="7"/>
      <c r="BD38" s="9" t="n">
        <v>46166</v>
      </c>
      <c r="BE38" s="7" t="s">
        <v>337</v>
      </c>
      <c r="BF38" s="14" t="str">
        <f aca="true">IF(TRIM($A38)="Finalized","Closed",IF($BD38="","No review date set",IF($BD38&lt;TODAY(),"OVERDUE",IF($BD38-TODAY()&lt;=7,"Due within 7 days","Scheduled"))))</f>
        <v>OVERDUE</v>
      </c>
      <c r="BG38" s="14" t="n">
        <f aca="true">IF($K38="","",TODAY()-$K38)</f>
        <v>175</v>
      </c>
      <c r="BH38" s="15" t="str">
        <f aca="false">IFERROR(LEFT(IF($B38="","Notes, ","")&amp;IF($K38="","Latest Date Worked, ","")&amp;IF($AY38="","Last Action, ","")&amp;IF(AND(OR(TRIM($A38)="Denied",TRIM($A38)="Rejected"),$BA38=""),"Denial Reason, ","")&amp;IF(AND(TRIM($A38)="Denied",$BB38="",TRIM($BA38)&lt;&gt;"NO DENIAL"),"Denial Code, ","")&amp;IF(AND(TRIM($A38)&lt;&gt;"Finalized",$BD38=""),"Next Review Date, ","")&amp;IF(AND(TRIM($A38)&lt;&gt;"Finalized",$BE38=""),"Next Step, ","")&amp;IF(AND(TRIM($A38)="Finalized",$AV38="",$AR38="",$AT38="",$AX38="",$AW38=""),"CPT outcome, ",""),LEN(IF($B38="","Notes, ","")&amp;IF($K38="","Latest Date Worked, ","")&amp;IF($AY38="","Last Action, ","")&amp;IF(AND(OR(TRIM($A38)="Denied",TRIM($A38)="Rejected"),$BA38=""),"Denial Reason, ","")&amp;IF(AND(TRIM($A38)="Denied",$BB38="",TRIM($BA38)&lt;&gt;"NO DENIAL"),"Denial Code, ","")&amp;IF(AND(TRIM($A38)&lt;&gt;"Finalized",$BD38=""),"Next Review Date, ","")&amp;IF(AND(TRIM($A38)&lt;&gt;"Finalized",$BE38=""),"Next Step, ","")&amp;IF(AND(TRIM($A38)="Finalized",$AV38="",$AR38="",$AT38="",$AX38="",$AW38=""),"CPT outcome, ",""))-2),"")</f>
        <v/>
      </c>
      <c r="BI38" s="15" t="str">
        <f aca="false">IF($BB38="","",IFERROR(INDEX('Denial Codes'!$C:$C,MATCH(LEFT($BB38,FIND(" - ",$BB38&amp;" - ")+2)&amp;"*",'Denial Codes'!$A:$A,0)),""))</f>
        <v/>
      </c>
      <c r="BJ38" s="15" t="str">
        <f aca="false">IF($BA38="","",IFERROR(INDEX(Lists!$B:$B,MATCH(TRIM($BA38),Lists!$A:$A,0))&amp;"",""))</f>
        <v>Fix the code, units, charge or other claim data and resubmit as a corrected claim.</v>
      </c>
    </row>
    <row r="39" customFormat="false" ht="15" hidden="false" customHeight="false" outlineLevel="0" collapsed="false">
      <c r="A39" s="7" t="s">
        <v>22</v>
      </c>
      <c r="B39" s="7" t="s">
        <v>398</v>
      </c>
      <c r="C39" s="8" t="n">
        <v>555599776</v>
      </c>
      <c r="D39" s="9" t="n">
        <v>46128</v>
      </c>
      <c r="E39" s="10" t="s">
        <v>399</v>
      </c>
      <c r="F39" s="11" t="n">
        <v>46049</v>
      </c>
      <c r="G39" s="10" t="s">
        <v>163</v>
      </c>
      <c r="H39" s="10" t="s">
        <v>163</v>
      </c>
      <c r="I39" s="10" t="s">
        <v>129</v>
      </c>
      <c r="J39" s="10" t="s">
        <v>400</v>
      </c>
      <c r="K39" s="9" t="n">
        <v>46122</v>
      </c>
      <c r="L39" s="12" t="n">
        <f aca="true">IF($O39="","",$O39-TODAY())</f>
        <v>-172</v>
      </c>
      <c r="M39" s="12" t="n">
        <f aca="true">IF(AND(TRIM($A39)="Finalized",$K39&lt;&gt;""),"",IF($F39="","",$F39+90-TODAY()))</f>
        <v>-172</v>
      </c>
      <c r="N39" s="12" t="n">
        <f aca="true">IF(AND(TRIM($A39)="Finalized",$K39&lt;&gt;""),"",IF($D39="","",$D39+365-TODAY()))</f>
        <v>182</v>
      </c>
      <c r="O39" s="11" t="n">
        <f aca="false">IF(AND(TRIM($A39)="Finalized",$K39&lt;&gt;""),"",DATE(2026,4,27))</f>
        <v>46139</v>
      </c>
      <c r="P39" s="10" t="s">
        <v>165</v>
      </c>
      <c r="Q39" s="10" t="s">
        <v>166</v>
      </c>
      <c r="R39" s="10" t="s">
        <v>165</v>
      </c>
      <c r="S39" s="10" t="s">
        <v>149</v>
      </c>
      <c r="T39" s="10" t="s">
        <v>114</v>
      </c>
      <c r="U39" s="10" t="s">
        <v>116</v>
      </c>
      <c r="V39" s="10" t="s">
        <v>118</v>
      </c>
      <c r="W39" s="10" t="s">
        <v>183</v>
      </c>
      <c r="X39" s="10"/>
      <c r="Y39" s="10"/>
      <c r="Z39" s="10"/>
      <c r="AA39" s="10" t="s">
        <v>197</v>
      </c>
      <c r="AB39" s="8" t="n">
        <f aca="true">IF($F39="","",TODAY()-$F39)</f>
        <v>262</v>
      </c>
      <c r="AC39" s="10" t="s">
        <v>185</v>
      </c>
      <c r="AD39" s="10" t="s">
        <v>184</v>
      </c>
      <c r="AE39" s="10"/>
      <c r="AF39" s="10"/>
      <c r="AG39" s="10"/>
      <c r="AH39" s="10"/>
      <c r="AI39" s="10"/>
      <c r="AJ39" s="10" t="s">
        <v>340</v>
      </c>
      <c r="AK39" s="10"/>
      <c r="AL39" s="10"/>
      <c r="AM39" s="10"/>
      <c r="AN39" s="8"/>
      <c r="AO39" s="10" t="s">
        <v>359</v>
      </c>
      <c r="AP39" s="10" t="s">
        <v>308</v>
      </c>
      <c r="AQ39" s="11" t="n">
        <v>46057</v>
      </c>
      <c r="AR39" s="13"/>
      <c r="AS39" s="13"/>
      <c r="AT39" s="13"/>
      <c r="AU39" s="13"/>
      <c r="AV39" s="13"/>
      <c r="AW39" s="13"/>
      <c r="AX39" s="13"/>
      <c r="AY39" s="7" t="s">
        <v>159</v>
      </c>
      <c r="AZ39" s="7"/>
      <c r="BA39" s="7"/>
      <c r="BB39" s="7"/>
      <c r="BC39" s="7"/>
      <c r="BD39" s="9" t="n">
        <v>46152</v>
      </c>
      <c r="BE39" s="7"/>
      <c r="BF39" s="14" t="str">
        <f aca="true">IF(TRIM($A39)="Finalized","Closed",IF($BD39="","No review date set",IF($BD39&lt;TODAY(),"OVERDUE",IF($BD39-TODAY()&lt;=7,"Due within 7 days","Scheduled"))))</f>
        <v>OVERDUE</v>
      </c>
      <c r="BG39" s="14" t="n">
        <f aca="true">IF($K39="","",TODAY()-$K39)</f>
        <v>189</v>
      </c>
      <c r="BH39" s="15" t="str">
        <f aca="false">IFERROR(LEFT(IF($B39="","Notes, ","")&amp;IF($K39="","Latest Date Worked, ","")&amp;IF($AY39="","Last Action, ","")&amp;IF(AND(OR(TRIM($A39)="Denied",TRIM($A39)="Rejected"),$BA39=""),"Denial Reason, ","")&amp;IF(AND(TRIM($A39)="Denied",$BB39="",TRIM($BA39)&lt;&gt;"NO DENIAL"),"Denial Code, ","")&amp;IF(AND(TRIM($A39)&lt;&gt;"Finalized",$BD39=""),"Next Review Date, ","")&amp;IF(AND(TRIM($A39)&lt;&gt;"Finalized",$BE39=""),"Next Step, ","")&amp;IF(AND(TRIM($A39)="Finalized",$AV39="",$AR39="",$AT39="",$AX39="",$AW39=""),"CPT outcome, ",""),LEN(IF($B39="","Notes, ","")&amp;IF($K39="","Latest Date Worked, ","")&amp;IF($AY39="","Last Action, ","")&amp;IF(AND(OR(TRIM($A39)="Denied",TRIM($A39)="Rejected"),$BA39=""),"Denial Reason, ","")&amp;IF(AND(TRIM($A39)="Denied",$BB39="",TRIM($BA39)&lt;&gt;"NO DENIAL"),"Denial Code, ","")&amp;IF(AND(TRIM($A39)&lt;&gt;"Finalized",$BD39=""),"Next Review Date, ","")&amp;IF(AND(TRIM($A39)&lt;&gt;"Finalized",$BE39=""),"Next Step, ","")&amp;IF(AND(TRIM($A39)="Finalized",$AV39="",$AR39="",$AT39="",$AX39="",$AW39=""),"CPT outcome, ",""))-2),"")</f>
        <v>Next Step</v>
      </c>
      <c r="BI39" s="15" t="str">
        <f aca="false">IF($BB39="","",IFERROR(INDEX('Denial Codes'!$C:$C,MATCH(LEFT($BB39,FIND(" - ",$BB39&amp;" - ")+2)&amp;"*",'Denial Codes'!$A:$A,0)),""))</f>
        <v/>
      </c>
      <c r="BJ39" s="15" t="str">
        <f aca="false">IF($BA39="","",IFERROR(INDEX(Lists!$B:$B,MATCH(TRIM($BA39),Lists!$A:$A,0))&amp;"",""))</f>
        <v/>
      </c>
    </row>
    <row r="40" customFormat="false" ht="15" hidden="false" customHeight="false" outlineLevel="0" collapsed="false">
      <c r="A40" s="7" t="s">
        <v>17</v>
      </c>
      <c r="B40" s="7" t="s">
        <v>401</v>
      </c>
      <c r="C40" s="8" t="n">
        <v>573875345</v>
      </c>
      <c r="D40" s="9" t="n">
        <v>46287</v>
      </c>
      <c r="E40" s="10" t="s">
        <v>402</v>
      </c>
      <c r="F40" s="11" t="n">
        <v>46049</v>
      </c>
      <c r="G40" s="10" t="s">
        <v>369</v>
      </c>
      <c r="H40" s="10" t="s">
        <v>369</v>
      </c>
      <c r="I40" s="10" t="s">
        <v>129</v>
      </c>
      <c r="J40" s="10" t="s">
        <v>370</v>
      </c>
      <c r="K40" s="9" t="n">
        <v>46300</v>
      </c>
      <c r="L40" s="12" t="n">
        <f aca="true">IF($O40="","",$O40-TODAY())</f>
        <v>-172</v>
      </c>
      <c r="M40" s="12" t="n">
        <f aca="true">IF(AND(TRIM($A40)="Finalized",$K40&lt;&gt;""),"",IF($D40="","",$D40+365-TODAY()))</f>
        <v>341</v>
      </c>
      <c r="N40" s="12" t="n">
        <f aca="true">IF(AND(TRIM($A40)="Finalized",$K40&lt;&gt;""),"",IF($D40="","",$D40+365-TODAY()))</f>
        <v>341</v>
      </c>
      <c r="O40" s="11" t="n">
        <f aca="false">IF(AND(TRIM($A40)="Finalized",$K40&lt;&gt;""),"",DATE(2026,4,27))</f>
        <v>46139</v>
      </c>
      <c r="P40" s="10" t="s">
        <v>165</v>
      </c>
      <c r="Q40" s="10" t="s">
        <v>371</v>
      </c>
      <c r="R40" s="10" t="s">
        <v>114</v>
      </c>
      <c r="S40" s="10" t="s">
        <v>116</v>
      </c>
      <c r="T40" s="10" t="s">
        <v>114</v>
      </c>
      <c r="U40" s="10" t="s">
        <v>116</v>
      </c>
      <c r="V40" s="10" t="s">
        <v>118</v>
      </c>
      <c r="W40" s="10" t="s">
        <v>183</v>
      </c>
      <c r="X40" s="10"/>
      <c r="Y40" s="10"/>
      <c r="Z40" s="10"/>
      <c r="AA40" s="10" t="s">
        <v>197</v>
      </c>
      <c r="AB40" s="8" t="n">
        <f aca="true">IF($F40="","",TODAY()-$F40)</f>
        <v>262</v>
      </c>
      <c r="AC40" s="10" t="s">
        <v>211</v>
      </c>
      <c r="AD40" s="10"/>
      <c r="AE40" s="10"/>
      <c r="AF40" s="10"/>
      <c r="AG40" s="10"/>
      <c r="AH40" s="10"/>
      <c r="AI40" s="10"/>
      <c r="AJ40" s="10" t="s">
        <v>403</v>
      </c>
      <c r="AK40" s="10" t="s">
        <v>385</v>
      </c>
      <c r="AL40" s="10"/>
      <c r="AM40" s="10"/>
      <c r="AN40" s="8"/>
      <c r="AO40" s="10" t="s">
        <v>359</v>
      </c>
      <c r="AP40" s="10" t="s">
        <v>404</v>
      </c>
      <c r="AQ40" s="11" t="n">
        <v>46056</v>
      </c>
      <c r="AR40" s="13"/>
      <c r="AS40" s="13"/>
      <c r="AT40" s="13"/>
      <c r="AU40" s="13"/>
      <c r="AV40" s="13"/>
      <c r="AW40" s="13"/>
      <c r="AX40" s="13" t="s">
        <v>405</v>
      </c>
      <c r="AY40" s="7" t="s">
        <v>159</v>
      </c>
      <c r="AZ40" s="7" t="s">
        <v>406</v>
      </c>
      <c r="BA40" s="7" t="s">
        <v>40</v>
      </c>
      <c r="BB40" s="7" t="s">
        <v>372</v>
      </c>
      <c r="BC40" s="7" t="s">
        <v>407</v>
      </c>
      <c r="BD40" s="9" t="n">
        <v>46331</v>
      </c>
      <c r="BE40" s="7"/>
      <c r="BF40" s="14" t="str">
        <f aca="true">IF(TRIM($A40)="Finalized","Closed",IF($BD40="","No review date set",IF($BD40&lt;TODAY(),"OVERDUE",IF($BD40-TODAY()&lt;=7,"Due within 7 days","Scheduled"))))</f>
        <v>Scheduled</v>
      </c>
      <c r="BG40" s="14" t="n">
        <f aca="true">IF($K40="","",TODAY()-$K40)</f>
        <v>11</v>
      </c>
      <c r="BH40" s="15" t="str">
        <f aca="false">IFERROR(LEFT(IF($B40="","Notes, ","")&amp;IF($K40="","Latest Date Worked, ","")&amp;IF($AY40="","Last Action, ","")&amp;IF(AND(OR(TRIM($A40)="Denied",TRIM($A40)="Rejected"),$BA40=""),"Denial Reason, ","")&amp;IF(AND(TRIM($A40)="Denied",$BB40="",TRIM($BA40)&lt;&gt;"NO DENIAL"),"Denial Code, ","")&amp;IF(AND(TRIM($A40)&lt;&gt;"Finalized",$BD40=""),"Next Review Date, ","")&amp;IF(AND(TRIM($A40)&lt;&gt;"Finalized",$BE40=""),"Next Step, ","")&amp;IF(AND(TRIM($A40)="Finalized",$AV40="",$AR40="",$AT40="",$AX40="",$AW40=""),"CPT outcome, ",""),LEN(IF($B40="","Notes, ","")&amp;IF($K40="","Latest Date Worked, ","")&amp;IF($AY40="","Last Action, ","")&amp;IF(AND(OR(TRIM($A40)="Denied",TRIM($A40)="Rejected"),$BA40=""),"Denial Reason, ","")&amp;IF(AND(TRIM($A40)="Denied",$BB40="",TRIM($BA40)&lt;&gt;"NO DENIAL"),"Denial Code, ","")&amp;IF(AND(TRIM($A40)&lt;&gt;"Finalized",$BD40=""),"Next Review Date, ","")&amp;IF(AND(TRIM($A40)&lt;&gt;"Finalized",$BE40=""),"Next Step, ","")&amp;IF(AND(TRIM($A40)="Finalized",$AV40="",$AR40="",$AT40="",$AX40="",$AW40=""),"CPT outcome, ",""))-2),"")</f>
        <v>Next Step</v>
      </c>
      <c r="BI40" s="15" t="str">
        <f aca="false">IF($BB40="","",IFERROR(INDEX('Denial Codes'!$C:$C,MATCH(LEFT($BB40,FIND(" - ",$BB40&amp;" - ")+2)&amp;"*",'Denial Codes'!$A:$A,0)),""))</f>
        <v>Coding / billing error</v>
      </c>
      <c r="BJ40" s="15" t="str">
        <f aca="false">IF($BA40="","",IFERROR(INDEX(Lists!$B:$B,MATCH(TRIM($BA40),Lists!$A:$A,0))&amp;"",""))</f>
        <v>Fix the code, units, charge or other claim data and resubmit as a corrected claim.</v>
      </c>
    </row>
    <row r="41" customFormat="false" ht="15" hidden="false" customHeight="false" outlineLevel="0" collapsed="false">
      <c r="A41" s="7" t="s">
        <v>19</v>
      </c>
      <c r="B41" s="7" t="s">
        <v>408</v>
      </c>
      <c r="C41" s="8" t="n">
        <v>547976909</v>
      </c>
      <c r="D41" s="9" t="n">
        <v>46066</v>
      </c>
      <c r="E41" s="10" t="s">
        <v>409</v>
      </c>
      <c r="F41" s="11" t="n">
        <v>46051</v>
      </c>
      <c r="G41" s="10" t="s">
        <v>163</v>
      </c>
      <c r="H41" s="10" t="s">
        <v>163</v>
      </c>
      <c r="I41" s="10" t="s">
        <v>410</v>
      </c>
      <c r="J41" s="10" t="s">
        <v>370</v>
      </c>
      <c r="K41" s="9" t="n">
        <v>46245</v>
      </c>
      <c r="L41" s="12" t="n">
        <f aca="true">IF($O41="","",$O41-TODAY())</f>
        <v>-170</v>
      </c>
      <c r="M41" s="12" t="n">
        <f aca="true">IF(AND(TRIM($A41)="Finalized",$K41&lt;&gt;""),"",IF($F41="","",$F41+90-TODAY()))</f>
        <v>-170</v>
      </c>
      <c r="N41" s="12" t="n">
        <f aca="true">IF(AND(TRIM($A41)="Finalized",$K41&lt;&gt;""),"",IF($D41="","",$D41+365-TODAY()))</f>
        <v>120</v>
      </c>
      <c r="O41" s="11" t="n">
        <f aca="false">IF(AND(TRIM($A41)="Finalized",$K41&lt;&gt;""),"",DATE(2026,4,29))</f>
        <v>46141</v>
      </c>
      <c r="P41" s="10" t="s">
        <v>165</v>
      </c>
      <c r="Q41" s="10" t="s">
        <v>166</v>
      </c>
      <c r="R41" s="10" t="s">
        <v>165</v>
      </c>
      <c r="S41" s="10" t="s">
        <v>149</v>
      </c>
      <c r="T41" s="10" t="s">
        <v>114</v>
      </c>
      <c r="U41" s="10" t="s">
        <v>116</v>
      </c>
      <c r="V41" s="10" t="s">
        <v>118</v>
      </c>
      <c r="W41" s="10" t="s">
        <v>183</v>
      </c>
      <c r="X41" s="10"/>
      <c r="Y41" s="10"/>
      <c r="Z41" s="10"/>
      <c r="AA41" s="10" t="s">
        <v>197</v>
      </c>
      <c r="AB41" s="8" t="n">
        <f aca="true">IF($F41="","",TODAY()-$F41)</f>
        <v>260</v>
      </c>
      <c r="AC41" s="10" t="s">
        <v>211</v>
      </c>
      <c r="AD41" s="10"/>
      <c r="AE41" s="10"/>
      <c r="AF41" s="10"/>
      <c r="AG41" s="10"/>
      <c r="AH41" s="10"/>
      <c r="AI41" s="10"/>
      <c r="AJ41" s="10" t="s">
        <v>212</v>
      </c>
      <c r="AK41" s="10"/>
      <c r="AL41" s="10"/>
      <c r="AM41" s="10"/>
      <c r="AN41" s="8"/>
      <c r="AO41" s="10" t="s">
        <v>213</v>
      </c>
      <c r="AP41" s="10" t="s">
        <v>188</v>
      </c>
      <c r="AQ41" s="11" t="n">
        <v>46056</v>
      </c>
      <c r="AR41" s="13"/>
      <c r="AS41" s="13"/>
      <c r="AT41" s="13"/>
      <c r="AU41" s="13"/>
      <c r="AV41" s="13"/>
      <c r="AW41" s="13"/>
      <c r="AX41" s="13"/>
      <c r="AY41" s="7"/>
      <c r="AZ41" s="7" t="s">
        <v>411</v>
      </c>
      <c r="BA41" s="7" t="s">
        <v>45</v>
      </c>
      <c r="BB41" s="7"/>
      <c r="BC41" s="7"/>
      <c r="BD41" s="9" t="n">
        <v>46276</v>
      </c>
      <c r="BE41" s="7" t="s">
        <v>412</v>
      </c>
      <c r="BF41" s="14" t="str">
        <f aca="true">IF(TRIM($A41)="Finalized","Closed",IF($BD41="","No review date set",IF($BD41&lt;TODAY(),"OVERDUE",IF($BD41-TODAY()&lt;=7,"Due within 7 days","Scheduled"))))</f>
        <v>OVERDUE</v>
      </c>
      <c r="BG41" s="14" t="n">
        <f aca="true">IF($K41="","",TODAY()-$K41)</f>
        <v>66</v>
      </c>
      <c r="BH41" s="15" t="str">
        <f aca="false">IFERROR(LEFT(IF($B41="","Notes, ","")&amp;IF($K41="","Latest Date Worked, ","")&amp;IF($AY41="","Last Action, ","")&amp;IF(AND(OR(TRIM($A41)="Denied",TRIM($A41)="Rejected"),$BA41=""),"Denial Reason, ","")&amp;IF(AND(TRIM($A41)="Denied",$BB41="",TRIM($BA41)&lt;&gt;"NO DENIAL"),"Denial Code, ","")&amp;IF(AND(TRIM($A41)&lt;&gt;"Finalized",$BD41=""),"Next Review Date, ","")&amp;IF(AND(TRIM($A41)&lt;&gt;"Finalized",$BE41=""),"Next Step, ","")&amp;IF(AND(TRIM($A41)="Finalized",$AV41="",$AR41="",$AT41="",$AX41="",$AW41=""),"CPT outcome, ",""),LEN(IF($B41="","Notes, ","")&amp;IF($K41="","Latest Date Worked, ","")&amp;IF($AY41="","Last Action, ","")&amp;IF(AND(OR(TRIM($A41)="Denied",TRIM($A41)="Rejected"),$BA41=""),"Denial Reason, ","")&amp;IF(AND(TRIM($A41)="Denied",$BB41="",TRIM($BA41)&lt;&gt;"NO DENIAL"),"Denial Code, ","")&amp;IF(AND(TRIM($A41)&lt;&gt;"Finalized",$BD41=""),"Next Review Date, ","")&amp;IF(AND(TRIM($A41)&lt;&gt;"Finalized",$BE41=""),"Next Step, ","")&amp;IF(AND(TRIM($A41)="Finalized",$AV41="",$AR41="",$AT41="",$AX41="",$AW41=""),"CPT outcome, ",""))-2),"")</f>
        <v>Last Action</v>
      </c>
      <c r="BI41" s="15" t="str">
        <f aca="false">IF($BB41="","",IFERROR(INDEX('Denial Codes'!$C:$C,MATCH(LEFT($BB41,FIND(" - ",$BB41&amp;" - ")+2)&amp;"*",'Denial Codes'!$A:$A,0)),""))</f>
        <v/>
      </c>
      <c r="BJ41" s="15" t="str">
        <f aca="false">IF($BA41="","",IFERROR(INDEX(Lists!$B:$B,MATCH(TRIM($BA41),Lists!$A:$A,0))&amp;"",""))</f>
        <v>Get the other insurance and primary EOB, update COB with the payer and bill primary first.</v>
      </c>
    </row>
    <row r="42" customFormat="false" ht="15" hidden="false" customHeight="false" outlineLevel="0" collapsed="false">
      <c r="A42" s="7" t="s">
        <v>17</v>
      </c>
      <c r="B42" s="7" t="s">
        <v>413</v>
      </c>
      <c r="C42" s="8" t="n">
        <v>548573158</v>
      </c>
      <c r="D42" s="9" t="n">
        <v>46156</v>
      </c>
      <c r="E42" s="10" t="s">
        <v>353</v>
      </c>
      <c r="F42" s="11" t="n">
        <v>46051</v>
      </c>
      <c r="G42" s="10" t="s">
        <v>180</v>
      </c>
      <c r="H42" s="10" t="s">
        <v>180</v>
      </c>
      <c r="I42" s="10" t="s">
        <v>129</v>
      </c>
      <c r="J42" s="10" t="s">
        <v>194</v>
      </c>
      <c r="K42" s="9" t="n">
        <v>46305</v>
      </c>
      <c r="L42" s="12" t="n">
        <f aca="true">IF($O42="","",$O42-TODAY())</f>
        <v>-170</v>
      </c>
      <c r="M42" s="12" t="n">
        <f aca="true">IF(AND(TRIM($A42)="Finalized",$K42&lt;&gt;""),"",IF($D42="","",$D42+180-TODAY()))</f>
        <v>25</v>
      </c>
      <c r="N42" s="12" t="n">
        <f aca="true">IF(AND(TRIM($A42)="Finalized",$K42&lt;&gt;""),"",IF($D42="","",$D42+365-TODAY()))</f>
        <v>210</v>
      </c>
      <c r="O42" s="11" t="n">
        <f aca="false">IF(AND(TRIM($A42)="Finalized",$K42&lt;&gt;""),"",DATE(2026,4,29))</f>
        <v>46141</v>
      </c>
      <c r="P42" s="10" t="s">
        <v>165</v>
      </c>
      <c r="Q42" s="10" t="s">
        <v>182</v>
      </c>
      <c r="R42" s="10" t="s">
        <v>147</v>
      </c>
      <c r="S42" s="10" t="s">
        <v>116</v>
      </c>
      <c r="T42" s="10" t="s">
        <v>114</v>
      </c>
      <c r="U42" s="10" t="s">
        <v>116</v>
      </c>
      <c r="V42" s="10" t="s">
        <v>118</v>
      </c>
      <c r="W42" s="10" t="s">
        <v>196</v>
      </c>
      <c r="X42" s="10"/>
      <c r="Y42" s="10"/>
      <c r="Z42" s="10"/>
      <c r="AA42" s="10" t="s">
        <v>197</v>
      </c>
      <c r="AB42" s="8" t="n">
        <f aca="true">IF($F42="","",TODAY()-$F42)</f>
        <v>260</v>
      </c>
      <c r="AC42" s="10" t="s">
        <v>198</v>
      </c>
      <c r="AD42" s="10"/>
      <c r="AE42" s="10"/>
      <c r="AF42" s="10"/>
      <c r="AG42" s="10"/>
      <c r="AH42" s="10"/>
      <c r="AI42" s="10"/>
      <c r="AJ42" s="10" t="s">
        <v>375</v>
      </c>
      <c r="AK42" s="10" t="s">
        <v>414</v>
      </c>
      <c r="AL42" s="10" t="s">
        <v>415</v>
      </c>
      <c r="AM42" s="10"/>
      <c r="AN42" s="8"/>
      <c r="AO42" s="10" t="s">
        <v>213</v>
      </c>
      <c r="AP42" s="10" t="s">
        <v>188</v>
      </c>
      <c r="AQ42" s="11" t="n">
        <v>46058</v>
      </c>
      <c r="AR42" s="13"/>
      <c r="AS42" s="13"/>
      <c r="AT42" s="13"/>
      <c r="AU42" s="13"/>
      <c r="AV42" s="13"/>
      <c r="AW42" s="13"/>
      <c r="AX42" s="13" t="s">
        <v>198</v>
      </c>
      <c r="AY42" s="7" t="s">
        <v>354</v>
      </c>
      <c r="AZ42" s="7" t="s">
        <v>203</v>
      </c>
      <c r="BA42" s="7" t="s">
        <v>43</v>
      </c>
      <c r="BB42" s="7" t="s">
        <v>416</v>
      </c>
      <c r="BC42" s="7" t="s">
        <v>417</v>
      </c>
      <c r="BD42" s="9" t="n">
        <v>46336</v>
      </c>
      <c r="BE42" s="7"/>
      <c r="BF42" s="14" t="str">
        <f aca="true">IF(TRIM($A42)="Finalized","Closed",IF($BD42="","No review date set",IF($BD42&lt;TODAY(),"OVERDUE",IF($BD42-TODAY()&lt;=7,"Due within 7 days","Scheduled"))))</f>
        <v>Scheduled</v>
      </c>
      <c r="BG42" s="14" t="n">
        <f aca="true">IF($K42="","",TODAY()-$K42)</f>
        <v>6</v>
      </c>
      <c r="BH42" s="15" t="str">
        <f aca="false">IFERROR(LEFT(IF($B42="","Notes, ","")&amp;IF($K42="","Latest Date Worked, ","")&amp;IF($AY42="","Last Action, ","")&amp;IF(AND(OR(TRIM($A42)="Denied",TRIM($A42)="Rejected"),$BA42=""),"Denial Reason, ","")&amp;IF(AND(TRIM($A42)="Denied",$BB42="",TRIM($BA42)&lt;&gt;"NO DENIAL"),"Denial Code, ","")&amp;IF(AND(TRIM($A42)&lt;&gt;"Finalized",$BD42=""),"Next Review Date, ","")&amp;IF(AND(TRIM($A42)&lt;&gt;"Finalized",$BE42=""),"Next Step, ","")&amp;IF(AND(TRIM($A42)="Finalized",$AV42="",$AR42="",$AT42="",$AX42="",$AW42=""),"CPT outcome, ",""),LEN(IF($B42="","Notes, ","")&amp;IF($K42="","Latest Date Worked, ","")&amp;IF($AY42="","Last Action, ","")&amp;IF(AND(OR(TRIM($A42)="Denied",TRIM($A42)="Rejected"),$BA42=""),"Denial Reason, ","")&amp;IF(AND(TRIM($A42)="Denied",$BB42="",TRIM($BA42)&lt;&gt;"NO DENIAL"),"Denial Code, ","")&amp;IF(AND(TRIM($A42)&lt;&gt;"Finalized",$BD42=""),"Next Review Date, ","")&amp;IF(AND(TRIM($A42)&lt;&gt;"Finalized",$BE42=""),"Next Step, ","")&amp;IF(AND(TRIM($A42)="Finalized",$AV42="",$AR42="",$AT42="",$AX42="",$AW42=""),"CPT outcome, ",""))-2),"")</f>
        <v>Next Step</v>
      </c>
      <c r="BI42" s="15" t="str">
        <f aca="false">IF($BB42="","",IFERROR(INDEX('Denial Codes'!$C:$C,MATCH(LEFT($BB42,FIND(" - ",$BB42&amp;" - ")+2)&amp;"*",'Denial Codes'!$A:$A,0)),""))</f>
        <v>Medical necessity / frequency</v>
      </c>
      <c r="BJ42" s="15" t="str">
        <f aca="false">IF($BA42="","",IFERROR(INDEX(Lists!$B:$B,MATCH(TRIM($BA42),Lists!$A:$A,0))&amp;"",""))</f>
        <v>Appeal with medical records and a letter of medical necessity; check LCD/MUE limits.</v>
      </c>
    </row>
    <row r="43" customFormat="false" ht="15" hidden="false" customHeight="false" outlineLevel="0" collapsed="false">
      <c r="A43" s="7" t="s">
        <v>17</v>
      </c>
      <c r="B43" s="7" t="s">
        <v>418</v>
      </c>
      <c r="C43" s="8" t="n">
        <v>548676737</v>
      </c>
      <c r="D43" s="9" t="n">
        <v>46098</v>
      </c>
      <c r="E43" s="10" t="s">
        <v>419</v>
      </c>
      <c r="F43" s="11" t="n">
        <v>46056</v>
      </c>
      <c r="G43" s="10" t="s">
        <v>163</v>
      </c>
      <c r="H43" s="10" t="s">
        <v>163</v>
      </c>
      <c r="I43" s="10" t="s">
        <v>129</v>
      </c>
      <c r="J43" s="10" t="s">
        <v>209</v>
      </c>
      <c r="K43" s="9" t="n">
        <v>46183</v>
      </c>
      <c r="L43" s="12" t="n">
        <f aca="true">IF($O43="","",$O43-TODAY())</f>
        <v>-165</v>
      </c>
      <c r="M43" s="12" t="n">
        <f aca="true">IF(AND(TRIM($A43)="Finalized",$K43&lt;&gt;""),"",IF($F43="","",$F43+90-TODAY()))</f>
        <v>-165</v>
      </c>
      <c r="N43" s="12" t="n">
        <f aca="true">IF(AND(TRIM($A43)="Finalized",$K43&lt;&gt;""),"",IF($D43="","",$D43+365-TODAY()))</f>
        <v>152</v>
      </c>
      <c r="O43" s="11" t="n">
        <f aca="false">IF(AND(TRIM($A43)="Finalized",$K43&lt;&gt;""),"",DATE(2026,5,4))</f>
        <v>46146</v>
      </c>
      <c r="P43" s="10" t="s">
        <v>165</v>
      </c>
      <c r="Q43" s="10" t="s">
        <v>166</v>
      </c>
      <c r="R43" s="10" t="s">
        <v>165</v>
      </c>
      <c r="S43" s="10" t="s">
        <v>149</v>
      </c>
      <c r="T43" s="10" t="s">
        <v>114</v>
      </c>
      <c r="U43" s="10" t="s">
        <v>116</v>
      </c>
      <c r="V43" s="10" t="s">
        <v>150</v>
      </c>
      <c r="W43" s="10" t="s">
        <v>183</v>
      </c>
      <c r="X43" s="10"/>
      <c r="Y43" s="10"/>
      <c r="Z43" s="10"/>
      <c r="AA43" s="10" t="s">
        <v>197</v>
      </c>
      <c r="AB43" s="8" t="n">
        <f aca="true">IF($F43="","",TODAY()-$F43)</f>
        <v>255</v>
      </c>
      <c r="AC43" s="10" t="s">
        <v>184</v>
      </c>
      <c r="AD43" s="10" t="s">
        <v>211</v>
      </c>
      <c r="AE43" s="10"/>
      <c r="AF43" s="10"/>
      <c r="AG43" s="10"/>
      <c r="AH43" s="10"/>
      <c r="AI43" s="10"/>
      <c r="AJ43" s="10" t="s">
        <v>340</v>
      </c>
      <c r="AK43" s="10"/>
      <c r="AL43" s="10"/>
      <c r="AM43" s="10"/>
      <c r="AN43" s="8"/>
      <c r="AO43" s="10" t="s">
        <v>201</v>
      </c>
      <c r="AP43" s="10" t="s">
        <v>404</v>
      </c>
      <c r="AQ43" s="11" t="n">
        <v>46086</v>
      </c>
      <c r="AR43" s="13"/>
      <c r="AS43" s="13"/>
      <c r="AT43" s="13"/>
      <c r="AU43" s="13"/>
      <c r="AV43" s="13"/>
      <c r="AW43" s="13"/>
      <c r="AX43" s="13"/>
      <c r="AY43" s="7" t="s">
        <v>328</v>
      </c>
      <c r="AZ43" s="7"/>
      <c r="BA43" s="7" t="s">
        <v>47</v>
      </c>
      <c r="BB43" s="7"/>
      <c r="BC43" s="7" t="s">
        <v>420</v>
      </c>
      <c r="BD43" s="9" t="n">
        <v>46213</v>
      </c>
      <c r="BE43" s="7"/>
      <c r="BF43" s="14" t="str">
        <f aca="true">IF(TRIM($A43)="Finalized","Closed",IF($BD43="","No review date set",IF($BD43&lt;TODAY(),"OVERDUE",IF($BD43-TODAY()&lt;=7,"Due within 7 days","Scheduled"))))</f>
        <v>OVERDUE</v>
      </c>
      <c r="BG43" s="14" t="n">
        <f aca="true">IF($K43="","",TODAY()-$K43)</f>
        <v>128</v>
      </c>
      <c r="BH43" s="15" t="str">
        <f aca="false">IFERROR(LEFT(IF($B43="","Notes, ","")&amp;IF($K43="","Latest Date Worked, ","")&amp;IF($AY43="","Last Action, ","")&amp;IF(AND(OR(TRIM($A43)="Denied",TRIM($A43)="Rejected"),$BA43=""),"Denial Reason, ","")&amp;IF(AND(TRIM($A43)="Denied",$BB43="",TRIM($BA43)&lt;&gt;"NO DENIAL"),"Denial Code, ","")&amp;IF(AND(TRIM($A43)&lt;&gt;"Finalized",$BD43=""),"Next Review Date, ","")&amp;IF(AND(TRIM($A43)&lt;&gt;"Finalized",$BE43=""),"Next Step, ","")&amp;IF(AND(TRIM($A43)="Finalized",$AV43="",$AR43="",$AT43="",$AX43="",$AW43=""),"CPT outcome, ",""),LEN(IF($B43="","Notes, ","")&amp;IF($K43="","Latest Date Worked, ","")&amp;IF($AY43="","Last Action, ","")&amp;IF(AND(OR(TRIM($A43)="Denied",TRIM($A43)="Rejected"),$BA43=""),"Denial Reason, ","")&amp;IF(AND(TRIM($A43)="Denied",$BB43="",TRIM($BA43)&lt;&gt;"NO DENIAL"),"Denial Code, ","")&amp;IF(AND(TRIM($A43)&lt;&gt;"Finalized",$BD43=""),"Next Review Date, ","")&amp;IF(AND(TRIM($A43)&lt;&gt;"Finalized",$BE43=""),"Next Step, ","")&amp;IF(AND(TRIM($A43)="Finalized",$AV43="",$AR43="",$AT43="",$AX43="",$AW43=""),"CPT outcome, ",""))-2),"")</f>
        <v>Denial Code, Next Step</v>
      </c>
      <c r="BI43" s="15" t="str">
        <f aca="false">IF($BB43="","",IFERROR(INDEX('Denial Codes'!$C:$C,MATCH(LEFT($BB43,FIND(" - ",$BB43&amp;" - ")+2)&amp;"*",'Denial Codes'!$A:$A,0)),""))</f>
        <v/>
      </c>
      <c r="BJ43" s="15" t="str">
        <f aca="false">IF($BA43="","",IFERROR(INDEX(Lists!$B:$B,MATCH(TRIM($BA43),Lists!$A:$A,0))&amp;"",""))</f>
        <v>Check provider enrollment, NPI/TIN and network status; appeal once credentialing is confirmed.</v>
      </c>
    </row>
    <row r="44" customFormat="false" ht="15" hidden="false" customHeight="false" outlineLevel="0" collapsed="false">
      <c r="A44" s="7" t="s">
        <v>17</v>
      </c>
      <c r="B44" s="7" t="s">
        <v>421</v>
      </c>
      <c r="C44" s="8" t="n">
        <v>555677002</v>
      </c>
      <c r="D44" s="9" t="n">
        <v>46147</v>
      </c>
      <c r="E44" s="10" t="s">
        <v>422</v>
      </c>
      <c r="F44" s="11" t="n">
        <v>46059</v>
      </c>
      <c r="G44" s="10" t="s">
        <v>347</v>
      </c>
      <c r="H44" s="10" t="s">
        <v>347</v>
      </c>
      <c r="I44" s="10" t="s">
        <v>129</v>
      </c>
      <c r="J44" s="10" t="s">
        <v>423</v>
      </c>
      <c r="K44" s="9" t="n">
        <v>46247</v>
      </c>
      <c r="L44" s="12" t="n">
        <f aca="true">IF($O44="","",$O44-TODAY())</f>
        <v>-162</v>
      </c>
      <c r="M44" s="12" t="n">
        <f aca="true">IF(AND(TRIM($A44)="Finalized",$K44&lt;&gt;""),"",IF($F44="","",$F44+90-TODAY()))</f>
        <v>-162</v>
      </c>
      <c r="N44" s="12" t="n">
        <f aca="true">IF(AND(TRIM($A44)="Finalized",$K44&lt;&gt;""),"",IF($D44="","",$D44+540-TODAY()))</f>
        <v>376</v>
      </c>
      <c r="O44" s="11" t="n">
        <f aca="false">IF(AND(TRIM($A44)="Finalized",$K44&lt;&gt;""),"",DATE(2026,5,7))</f>
        <v>46149</v>
      </c>
      <c r="P44" s="10" t="s">
        <v>165</v>
      </c>
      <c r="Q44" s="10" t="s">
        <v>348</v>
      </c>
      <c r="R44" s="10" t="s">
        <v>165</v>
      </c>
      <c r="S44" s="10" t="s">
        <v>149</v>
      </c>
      <c r="T44" s="10" t="s">
        <v>349</v>
      </c>
      <c r="U44" s="10" t="s">
        <v>116</v>
      </c>
      <c r="V44" s="10" t="s">
        <v>150</v>
      </c>
      <c r="W44" s="10" t="s">
        <v>132</v>
      </c>
      <c r="X44" s="10"/>
      <c r="Y44" s="10"/>
      <c r="Z44" s="10"/>
      <c r="AA44" s="10" t="s">
        <v>197</v>
      </c>
      <c r="AB44" s="8" t="n">
        <f aca="true">IF($F44="","",TODAY()-$F44)</f>
        <v>252</v>
      </c>
      <c r="AC44" s="10" t="s">
        <v>169</v>
      </c>
      <c r="AD44" s="10" t="s">
        <v>246</v>
      </c>
      <c r="AE44" s="10"/>
      <c r="AF44" s="10"/>
      <c r="AG44" s="10"/>
      <c r="AH44" s="10"/>
      <c r="AI44" s="10"/>
      <c r="AJ44" s="10" t="s">
        <v>124</v>
      </c>
      <c r="AK44" s="10"/>
      <c r="AL44" s="10"/>
      <c r="AM44" s="10"/>
      <c r="AN44" s="8"/>
      <c r="AO44" s="10" t="s">
        <v>359</v>
      </c>
      <c r="AP44" s="10" t="s">
        <v>175</v>
      </c>
      <c r="AQ44" s="11" t="n">
        <v>46065</v>
      </c>
      <c r="AR44" s="13"/>
      <c r="AS44" s="13"/>
      <c r="AT44" s="13"/>
      <c r="AU44" s="13"/>
      <c r="AV44" s="13"/>
      <c r="AW44" s="13"/>
      <c r="AX44" s="13"/>
      <c r="AY44" s="7" t="s">
        <v>328</v>
      </c>
      <c r="AZ44" s="7"/>
      <c r="BA44" s="7" t="s">
        <v>47</v>
      </c>
      <c r="BB44" s="7"/>
      <c r="BC44" s="7"/>
      <c r="BD44" s="9" t="n">
        <v>46278</v>
      </c>
      <c r="BE44" s="7"/>
      <c r="BF44" s="14" t="str">
        <f aca="true">IF(TRIM($A44)="Finalized","Closed",IF($BD44="","No review date set",IF($BD44&lt;TODAY(),"OVERDUE",IF($BD44-TODAY()&lt;=7,"Due within 7 days","Scheduled"))))</f>
        <v>OVERDUE</v>
      </c>
      <c r="BG44" s="14" t="n">
        <f aca="true">IF($K44="","",TODAY()-$K44)</f>
        <v>64</v>
      </c>
      <c r="BH44" s="15" t="str">
        <f aca="false">IFERROR(LEFT(IF($B44="","Notes, ","")&amp;IF($K44="","Latest Date Worked, ","")&amp;IF($AY44="","Last Action, ","")&amp;IF(AND(OR(TRIM($A44)="Denied",TRIM($A44)="Rejected"),$BA44=""),"Denial Reason, ","")&amp;IF(AND(TRIM($A44)="Denied",$BB44="",TRIM($BA44)&lt;&gt;"NO DENIAL"),"Denial Code, ","")&amp;IF(AND(TRIM($A44)&lt;&gt;"Finalized",$BD44=""),"Next Review Date, ","")&amp;IF(AND(TRIM($A44)&lt;&gt;"Finalized",$BE44=""),"Next Step, ","")&amp;IF(AND(TRIM($A44)="Finalized",$AV44="",$AR44="",$AT44="",$AX44="",$AW44=""),"CPT outcome, ",""),LEN(IF($B44="","Notes, ","")&amp;IF($K44="","Latest Date Worked, ","")&amp;IF($AY44="","Last Action, ","")&amp;IF(AND(OR(TRIM($A44)="Denied",TRIM($A44)="Rejected"),$BA44=""),"Denial Reason, ","")&amp;IF(AND(TRIM($A44)="Denied",$BB44="",TRIM($BA44)&lt;&gt;"NO DENIAL"),"Denial Code, ","")&amp;IF(AND(TRIM($A44)&lt;&gt;"Finalized",$BD44=""),"Next Review Date, ","")&amp;IF(AND(TRIM($A44)&lt;&gt;"Finalized",$BE44=""),"Next Step, ","")&amp;IF(AND(TRIM($A44)="Finalized",$AV44="",$AR44="",$AT44="",$AX44="",$AW44=""),"CPT outcome, ",""))-2),"")</f>
        <v>Denial Code, Next Step</v>
      </c>
      <c r="BI44" s="15" t="str">
        <f aca="false">IF($BB44="","",IFERROR(INDEX('Denial Codes'!$C:$C,MATCH(LEFT($BB44,FIND(" - ",$BB44&amp;" - ")+2)&amp;"*",'Denial Codes'!$A:$A,0)),""))</f>
        <v/>
      </c>
      <c r="BJ44" s="15" t="str">
        <f aca="false">IF($BA44="","",IFERROR(INDEX(Lists!$B:$B,MATCH(TRIM($BA44),Lists!$A:$A,0))&amp;"",""))</f>
        <v>Check provider enrollment, NPI/TIN and network status; appeal once credentialing is confirmed.</v>
      </c>
    </row>
    <row r="45" customFormat="false" ht="15" hidden="false" customHeight="false" outlineLevel="0" collapsed="false">
      <c r="A45" s="7" t="s">
        <v>17</v>
      </c>
      <c r="B45" s="7"/>
      <c r="C45" s="8" t="n">
        <v>568966997</v>
      </c>
      <c r="D45" s="9" t="n">
        <v>46148</v>
      </c>
      <c r="E45" s="10" t="s">
        <v>322</v>
      </c>
      <c r="F45" s="11" t="n">
        <v>46062</v>
      </c>
      <c r="G45" s="10" t="s">
        <v>369</v>
      </c>
      <c r="H45" s="10" t="s">
        <v>369</v>
      </c>
      <c r="I45" s="10" t="s">
        <v>129</v>
      </c>
      <c r="J45" s="10" t="s">
        <v>424</v>
      </c>
      <c r="K45" s="9" t="n">
        <v>46183</v>
      </c>
      <c r="L45" s="12" t="n">
        <f aca="true">IF($O45="","",$O45-TODAY())</f>
        <v>-159</v>
      </c>
      <c r="M45" s="12" t="n">
        <f aca="true">IF(AND(TRIM($A45)="Finalized",$K45&lt;&gt;""),"",IF($D45="","",$D45+365-TODAY()))</f>
        <v>202</v>
      </c>
      <c r="N45" s="12" t="n">
        <f aca="true">IF(AND(TRIM($A45)="Finalized",$K45&lt;&gt;""),"",IF($D45="","",$D45+365-TODAY()))</f>
        <v>202</v>
      </c>
      <c r="O45" s="11" t="n">
        <f aca="false">IF(AND(TRIM($A45)="Finalized",$K45&lt;&gt;""),"",DATE(2026,5,10))</f>
        <v>46152</v>
      </c>
      <c r="P45" s="10" t="s">
        <v>165</v>
      </c>
      <c r="Q45" s="10" t="s">
        <v>371</v>
      </c>
      <c r="R45" s="10" t="s">
        <v>114</v>
      </c>
      <c r="S45" s="10" t="s">
        <v>116</v>
      </c>
      <c r="T45" s="10" t="s">
        <v>114</v>
      </c>
      <c r="U45" s="10" t="s">
        <v>116</v>
      </c>
      <c r="V45" s="10" t="s">
        <v>150</v>
      </c>
      <c r="W45" s="10" t="s">
        <v>183</v>
      </c>
      <c r="X45" s="10"/>
      <c r="Y45" s="10"/>
      <c r="Z45" s="10"/>
      <c r="AA45" s="10" t="s">
        <v>197</v>
      </c>
      <c r="AB45" s="8" t="n">
        <f aca="true">IF($F45="","",TODAY()-$F45)</f>
        <v>249</v>
      </c>
      <c r="AC45" s="10" t="s">
        <v>211</v>
      </c>
      <c r="AD45" s="10" t="s">
        <v>184</v>
      </c>
      <c r="AE45" s="10"/>
      <c r="AF45" s="10"/>
      <c r="AG45" s="10"/>
      <c r="AH45" s="10"/>
      <c r="AI45" s="10"/>
      <c r="AJ45" s="10" t="s">
        <v>340</v>
      </c>
      <c r="AK45" s="10"/>
      <c r="AL45" s="10"/>
      <c r="AM45" s="10"/>
      <c r="AN45" s="8"/>
      <c r="AO45" s="10" t="s">
        <v>326</v>
      </c>
      <c r="AP45" s="10" t="s">
        <v>308</v>
      </c>
      <c r="AQ45" s="11" t="n">
        <v>46090</v>
      </c>
      <c r="AR45" s="13"/>
      <c r="AS45" s="13"/>
      <c r="AT45" s="13"/>
      <c r="AU45" s="13"/>
      <c r="AV45" s="13"/>
      <c r="AW45" s="13"/>
      <c r="AX45" s="13"/>
      <c r="AY45" s="7"/>
      <c r="AZ45" s="7"/>
      <c r="BA45" s="7" t="s">
        <v>47</v>
      </c>
      <c r="BB45" s="7"/>
      <c r="BC45" s="7"/>
      <c r="BD45" s="9" t="n">
        <v>46213</v>
      </c>
      <c r="BE45" s="7"/>
      <c r="BF45" s="14" t="str">
        <f aca="true">IF(TRIM($A45)="Finalized","Closed",IF($BD45="","No review date set",IF($BD45&lt;TODAY(),"OVERDUE",IF($BD45-TODAY()&lt;=7,"Due within 7 days","Scheduled"))))</f>
        <v>OVERDUE</v>
      </c>
      <c r="BG45" s="14" t="n">
        <f aca="true">IF($K45="","",TODAY()-$K45)</f>
        <v>128</v>
      </c>
      <c r="BH45" s="15" t="str">
        <f aca="false">IFERROR(LEFT(IF($B45="","Notes, ","")&amp;IF($K45="","Latest Date Worked, ","")&amp;IF($AY45="","Last Action, ","")&amp;IF(AND(OR(TRIM($A45)="Denied",TRIM($A45)="Rejected"),$BA45=""),"Denial Reason, ","")&amp;IF(AND(TRIM($A45)="Denied",$BB45="",TRIM($BA45)&lt;&gt;"NO DENIAL"),"Denial Code, ","")&amp;IF(AND(TRIM($A45)&lt;&gt;"Finalized",$BD45=""),"Next Review Date, ","")&amp;IF(AND(TRIM($A45)&lt;&gt;"Finalized",$BE45=""),"Next Step, ","")&amp;IF(AND(TRIM($A45)="Finalized",$AV45="",$AR45="",$AT45="",$AX45="",$AW45=""),"CPT outcome, ",""),LEN(IF($B45="","Notes, ","")&amp;IF($K45="","Latest Date Worked, ","")&amp;IF($AY45="","Last Action, ","")&amp;IF(AND(OR(TRIM($A45)="Denied",TRIM($A45)="Rejected"),$BA45=""),"Denial Reason, ","")&amp;IF(AND(TRIM($A45)="Denied",$BB45="",TRIM($BA45)&lt;&gt;"NO DENIAL"),"Denial Code, ","")&amp;IF(AND(TRIM($A45)&lt;&gt;"Finalized",$BD45=""),"Next Review Date, ","")&amp;IF(AND(TRIM($A45)&lt;&gt;"Finalized",$BE45=""),"Next Step, ","")&amp;IF(AND(TRIM($A45)="Finalized",$AV45="",$AR45="",$AT45="",$AX45="",$AW45=""),"CPT outcome, ",""))-2),"")</f>
        <v>Notes, Last Action, Denial Code, Next Step</v>
      </c>
      <c r="BI45" s="15" t="str">
        <f aca="false">IF($BB45="","",IFERROR(INDEX('Denial Codes'!$C:$C,MATCH(LEFT($BB45,FIND(" - ",$BB45&amp;" - ")+2)&amp;"*",'Denial Codes'!$A:$A,0)),""))</f>
        <v/>
      </c>
      <c r="BJ45" s="15" t="str">
        <f aca="false">IF($BA45="","",IFERROR(INDEX(Lists!$B:$B,MATCH(TRIM($BA45),Lists!$A:$A,0))&amp;"",""))</f>
        <v>Check provider enrollment, NPI/TIN and network status; appeal once credentialing is confirmed.</v>
      </c>
    </row>
    <row r="46" customFormat="false" ht="15" hidden="false" customHeight="false" outlineLevel="0" collapsed="false">
      <c r="A46" s="7" t="s">
        <v>19</v>
      </c>
      <c r="B46" s="7" t="s">
        <v>382</v>
      </c>
      <c r="C46" s="8" t="n">
        <v>549765437</v>
      </c>
      <c r="D46" s="9" t="n">
        <v>46119</v>
      </c>
      <c r="E46" s="10" t="s">
        <v>383</v>
      </c>
      <c r="F46" s="11" t="n">
        <v>46065</v>
      </c>
      <c r="G46" s="10" t="s">
        <v>384</v>
      </c>
      <c r="H46" s="10" t="s">
        <v>163</v>
      </c>
      <c r="I46" s="10" t="s">
        <v>384</v>
      </c>
      <c r="J46" s="10" t="s">
        <v>424</v>
      </c>
      <c r="K46" s="9" t="n">
        <v>46305</v>
      </c>
      <c r="L46" s="12" t="n">
        <f aca="true">IF($O46="","",$O46-TODAY())</f>
        <v>-156</v>
      </c>
      <c r="M46" s="12" t="n">
        <f aca="true">IF(AND(TRIM($A46)="Finalized",$K46&lt;&gt;""),"",IF($F46="","",$F46+90-TODAY()))</f>
        <v>-156</v>
      </c>
      <c r="N46" s="12" t="n">
        <f aca="true">IF(AND(TRIM($A46)="Finalized",$K46&lt;&gt;""),"",IF($D46="","",$D46+365-TODAY()))</f>
        <v>173</v>
      </c>
      <c r="O46" s="11" t="n">
        <f aca="false">IF(AND(TRIM($A46)="Finalized",$K46&lt;&gt;""),"",DATE(2026,5,13))</f>
        <v>46155</v>
      </c>
      <c r="P46" s="10" t="s">
        <v>165</v>
      </c>
      <c r="Q46" s="10" t="s">
        <v>166</v>
      </c>
      <c r="R46" s="10" t="s">
        <v>165</v>
      </c>
      <c r="S46" s="10" t="s">
        <v>149</v>
      </c>
      <c r="T46" s="10" t="s">
        <v>114</v>
      </c>
      <c r="U46" s="10" t="s">
        <v>116</v>
      </c>
      <c r="V46" s="10" t="s">
        <v>150</v>
      </c>
      <c r="W46" s="10" t="s">
        <v>183</v>
      </c>
      <c r="X46" s="10"/>
      <c r="Y46" s="10"/>
      <c r="Z46" s="10"/>
      <c r="AA46" s="10" t="s">
        <v>197</v>
      </c>
      <c r="AB46" s="8" t="n">
        <f aca="true">IF($F46="","",TODAY()-$F46)</f>
        <v>246</v>
      </c>
      <c r="AC46" s="10" t="s">
        <v>211</v>
      </c>
      <c r="AD46" s="10" t="s">
        <v>184</v>
      </c>
      <c r="AE46" s="10"/>
      <c r="AF46" s="10"/>
      <c r="AG46" s="10"/>
      <c r="AH46" s="10"/>
      <c r="AI46" s="10"/>
      <c r="AJ46" s="10" t="s">
        <v>385</v>
      </c>
      <c r="AK46" s="10"/>
      <c r="AL46" s="10"/>
      <c r="AM46" s="10"/>
      <c r="AN46" s="8" t="n">
        <v>558453526</v>
      </c>
      <c r="AO46" s="10" t="s">
        <v>201</v>
      </c>
      <c r="AP46" s="10" t="s">
        <v>188</v>
      </c>
      <c r="AQ46" s="11" t="n">
        <v>46086</v>
      </c>
      <c r="AR46" s="13"/>
      <c r="AS46" s="13"/>
      <c r="AT46" s="13"/>
      <c r="AU46" s="13"/>
      <c r="AV46" s="13"/>
      <c r="AW46" s="13" t="s">
        <v>214</v>
      </c>
      <c r="AX46" s="13" t="s">
        <v>214</v>
      </c>
      <c r="AY46" s="7" t="s">
        <v>159</v>
      </c>
      <c r="AZ46" s="7"/>
      <c r="BA46" s="7"/>
      <c r="BB46" s="7" t="s">
        <v>386</v>
      </c>
      <c r="BC46" s="7"/>
      <c r="BD46" s="9" t="n">
        <v>46336</v>
      </c>
      <c r="BE46" s="7"/>
      <c r="BF46" s="14" t="str">
        <f aca="true">IF(TRIM($A46)="Finalized","Closed",IF($BD46="","No review date set",IF($BD46&lt;TODAY(),"OVERDUE",IF($BD46-TODAY()&lt;=7,"Due within 7 days","Scheduled"))))</f>
        <v>Scheduled</v>
      </c>
      <c r="BG46" s="14" t="n">
        <f aca="true">IF($K46="","",TODAY()-$K46)</f>
        <v>6</v>
      </c>
      <c r="BH46" s="15" t="str">
        <f aca="false">IFERROR(LEFT(IF($B46="","Notes, ","")&amp;IF($K46="","Latest Date Worked, ","")&amp;IF($AY46="","Last Action, ","")&amp;IF(AND(OR(TRIM($A46)="Denied",TRIM($A46)="Rejected"),$BA46=""),"Denial Reason, ","")&amp;IF(AND(TRIM($A46)="Denied",$BB46="",TRIM($BA46)&lt;&gt;"NO DENIAL"),"Denial Code, ","")&amp;IF(AND(TRIM($A46)&lt;&gt;"Finalized",$BD46=""),"Next Review Date, ","")&amp;IF(AND(TRIM($A46)&lt;&gt;"Finalized",$BE46=""),"Next Step, ","")&amp;IF(AND(TRIM($A46)="Finalized",$AV46="",$AR46="",$AT46="",$AX46="",$AW46=""),"CPT outcome, ",""),LEN(IF($B46="","Notes, ","")&amp;IF($K46="","Latest Date Worked, ","")&amp;IF($AY46="","Last Action, ","")&amp;IF(AND(OR(TRIM($A46)="Denied",TRIM($A46)="Rejected"),$BA46=""),"Denial Reason, ","")&amp;IF(AND(TRIM($A46)="Denied",$BB46="",TRIM($BA46)&lt;&gt;"NO DENIAL"),"Denial Code, ","")&amp;IF(AND(TRIM($A46)&lt;&gt;"Finalized",$BD46=""),"Next Review Date, ","")&amp;IF(AND(TRIM($A46)&lt;&gt;"Finalized",$BE46=""),"Next Step, ","")&amp;IF(AND(TRIM($A46)="Finalized",$AV46="",$AR46="",$AT46="",$AX46="",$AW46=""),"CPT outcome, ",""))-2),"")</f>
        <v>Next Step</v>
      </c>
      <c r="BI46" s="15" t="str">
        <f aca="false">IF($BB46="","",IFERROR(INDEX('Denial Codes'!$C:$C,MATCH(LEFT($BB46,FIND(" - ",$BB46&amp;" - ")+2)&amp;"*",'Denial Codes'!$A:$A,0)),""))</f>
        <v>Other</v>
      </c>
      <c r="BJ46" s="15" t="str">
        <f aca="false">IF($BA46="","",IFERROR(INDEX(Lists!$B:$B,MATCH(TRIM($BA46),Lists!$A:$A,0))&amp;"",""))</f>
        <v/>
      </c>
    </row>
    <row r="47" customFormat="false" ht="15" hidden="false" customHeight="false" outlineLevel="0" collapsed="false">
      <c r="A47" s="7" t="s">
        <v>21</v>
      </c>
      <c r="B47" s="7" t="s">
        <v>425</v>
      </c>
      <c r="C47" s="8" t="n">
        <v>574453982</v>
      </c>
      <c r="D47" s="9" t="n">
        <v>46098</v>
      </c>
      <c r="E47" s="10" t="s">
        <v>426</v>
      </c>
      <c r="F47" s="11" t="n">
        <v>46036</v>
      </c>
      <c r="G47" s="10" t="s">
        <v>427</v>
      </c>
      <c r="H47" s="10" t="s">
        <v>427</v>
      </c>
      <c r="I47" s="10" t="s">
        <v>129</v>
      </c>
      <c r="J47" s="10" t="s">
        <v>428</v>
      </c>
      <c r="K47" s="9" t="n">
        <v>46305</v>
      </c>
      <c r="L47" s="12" t="n">
        <f aca="true">IF($O47="","",$O47-TODAY())</f>
        <v>-155</v>
      </c>
      <c r="M47" s="12" t="n">
        <f aca="true">IF(AND(TRIM($A47)="Finalized",$K47&lt;&gt;""),"",IF($D47="","",$D47+365-TODAY()))</f>
        <v>152</v>
      </c>
      <c r="N47" s="12" t="n">
        <f aca="true">IF(AND(TRIM($A47)="Finalized",$K47&lt;&gt;""),"",IF($D47="","",$D47+90-TODAY()))</f>
        <v>-123</v>
      </c>
      <c r="O47" s="11" t="n">
        <f aca="false">IF(AND(TRIM($A47)="Finalized",$K47&lt;&gt;""),"",DATE(2026,5,14))</f>
        <v>46156</v>
      </c>
      <c r="P47" s="10" t="s">
        <v>117</v>
      </c>
      <c r="Q47" s="10" t="s">
        <v>429</v>
      </c>
      <c r="R47" s="10" t="s">
        <v>114</v>
      </c>
      <c r="S47" s="10" t="s">
        <v>116</v>
      </c>
      <c r="T47" s="10" t="s">
        <v>165</v>
      </c>
      <c r="U47" s="10" t="s">
        <v>116</v>
      </c>
      <c r="V47" s="10" t="s">
        <v>118</v>
      </c>
      <c r="W47" s="10" t="s">
        <v>183</v>
      </c>
      <c r="X47" s="10"/>
      <c r="Y47" s="10"/>
      <c r="Z47" s="10"/>
      <c r="AA47" s="10" t="s">
        <v>430</v>
      </c>
      <c r="AB47" s="8" t="n">
        <f aca="true">IF($F47="","",TODAY()-$F47)</f>
        <v>275</v>
      </c>
      <c r="AC47" s="10" t="s">
        <v>184</v>
      </c>
      <c r="AD47" s="10" t="s">
        <v>211</v>
      </c>
      <c r="AE47" s="10"/>
      <c r="AF47" s="10"/>
      <c r="AG47" s="10"/>
      <c r="AH47" s="10"/>
      <c r="AI47" s="10"/>
      <c r="AJ47" s="10" t="s">
        <v>123</v>
      </c>
      <c r="AK47" s="10"/>
      <c r="AL47" s="10"/>
      <c r="AM47" s="10"/>
      <c r="AN47" s="8"/>
      <c r="AO47" s="10" t="s">
        <v>213</v>
      </c>
      <c r="AP47" s="10" t="s">
        <v>188</v>
      </c>
      <c r="AQ47" s="11" t="n">
        <v>46056</v>
      </c>
      <c r="AR47" s="13"/>
      <c r="AS47" s="13"/>
      <c r="AT47" s="13"/>
      <c r="AU47" s="13"/>
      <c r="AV47" s="13"/>
      <c r="AW47" s="13"/>
      <c r="AX47" s="13"/>
      <c r="AY47" s="7" t="s">
        <v>159</v>
      </c>
      <c r="AZ47" s="7" t="s">
        <v>159</v>
      </c>
      <c r="BA47" s="7" t="s">
        <v>39</v>
      </c>
      <c r="BB47" s="7"/>
      <c r="BC47" s="7"/>
      <c r="BD47" s="9" t="n">
        <v>46336</v>
      </c>
      <c r="BE47" s="7"/>
      <c r="BF47" s="14" t="str">
        <f aca="true">IF(TRIM($A47)="Finalized","Closed",IF($BD47="","No review date set",IF($BD47&lt;TODAY(),"OVERDUE",IF($BD47-TODAY()&lt;=7,"Due within 7 days","Scheduled"))))</f>
        <v>Scheduled</v>
      </c>
      <c r="BG47" s="14" t="n">
        <f aca="true">IF($K47="","",TODAY()-$K47)</f>
        <v>6</v>
      </c>
      <c r="BH47" s="15" t="str">
        <f aca="false">IFERROR(LEFT(IF($B47="","Notes, ","")&amp;IF($K47="","Latest Date Worked, ","")&amp;IF($AY47="","Last Action, ","")&amp;IF(AND(OR(TRIM($A47)="Denied",TRIM($A47)="Rejected"),$BA47=""),"Denial Reason, ","")&amp;IF(AND(TRIM($A47)="Denied",$BB47="",TRIM($BA47)&lt;&gt;"NO DENIAL"),"Denial Code, ","")&amp;IF(AND(TRIM($A47)&lt;&gt;"Finalized",$BD47=""),"Next Review Date, ","")&amp;IF(AND(TRIM($A47)&lt;&gt;"Finalized",$BE47=""),"Next Step, ","")&amp;IF(AND(TRIM($A47)="Finalized",$AV47="",$AR47="",$AT47="",$AX47="",$AW47=""),"CPT outcome, ",""),LEN(IF($B47="","Notes, ","")&amp;IF($K47="","Latest Date Worked, ","")&amp;IF($AY47="","Last Action, ","")&amp;IF(AND(OR(TRIM($A47)="Denied",TRIM($A47)="Rejected"),$BA47=""),"Denial Reason, ","")&amp;IF(AND(TRIM($A47)="Denied",$BB47="",TRIM($BA47)&lt;&gt;"NO DENIAL"),"Denial Code, ","")&amp;IF(AND(TRIM($A47)&lt;&gt;"Finalized",$BD47=""),"Next Review Date, ","")&amp;IF(AND(TRIM($A47)&lt;&gt;"Finalized",$BE47=""),"Next Step, ","")&amp;IF(AND(TRIM($A47)="Finalized",$AV47="",$AR47="",$AT47="",$AX47="",$AW47=""),"CPT outcome, ",""))-2),"")</f>
        <v>Next Step</v>
      </c>
      <c r="BI47" s="15" t="str">
        <f aca="false">IF($BB47="","",IFERROR(INDEX('Denial Codes'!$C:$C,MATCH(LEFT($BB47,FIND(" - ",$BB47&amp;" - ")+2)&amp;"*",'Denial Codes'!$A:$A,0)),""))</f>
        <v/>
      </c>
      <c r="BJ47" s="15" t="str">
        <f aca="false">IF($BA47="","",IFERROR(INDEX(Lists!$B:$B,MATCH(TRIM($BA47),Lists!$A:$A,0))&amp;"",""))</f>
        <v>Review the diagnosis codes and pointers with the chart; correct and resubmit.</v>
      </c>
    </row>
    <row r="48" customFormat="false" ht="15" hidden="false" customHeight="false" outlineLevel="0" collapsed="false">
      <c r="A48" s="7" t="s">
        <v>17</v>
      </c>
      <c r="B48" s="7" t="s">
        <v>367</v>
      </c>
      <c r="C48" s="8" t="n">
        <v>557794433</v>
      </c>
      <c r="D48" s="9" t="n">
        <v>46147</v>
      </c>
      <c r="E48" s="10" t="s">
        <v>368</v>
      </c>
      <c r="F48" s="11" t="n">
        <v>46066</v>
      </c>
      <c r="G48" s="10" t="s">
        <v>369</v>
      </c>
      <c r="H48" s="10" t="s">
        <v>369</v>
      </c>
      <c r="I48" s="10" t="s">
        <v>129</v>
      </c>
      <c r="J48" s="10" t="s">
        <v>370</v>
      </c>
      <c r="K48" s="9" t="n">
        <v>46142</v>
      </c>
      <c r="L48" s="12" t="n">
        <f aca="true">IF($O48="","",$O48-TODAY())</f>
        <v>-155</v>
      </c>
      <c r="M48" s="12" t="n">
        <f aca="true">IF(AND(TRIM($A48)="Finalized",$K48&lt;&gt;""),"",IF($D48="","",$D48+365-TODAY()))</f>
        <v>201</v>
      </c>
      <c r="N48" s="12" t="n">
        <f aca="true">IF(AND(TRIM($A48)="Finalized",$K48&lt;&gt;""),"",IF($D48="","",$D48+365-TODAY()))</f>
        <v>201</v>
      </c>
      <c r="O48" s="11" t="n">
        <f aca="false">IF(AND(TRIM($A48)="Finalized",$K48&lt;&gt;""),"",DATE(2026,5,14))</f>
        <v>46156</v>
      </c>
      <c r="P48" s="10" t="s">
        <v>165</v>
      </c>
      <c r="Q48" s="10" t="s">
        <v>371</v>
      </c>
      <c r="R48" s="10" t="s">
        <v>114</v>
      </c>
      <c r="S48" s="10" t="s">
        <v>116</v>
      </c>
      <c r="T48" s="10" t="s">
        <v>114</v>
      </c>
      <c r="U48" s="10" t="s">
        <v>116</v>
      </c>
      <c r="V48" s="10" t="s">
        <v>150</v>
      </c>
      <c r="W48" s="10" t="s">
        <v>183</v>
      </c>
      <c r="X48" s="10"/>
      <c r="Y48" s="10"/>
      <c r="Z48" s="10"/>
      <c r="AA48" s="10" t="s">
        <v>197</v>
      </c>
      <c r="AB48" s="8" t="n">
        <f aca="true">IF($F48="","",TODAY()-$F48)</f>
        <v>245</v>
      </c>
      <c r="AC48" s="10" t="s">
        <v>211</v>
      </c>
      <c r="AD48" s="10"/>
      <c r="AE48" s="10"/>
      <c r="AF48" s="10"/>
      <c r="AG48" s="10"/>
      <c r="AH48" s="10"/>
      <c r="AI48" s="10"/>
      <c r="AJ48" s="10" t="s">
        <v>186</v>
      </c>
      <c r="AK48" s="10"/>
      <c r="AL48" s="10"/>
      <c r="AM48" s="10"/>
      <c r="AN48" s="8"/>
      <c r="AO48" s="10" t="s">
        <v>201</v>
      </c>
      <c r="AP48" s="10" t="s">
        <v>202</v>
      </c>
      <c r="AQ48" s="11" t="n">
        <v>46086</v>
      </c>
      <c r="AR48" s="13"/>
      <c r="AS48" s="13"/>
      <c r="AT48" s="13"/>
      <c r="AU48" s="13"/>
      <c r="AV48" s="13"/>
      <c r="AW48" s="13"/>
      <c r="AX48" s="13" t="s">
        <v>211</v>
      </c>
      <c r="AY48" s="7" t="s">
        <v>159</v>
      </c>
      <c r="AZ48" s="7"/>
      <c r="BA48" s="7" t="s">
        <v>40</v>
      </c>
      <c r="BB48" s="7" t="s">
        <v>372</v>
      </c>
      <c r="BC48" s="7"/>
      <c r="BD48" s="9" t="n">
        <v>46172</v>
      </c>
      <c r="BE48" s="7"/>
      <c r="BF48" s="14" t="str">
        <f aca="true">IF(TRIM($A48)="Finalized","Closed",IF($BD48="","No review date set",IF($BD48&lt;TODAY(),"OVERDUE",IF($BD48-TODAY()&lt;=7,"Due within 7 days","Scheduled"))))</f>
        <v>OVERDUE</v>
      </c>
      <c r="BG48" s="14" t="n">
        <f aca="true">IF($K48="","",TODAY()-$K48)</f>
        <v>169</v>
      </c>
      <c r="BH48" s="15" t="str">
        <f aca="false">IFERROR(LEFT(IF($B48="","Notes, ","")&amp;IF($K48="","Latest Date Worked, ","")&amp;IF($AY48="","Last Action, ","")&amp;IF(AND(OR(TRIM($A48)="Denied",TRIM($A48)="Rejected"),$BA48=""),"Denial Reason, ","")&amp;IF(AND(TRIM($A48)="Denied",$BB48="",TRIM($BA48)&lt;&gt;"NO DENIAL"),"Denial Code, ","")&amp;IF(AND(TRIM($A48)&lt;&gt;"Finalized",$BD48=""),"Next Review Date, ","")&amp;IF(AND(TRIM($A48)&lt;&gt;"Finalized",$BE48=""),"Next Step, ","")&amp;IF(AND(TRIM($A48)="Finalized",$AV48="",$AR48="",$AT48="",$AX48="",$AW48=""),"CPT outcome, ",""),LEN(IF($B48="","Notes, ","")&amp;IF($K48="","Latest Date Worked, ","")&amp;IF($AY48="","Last Action, ","")&amp;IF(AND(OR(TRIM($A48)="Denied",TRIM($A48)="Rejected"),$BA48=""),"Denial Reason, ","")&amp;IF(AND(TRIM($A48)="Denied",$BB48="",TRIM($BA48)&lt;&gt;"NO DENIAL"),"Denial Code, ","")&amp;IF(AND(TRIM($A48)&lt;&gt;"Finalized",$BD48=""),"Next Review Date, ","")&amp;IF(AND(TRIM($A48)&lt;&gt;"Finalized",$BE48=""),"Next Step, ","")&amp;IF(AND(TRIM($A48)="Finalized",$AV48="",$AR48="",$AT48="",$AX48="",$AW48=""),"CPT outcome, ",""))-2),"")</f>
        <v>Next Step</v>
      </c>
      <c r="BI48" s="15" t="str">
        <f aca="false">IF($BB48="","",IFERROR(INDEX('Denial Codes'!$C:$C,MATCH(LEFT($BB48,FIND(" - ",$BB48&amp;" - ")+2)&amp;"*",'Denial Codes'!$A:$A,0)),""))</f>
        <v>Coding / billing error</v>
      </c>
      <c r="BJ48" s="15" t="str">
        <f aca="false">IF($BA48="","",IFERROR(INDEX(Lists!$B:$B,MATCH(TRIM($BA48),Lists!$A:$A,0))&amp;"",""))</f>
        <v>Fix the code, units, charge or other claim data and resubmit as a corrected claim.</v>
      </c>
    </row>
    <row r="49" customFormat="false" ht="15" hidden="false" customHeight="false" outlineLevel="0" collapsed="false">
      <c r="A49" s="7" t="s">
        <v>17</v>
      </c>
      <c r="B49" s="7" t="s">
        <v>431</v>
      </c>
      <c r="C49" s="8" t="n">
        <v>557784595</v>
      </c>
      <c r="D49" s="9" t="n">
        <v>46154</v>
      </c>
      <c r="E49" s="10" t="s">
        <v>432</v>
      </c>
      <c r="F49" s="11" t="n">
        <v>46069</v>
      </c>
      <c r="G49" s="10" t="s">
        <v>163</v>
      </c>
      <c r="H49" s="10" t="s">
        <v>163</v>
      </c>
      <c r="I49" s="10" t="s">
        <v>129</v>
      </c>
      <c r="J49" s="10" t="s">
        <v>433</v>
      </c>
      <c r="K49" s="9" t="n">
        <v>46142</v>
      </c>
      <c r="L49" s="12" t="n">
        <f aca="true">IF($O49="","",$O49-TODAY())</f>
        <v>-152</v>
      </c>
      <c r="M49" s="12" t="n">
        <f aca="true">IF(AND(TRIM($A49)="Finalized",$K49&lt;&gt;""),"",IF($F49="","",$F49+90-TODAY()))</f>
        <v>-152</v>
      </c>
      <c r="N49" s="12" t="n">
        <f aca="true">IF(AND(TRIM($A49)="Finalized",$K49&lt;&gt;""),"",IF($D49="","",$D49+365-TODAY()))</f>
        <v>208</v>
      </c>
      <c r="O49" s="11" t="n">
        <f aca="false">IF(AND(TRIM($A49)="Finalized",$K49&lt;&gt;""),"",DATE(2026,5,17))</f>
        <v>46159</v>
      </c>
      <c r="P49" s="10" t="s">
        <v>165</v>
      </c>
      <c r="Q49" s="10" t="s">
        <v>166</v>
      </c>
      <c r="R49" s="10" t="s">
        <v>165</v>
      </c>
      <c r="S49" s="10" t="s">
        <v>149</v>
      </c>
      <c r="T49" s="10" t="s">
        <v>114</v>
      </c>
      <c r="U49" s="10" t="s">
        <v>116</v>
      </c>
      <c r="V49" s="10" t="s">
        <v>150</v>
      </c>
      <c r="W49" s="10" t="s">
        <v>434</v>
      </c>
      <c r="X49" s="10" t="s">
        <v>435</v>
      </c>
      <c r="Y49" s="10" t="s">
        <v>436</v>
      </c>
      <c r="Z49" s="10"/>
      <c r="AA49" s="10" t="s">
        <v>437</v>
      </c>
      <c r="AB49" s="8" t="n">
        <f aca="true">IF($F49="","",TODAY()-$F49)</f>
        <v>242</v>
      </c>
      <c r="AC49" s="10" t="s">
        <v>438</v>
      </c>
      <c r="AD49" s="10" t="s">
        <v>439</v>
      </c>
      <c r="AE49" s="10" t="s">
        <v>440</v>
      </c>
      <c r="AF49" s="10" t="s">
        <v>441</v>
      </c>
      <c r="AG49" s="10" t="s">
        <v>442</v>
      </c>
      <c r="AH49" s="10" t="s">
        <v>443</v>
      </c>
      <c r="AI49" s="10"/>
      <c r="AJ49" s="10" t="s">
        <v>444</v>
      </c>
      <c r="AK49" s="10" t="s">
        <v>445</v>
      </c>
      <c r="AL49" s="10" t="s">
        <v>446</v>
      </c>
      <c r="AM49" s="10"/>
      <c r="AN49" s="8"/>
      <c r="AO49" s="10" t="s">
        <v>447</v>
      </c>
      <c r="AP49" s="10" t="s">
        <v>188</v>
      </c>
      <c r="AQ49" s="11" t="n">
        <v>46090</v>
      </c>
      <c r="AR49" s="13"/>
      <c r="AS49" s="13"/>
      <c r="AT49" s="13"/>
      <c r="AU49" s="13"/>
      <c r="AV49" s="13"/>
      <c r="AW49" s="13"/>
      <c r="AX49" s="13"/>
      <c r="AY49" s="7" t="s">
        <v>159</v>
      </c>
      <c r="AZ49" s="7"/>
      <c r="BA49" s="7" t="s">
        <v>47</v>
      </c>
      <c r="BB49" s="7"/>
      <c r="BC49" s="7"/>
      <c r="BD49" s="9" t="n">
        <v>46172</v>
      </c>
      <c r="BE49" s="7"/>
      <c r="BF49" s="14" t="str">
        <f aca="true">IF(TRIM($A49)="Finalized","Closed",IF($BD49="","No review date set",IF($BD49&lt;TODAY(),"OVERDUE",IF($BD49-TODAY()&lt;=7,"Due within 7 days","Scheduled"))))</f>
        <v>OVERDUE</v>
      </c>
      <c r="BG49" s="14" t="n">
        <f aca="true">IF($K49="","",TODAY()-$K49)</f>
        <v>169</v>
      </c>
      <c r="BH49" s="15" t="str">
        <f aca="false">IFERROR(LEFT(IF($B49="","Notes, ","")&amp;IF($K49="","Latest Date Worked, ","")&amp;IF($AY49="","Last Action, ","")&amp;IF(AND(OR(TRIM($A49)="Denied",TRIM($A49)="Rejected"),$BA49=""),"Denial Reason, ","")&amp;IF(AND(TRIM($A49)="Denied",$BB49="",TRIM($BA49)&lt;&gt;"NO DENIAL"),"Denial Code, ","")&amp;IF(AND(TRIM($A49)&lt;&gt;"Finalized",$BD49=""),"Next Review Date, ","")&amp;IF(AND(TRIM($A49)&lt;&gt;"Finalized",$BE49=""),"Next Step, ","")&amp;IF(AND(TRIM($A49)="Finalized",$AV49="",$AR49="",$AT49="",$AX49="",$AW49=""),"CPT outcome, ",""),LEN(IF($B49="","Notes, ","")&amp;IF($K49="","Latest Date Worked, ","")&amp;IF($AY49="","Last Action, ","")&amp;IF(AND(OR(TRIM($A49)="Denied",TRIM($A49)="Rejected"),$BA49=""),"Denial Reason, ","")&amp;IF(AND(TRIM($A49)="Denied",$BB49="",TRIM($BA49)&lt;&gt;"NO DENIAL"),"Denial Code, ","")&amp;IF(AND(TRIM($A49)&lt;&gt;"Finalized",$BD49=""),"Next Review Date, ","")&amp;IF(AND(TRIM($A49)&lt;&gt;"Finalized",$BE49=""),"Next Step, ","")&amp;IF(AND(TRIM($A49)="Finalized",$AV49="",$AR49="",$AT49="",$AX49="",$AW49=""),"CPT outcome, ",""))-2),"")</f>
        <v>Denial Code, Next Step</v>
      </c>
      <c r="BI49" s="15" t="str">
        <f aca="false">IF($BB49="","",IFERROR(INDEX('Denial Codes'!$C:$C,MATCH(LEFT($BB49,FIND(" - ",$BB49&amp;" - ")+2)&amp;"*",'Denial Codes'!$A:$A,0)),""))</f>
        <v/>
      </c>
      <c r="BJ49" s="15" t="str">
        <f aca="false">IF($BA49="","",IFERROR(INDEX(Lists!$B:$B,MATCH(TRIM($BA49),Lists!$A:$A,0))&amp;"",""))</f>
        <v>Check provider enrollment, NPI/TIN and network status; appeal once credentialing is confirmed.</v>
      </c>
    </row>
    <row r="50" customFormat="false" ht="15" hidden="false" customHeight="false" outlineLevel="0" collapsed="false">
      <c r="A50" s="7" t="s">
        <v>18</v>
      </c>
      <c r="B50" s="7" t="s">
        <v>448</v>
      </c>
      <c r="C50" s="8" t="n">
        <v>565140993</v>
      </c>
      <c r="D50" s="9" t="n">
        <v>46227</v>
      </c>
      <c r="E50" s="10" t="s">
        <v>449</v>
      </c>
      <c r="F50" s="11" t="n">
        <v>46069</v>
      </c>
      <c r="G50" s="10" t="s">
        <v>163</v>
      </c>
      <c r="H50" s="10" t="s">
        <v>163</v>
      </c>
      <c r="I50" s="10" t="s">
        <v>129</v>
      </c>
      <c r="J50" s="10" t="s">
        <v>450</v>
      </c>
      <c r="K50" s="9" t="n">
        <v>46196</v>
      </c>
      <c r="L50" s="12" t="n">
        <f aca="true">IF($O50="","",$O50-TODAY())</f>
        <v>-152</v>
      </c>
      <c r="M50" s="12" t="n">
        <f aca="true">IF(AND(TRIM($A50)="Finalized",$K50&lt;&gt;""),"",IF($F50="","",$F50+90-TODAY()))</f>
        <v>-152</v>
      </c>
      <c r="N50" s="12" t="n">
        <f aca="true">IF(AND(TRIM($A50)="Finalized",$K50&lt;&gt;""),"",IF($D50="","",$D50+365-TODAY()))</f>
        <v>281</v>
      </c>
      <c r="O50" s="11" t="n">
        <f aca="false">IF(AND(TRIM($A50)="Finalized",$K50&lt;&gt;""),"",DATE(2026,5,17))</f>
        <v>46159</v>
      </c>
      <c r="P50" s="10" t="s">
        <v>165</v>
      </c>
      <c r="Q50" s="10" t="s">
        <v>166</v>
      </c>
      <c r="R50" s="10" t="s">
        <v>165</v>
      </c>
      <c r="S50" s="10" t="s">
        <v>149</v>
      </c>
      <c r="T50" s="10" t="s">
        <v>114</v>
      </c>
      <c r="U50" s="10" t="s">
        <v>116</v>
      </c>
      <c r="V50" s="10" t="s">
        <v>150</v>
      </c>
      <c r="W50" s="10" t="s">
        <v>119</v>
      </c>
      <c r="X50" s="10" t="s">
        <v>304</v>
      </c>
      <c r="Y50" s="10"/>
      <c r="Z50" s="10"/>
      <c r="AA50" s="10" t="s">
        <v>197</v>
      </c>
      <c r="AB50" s="8" t="n">
        <f aca="true">IF($F50="","",TODAY()-$F50)</f>
        <v>242</v>
      </c>
      <c r="AC50" s="10" t="s">
        <v>451</v>
      </c>
      <c r="AD50" s="10"/>
      <c r="AE50" s="10"/>
      <c r="AF50" s="10"/>
      <c r="AG50" s="10"/>
      <c r="AH50" s="10"/>
      <c r="AI50" s="10"/>
      <c r="AJ50" s="10" t="s">
        <v>138</v>
      </c>
      <c r="AK50" s="10" t="s">
        <v>452</v>
      </c>
      <c r="AL50" s="10"/>
      <c r="AM50" s="10"/>
      <c r="AN50" s="8"/>
      <c r="AO50" s="10" t="s">
        <v>140</v>
      </c>
      <c r="AP50" s="10" t="s">
        <v>156</v>
      </c>
      <c r="AQ50" s="11" t="n">
        <v>46080</v>
      </c>
      <c r="AR50" s="13"/>
      <c r="AS50" s="13"/>
      <c r="AT50" s="13"/>
      <c r="AU50" s="13"/>
      <c r="AV50" s="13"/>
      <c r="AW50" s="13"/>
      <c r="AX50" s="13"/>
      <c r="AY50" s="7" t="s">
        <v>159</v>
      </c>
      <c r="AZ50" s="7"/>
      <c r="BA50" s="7" t="s">
        <v>55</v>
      </c>
      <c r="BB50" s="7"/>
      <c r="BC50" s="7"/>
      <c r="BD50" s="9" t="n">
        <v>46226</v>
      </c>
      <c r="BE50" s="7"/>
      <c r="BF50" s="14" t="str">
        <f aca="true">IF(TRIM($A50)="Finalized","Closed",IF($BD50="","No review date set",IF($BD50&lt;TODAY(),"OVERDUE",IF($BD50-TODAY()&lt;=7,"Due within 7 days","Scheduled"))))</f>
        <v>OVERDUE</v>
      </c>
      <c r="BG50" s="14" t="n">
        <f aca="true">IF($K50="","",TODAY()-$K50)</f>
        <v>115</v>
      </c>
      <c r="BH50" s="15" t="str">
        <f aca="false">IFERROR(LEFT(IF($B50="","Notes, ","")&amp;IF($K50="","Latest Date Worked, ","")&amp;IF($AY50="","Last Action, ","")&amp;IF(AND(OR(TRIM($A50)="Denied",TRIM($A50)="Rejected"),$BA50=""),"Denial Reason, ","")&amp;IF(AND(TRIM($A50)="Denied",$BB50="",TRIM($BA50)&lt;&gt;"NO DENIAL"),"Denial Code, ","")&amp;IF(AND(TRIM($A50)&lt;&gt;"Finalized",$BD50=""),"Next Review Date, ","")&amp;IF(AND(TRIM($A50)&lt;&gt;"Finalized",$BE50=""),"Next Step, ","")&amp;IF(AND(TRIM($A50)="Finalized",$AV50="",$AR50="",$AT50="",$AX50="",$AW50=""),"CPT outcome, ",""),LEN(IF($B50="","Notes, ","")&amp;IF($K50="","Latest Date Worked, ","")&amp;IF($AY50="","Last Action, ","")&amp;IF(AND(OR(TRIM($A50)="Denied",TRIM($A50)="Rejected"),$BA50=""),"Denial Reason, ","")&amp;IF(AND(TRIM($A50)="Denied",$BB50="",TRIM($BA50)&lt;&gt;"NO DENIAL"),"Denial Code, ","")&amp;IF(AND(TRIM($A50)&lt;&gt;"Finalized",$BD50=""),"Next Review Date, ","")&amp;IF(AND(TRIM($A50)&lt;&gt;"Finalized",$BE50=""),"Next Step, ","")&amp;IF(AND(TRIM($A50)="Finalized",$AV50="",$AR50="",$AT50="",$AX50="",$AW50=""),"CPT outcome, ",""))-2),"")</f>
        <v>Next Step</v>
      </c>
      <c r="BI50" s="15" t="str">
        <f aca="false">IF($BB50="","",IFERROR(INDEX('Denial Codes'!$C:$C,MATCH(LEFT($BB50,FIND(" - ",$BB50&amp;" - ")+2)&amp;"*",'Denial Codes'!$A:$A,0)),""))</f>
        <v/>
      </c>
      <c r="BJ50" s="15" t="str">
        <f aca="false">IF($BA50="","",IFERROR(INDEX(Lists!$B:$B,MATCH(TRIM($BA50),Lists!$A:$A,0))&amp;"",""))</f>
        <v/>
      </c>
    </row>
    <row r="51" customFormat="false" ht="15" hidden="false" customHeight="false" outlineLevel="0" collapsed="false">
      <c r="A51" s="7" t="s">
        <v>17</v>
      </c>
      <c r="B51" s="7" t="s">
        <v>453</v>
      </c>
      <c r="C51" s="8" t="n">
        <v>557794882</v>
      </c>
      <c r="D51" s="9" t="n">
        <v>46147</v>
      </c>
      <c r="E51" s="10" t="s">
        <v>402</v>
      </c>
      <c r="F51" s="11" t="n">
        <v>46070</v>
      </c>
      <c r="G51" s="10" t="s">
        <v>369</v>
      </c>
      <c r="H51" s="10" t="s">
        <v>369</v>
      </c>
      <c r="I51" s="10" t="s">
        <v>129</v>
      </c>
      <c r="J51" s="10" t="s">
        <v>370</v>
      </c>
      <c r="K51" s="9" t="n">
        <v>46309</v>
      </c>
      <c r="L51" s="12" t="n">
        <f aca="true">IF($O51="","",$O51-TODAY())</f>
        <v>-151</v>
      </c>
      <c r="M51" s="12" t="n">
        <f aca="true">IF(AND(TRIM($A51)="Finalized",$K51&lt;&gt;""),"",IF($D51="","",$D51+365-TODAY()))</f>
        <v>201</v>
      </c>
      <c r="N51" s="12" t="n">
        <f aca="true">IF(AND(TRIM($A51)="Finalized",$K51&lt;&gt;""),"",IF($D51="","",$D51+365-TODAY()))</f>
        <v>201</v>
      </c>
      <c r="O51" s="11" t="n">
        <f aca="false">IF(AND(TRIM($A51)="Finalized",$K51&lt;&gt;""),"",DATE(2026,5,18))</f>
        <v>46160</v>
      </c>
      <c r="P51" s="10" t="s">
        <v>165</v>
      </c>
      <c r="Q51" s="10" t="s">
        <v>371</v>
      </c>
      <c r="R51" s="10" t="s">
        <v>114</v>
      </c>
      <c r="S51" s="10" t="s">
        <v>116</v>
      </c>
      <c r="T51" s="10" t="s">
        <v>114</v>
      </c>
      <c r="U51" s="10" t="s">
        <v>116</v>
      </c>
      <c r="V51" s="10" t="s">
        <v>150</v>
      </c>
      <c r="W51" s="10" t="s">
        <v>183</v>
      </c>
      <c r="X51" s="10"/>
      <c r="Y51" s="10"/>
      <c r="Z51" s="10"/>
      <c r="AA51" s="10" t="s">
        <v>197</v>
      </c>
      <c r="AB51" s="8" t="n">
        <f aca="true">IF($F51="","",TODAY()-$F51)</f>
        <v>241</v>
      </c>
      <c r="AC51" s="10" t="s">
        <v>211</v>
      </c>
      <c r="AD51" s="10"/>
      <c r="AE51" s="10"/>
      <c r="AF51" s="10"/>
      <c r="AG51" s="10"/>
      <c r="AH51" s="10"/>
      <c r="AI51" s="10"/>
      <c r="AJ51" s="10" t="s">
        <v>403</v>
      </c>
      <c r="AK51" s="10" t="s">
        <v>385</v>
      </c>
      <c r="AL51" s="10"/>
      <c r="AM51" s="10"/>
      <c r="AN51" s="8"/>
      <c r="AO51" s="10" t="s">
        <v>359</v>
      </c>
      <c r="AP51" s="10" t="s">
        <v>404</v>
      </c>
      <c r="AQ51" s="11" t="n">
        <v>46086</v>
      </c>
      <c r="AR51" s="13"/>
      <c r="AS51" s="13"/>
      <c r="AT51" s="13"/>
      <c r="AU51" s="13"/>
      <c r="AV51" s="13"/>
      <c r="AW51" s="13"/>
      <c r="AX51" s="13" t="s">
        <v>214</v>
      </c>
      <c r="AY51" s="7" t="s">
        <v>159</v>
      </c>
      <c r="AZ51" s="7" t="s">
        <v>159</v>
      </c>
      <c r="BA51" s="7" t="s">
        <v>40</v>
      </c>
      <c r="BB51" s="7" t="s">
        <v>372</v>
      </c>
      <c r="BC51" s="7"/>
      <c r="BD51" s="9" t="n">
        <v>46340</v>
      </c>
      <c r="BE51" s="7"/>
      <c r="BF51" s="14" t="str">
        <f aca="true">IF(TRIM($A51)="Finalized","Closed",IF($BD51="","No review date set",IF($BD51&lt;TODAY(),"OVERDUE",IF($BD51-TODAY()&lt;=7,"Due within 7 days","Scheduled"))))</f>
        <v>Scheduled</v>
      </c>
      <c r="BG51" s="14" t="n">
        <f aca="true">IF($K51="","",TODAY()-$K51)</f>
        <v>2</v>
      </c>
      <c r="BH51" s="15" t="str">
        <f aca="false">IFERROR(LEFT(IF($B51="","Notes, ","")&amp;IF($K51="","Latest Date Worked, ","")&amp;IF($AY51="","Last Action, ","")&amp;IF(AND(OR(TRIM($A51)="Denied",TRIM($A51)="Rejected"),$BA51=""),"Denial Reason, ","")&amp;IF(AND(TRIM($A51)="Denied",$BB51="",TRIM($BA51)&lt;&gt;"NO DENIAL"),"Denial Code, ","")&amp;IF(AND(TRIM($A51)&lt;&gt;"Finalized",$BD51=""),"Next Review Date, ","")&amp;IF(AND(TRIM($A51)&lt;&gt;"Finalized",$BE51=""),"Next Step, ","")&amp;IF(AND(TRIM($A51)="Finalized",$AV51="",$AR51="",$AT51="",$AX51="",$AW51=""),"CPT outcome, ",""),LEN(IF($B51="","Notes, ","")&amp;IF($K51="","Latest Date Worked, ","")&amp;IF($AY51="","Last Action, ","")&amp;IF(AND(OR(TRIM($A51)="Denied",TRIM($A51)="Rejected"),$BA51=""),"Denial Reason, ","")&amp;IF(AND(TRIM($A51)="Denied",$BB51="",TRIM($BA51)&lt;&gt;"NO DENIAL"),"Denial Code, ","")&amp;IF(AND(TRIM($A51)&lt;&gt;"Finalized",$BD51=""),"Next Review Date, ","")&amp;IF(AND(TRIM($A51)&lt;&gt;"Finalized",$BE51=""),"Next Step, ","")&amp;IF(AND(TRIM($A51)="Finalized",$AV51="",$AR51="",$AT51="",$AX51="",$AW51=""),"CPT outcome, ",""))-2),"")</f>
        <v>Next Step</v>
      </c>
      <c r="BI51" s="15" t="str">
        <f aca="false">IF($BB51="","",IFERROR(INDEX('Denial Codes'!$C:$C,MATCH(LEFT($BB51,FIND(" - ",$BB51&amp;" - ")+2)&amp;"*",'Denial Codes'!$A:$A,0)),""))</f>
        <v>Coding / billing error</v>
      </c>
      <c r="BJ51" s="15" t="str">
        <f aca="false">IF($BA51="","",IFERROR(INDEX(Lists!$B:$B,MATCH(TRIM($BA51),Lists!$A:$A,0))&amp;"",""))</f>
        <v>Fix the code, units, charge or other claim data and resubmit as a corrected claim.</v>
      </c>
    </row>
    <row r="52" customFormat="false" ht="15" hidden="false" customHeight="false" outlineLevel="0" collapsed="false">
      <c r="A52" s="7" t="s">
        <v>17</v>
      </c>
      <c r="B52" s="7" t="s">
        <v>454</v>
      </c>
      <c r="C52" s="8" t="n">
        <v>550288006</v>
      </c>
      <c r="D52" s="9" t="n">
        <v>46101</v>
      </c>
      <c r="E52" s="10" t="s">
        <v>455</v>
      </c>
      <c r="F52" s="11" t="n">
        <v>46071</v>
      </c>
      <c r="G52" s="10" t="s">
        <v>163</v>
      </c>
      <c r="H52" s="10" t="s">
        <v>163</v>
      </c>
      <c r="I52" s="10" t="s">
        <v>129</v>
      </c>
      <c r="J52" s="10" t="s">
        <v>456</v>
      </c>
      <c r="K52" s="9" t="n">
        <v>46183</v>
      </c>
      <c r="L52" s="12" t="n">
        <f aca="true">IF($O52="","",$O52-TODAY())</f>
        <v>-150</v>
      </c>
      <c r="M52" s="12" t="n">
        <f aca="true">IF(AND(TRIM($A52)="Finalized",$K52&lt;&gt;""),"",IF($F52="","",$F52+90-TODAY()))</f>
        <v>-150</v>
      </c>
      <c r="N52" s="12" t="n">
        <f aca="true">IF(AND(TRIM($A52)="Finalized",$K52&lt;&gt;""),"",IF($D52="","",$D52+365-TODAY()))</f>
        <v>155</v>
      </c>
      <c r="O52" s="11" t="n">
        <f aca="false">IF(AND(TRIM($A52)="Finalized",$K52&lt;&gt;""),"",DATE(2026,5,19))</f>
        <v>46161</v>
      </c>
      <c r="P52" s="10" t="s">
        <v>165</v>
      </c>
      <c r="Q52" s="10" t="s">
        <v>166</v>
      </c>
      <c r="R52" s="10" t="s">
        <v>165</v>
      </c>
      <c r="S52" s="10" t="s">
        <v>149</v>
      </c>
      <c r="T52" s="10" t="s">
        <v>114</v>
      </c>
      <c r="U52" s="10" t="s">
        <v>116</v>
      </c>
      <c r="V52" s="10" t="s">
        <v>150</v>
      </c>
      <c r="W52" s="10" t="s">
        <v>183</v>
      </c>
      <c r="X52" s="10"/>
      <c r="Y52" s="10"/>
      <c r="Z52" s="10"/>
      <c r="AA52" s="10" t="s">
        <v>430</v>
      </c>
      <c r="AB52" s="8" t="n">
        <f aca="true">IF($F52="","",TODAY()-$F52)</f>
        <v>240</v>
      </c>
      <c r="AC52" s="10" t="s">
        <v>184</v>
      </c>
      <c r="AD52" s="10" t="s">
        <v>185</v>
      </c>
      <c r="AE52" s="10"/>
      <c r="AF52" s="10"/>
      <c r="AG52" s="10"/>
      <c r="AH52" s="10"/>
      <c r="AI52" s="10"/>
      <c r="AJ52" s="10" t="s">
        <v>212</v>
      </c>
      <c r="AK52" s="10"/>
      <c r="AL52" s="10"/>
      <c r="AM52" s="10"/>
      <c r="AN52" s="8"/>
      <c r="AO52" s="10" t="s">
        <v>344</v>
      </c>
      <c r="AP52" s="10" t="s">
        <v>188</v>
      </c>
      <c r="AQ52" s="11" t="n">
        <v>46086</v>
      </c>
      <c r="AR52" s="13"/>
      <c r="AS52" s="13"/>
      <c r="AT52" s="13"/>
      <c r="AU52" s="13"/>
      <c r="AV52" s="13"/>
      <c r="AW52" s="13"/>
      <c r="AX52" s="13"/>
      <c r="AY52" s="7" t="s">
        <v>328</v>
      </c>
      <c r="AZ52" s="7"/>
      <c r="BA52" s="7"/>
      <c r="BB52" s="7"/>
      <c r="BC52" s="7" t="s">
        <v>457</v>
      </c>
      <c r="BD52" s="9" t="n">
        <v>46213</v>
      </c>
      <c r="BE52" s="7"/>
      <c r="BF52" s="14" t="str">
        <f aca="true">IF(TRIM($A52)="Finalized","Closed",IF($BD52="","No review date set",IF($BD52&lt;TODAY(),"OVERDUE",IF($BD52-TODAY()&lt;=7,"Due within 7 days","Scheduled"))))</f>
        <v>OVERDUE</v>
      </c>
      <c r="BG52" s="14" t="n">
        <f aca="true">IF($K52="","",TODAY()-$K52)</f>
        <v>128</v>
      </c>
      <c r="BH52" s="15" t="str">
        <f aca="false">IFERROR(LEFT(IF($B52="","Notes, ","")&amp;IF($K52="","Latest Date Worked, ","")&amp;IF($AY52="","Last Action, ","")&amp;IF(AND(OR(TRIM($A52)="Denied",TRIM($A52)="Rejected"),$BA52=""),"Denial Reason, ","")&amp;IF(AND(TRIM($A52)="Denied",$BB52="",TRIM($BA52)&lt;&gt;"NO DENIAL"),"Denial Code, ","")&amp;IF(AND(TRIM($A52)&lt;&gt;"Finalized",$BD52=""),"Next Review Date, ","")&amp;IF(AND(TRIM($A52)&lt;&gt;"Finalized",$BE52=""),"Next Step, ","")&amp;IF(AND(TRIM($A52)="Finalized",$AV52="",$AR52="",$AT52="",$AX52="",$AW52=""),"CPT outcome, ",""),LEN(IF($B52="","Notes, ","")&amp;IF($K52="","Latest Date Worked, ","")&amp;IF($AY52="","Last Action, ","")&amp;IF(AND(OR(TRIM($A52)="Denied",TRIM($A52)="Rejected"),$BA52=""),"Denial Reason, ","")&amp;IF(AND(TRIM($A52)="Denied",$BB52="",TRIM($BA52)&lt;&gt;"NO DENIAL"),"Denial Code, ","")&amp;IF(AND(TRIM($A52)&lt;&gt;"Finalized",$BD52=""),"Next Review Date, ","")&amp;IF(AND(TRIM($A52)&lt;&gt;"Finalized",$BE52=""),"Next Step, ","")&amp;IF(AND(TRIM($A52)="Finalized",$AV52="",$AR52="",$AT52="",$AX52="",$AW52=""),"CPT outcome, ",""))-2),"")</f>
        <v>Denial Reason, Denial Code, Next Step</v>
      </c>
      <c r="BI52" s="15" t="str">
        <f aca="false">IF($BB52="","",IFERROR(INDEX('Denial Codes'!$C:$C,MATCH(LEFT($BB52,FIND(" - ",$BB52&amp;" - ")+2)&amp;"*",'Denial Codes'!$A:$A,0)),""))</f>
        <v/>
      </c>
      <c r="BJ52" s="15" t="str">
        <f aca="false">IF($BA52="","",IFERROR(INDEX(Lists!$B:$B,MATCH(TRIM($BA52),Lists!$A:$A,0))&amp;"",""))</f>
        <v/>
      </c>
    </row>
    <row r="53" customFormat="false" ht="15" hidden="false" customHeight="false" outlineLevel="0" collapsed="false">
      <c r="A53" s="7" t="s">
        <v>16</v>
      </c>
      <c r="B53" s="7" t="s">
        <v>458</v>
      </c>
      <c r="C53" s="8" t="n">
        <v>550530483</v>
      </c>
      <c r="D53" s="9" t="n">
        <v>46106</v>
      </c>
      <c r="E53" s="10" t="s">
        <v>459</v>
      </c>
      <c r="F53" s="11" t="n">
        <v>46072</v>
      </c>
      <c r="G53" s="10" t="s">
        <v>460</v>
      </c>
      <c r="H53" s="10" t="s">
        <v>460</v>
      </c>
      <c r="I53" s="10" t="s">
        <v>129</v>
      </c>
      <c r="J53" s="10" t="s">
        <v>461</v>
      </c>
      <c r="K53" s="9" t="n">
        <v>46197</v>
      </c>
      <c r="L53" s="12" t="str">
        <f aca="true">IF($O53="","",$O53-TODAY())</f>
        <v/>
      </c>
      <c r="M53" s="12" t="str">
        <f aca="true">IF(AND(TRIM($A53)="Finalized",$K53&lt;&gt;""),"",IF($D53="","",$D53+180-TODAY()))</f>
        <v/>
      </c>
      <c r="N53" s="12" t="str">
        <f aca="true">IF(AND(TRIM($A53)="Finalized",$K53&lt;&gt;""),"",IF($D53="","",$D53+365-TODAY()))</f>
        <v/>
      </c>
      <c r="O53" s="11" t="str">
        <f aca="false">IF(AND(TRIM($A53)="Finalized",$K53&lt;&gt;""),"",DATE(2026,5,20))</f>
        <v/>
      </c>
      <c r="P53" s="10" t="s">
        <v>165</v>
      </c>
      <c r="Q53" s="10" t="s">
        <v>462</v>
      </c>
      <c r="R53" s="10" t="s">
        <v>147</v>
      </c>
      <c r="S53" s="10" t="s">
        <v>116</v>
      </c>
      <c r="T53" s="10" t="s">
        <v>114</v>
      </c>
      <c r="U53" s="10" t="s">
        <v>116</v>
      </c>
      <c r="V53" s="10" t="s">
        <v>150</v>
      </c>
      <c r="W53" s="10" t="s">
        <v>119</v>
      </c>
      <c r="X53" s="10" t="s">
        <v>120</v>
      </c>
      <c r="Y53" s="10"/>
      <c r="Z53" s="10"/>
      <c r="AA53" s="10" t="s">
        <v>230</v>
      </c>
      <c r="AB53" s="8" t="n">
        <f aca="true">IF($F53="","",TODAY()-$F53)</f>
        <v>239</v>
      </c>
      <c r="AC53" s="10" t="s">
        <v>273</v>
      </c>
      <c r="AD53" s="10"/>
      <c r="AE53" s="10"/>
      <c r="AF53" s="10"/>
      <c r="AG53" s="10"/>
      <c r="AH53" s="10"/>
      <c r="AI53" s="10"/>
      <c r="AJ53" s="10" t="s">
        <v>123</v>
      </c>
      <c r="AK53" s="10" t="s">
        <v>463</v>
      </c>
      <c r="AL53" s="10"/>
      <c r="AM53" s="10"/>
      <c r="AN53" s="8"/>
      <c r="AO53" s="10" t="s">
        <v>341</v>
      </c>
      <c r="AP53" s="10" t="s">
        <v>308</v>
      </c>
      <c r="AQ53" s="11" t="n">
        <v>46077</v>
      </c>
      <c r="AR53" s="13"/>
      <c r="AS53" s="13"/>
      <c r="AT53" s="13" t="s">
        <v>273</v>
      </c>
      <c r="AU53" s="13" t="s">
        <v>464</v>
      </c>
      <c r="AV53" s="13"/>
      <c r="AW53" s="13"/>
      <c r="AX53" s="13"/>
      <c r="AY53" s="7" t="s">
        <v>465</v>
      </c>
      <c r="AZ53" s="7"/>
      <c r="BA53" s="7" t="s">
        <v>34</v>
      </c>
      <c r="BB53" s="7" t="s">
        <v>464</v>
      </c>
      <c r="BC53" s="7" t="s">
        <v>466</v>
      </c>
      <c r="BD53" s="9"/>
      <c r="BE53" s="7"/>
      <c r="BF53" s="14" t="str">
        <f aca="true">IF(TRIM($A53)="Finalized","Closed",IF($BD53="","No review date set",IF($BD53&lt;TODAY(),"OVERDUE",IF($BD53-TODAY()&lt;=7,"Due within 7 days","Scheduled"))))</f>
        <v>Closed</v>
      </c>
      <c r="BG53" s="14" t="n">
        <f aca="true">IF($K53="","",TODAY()-$K53)</f>
        <v>114</v>
      </c>
      <c r="BH53" s="15" t="str">
        <f aca="false">IFERROR(LEFT(IF($B53="","Notes, ","")&amp;IF($K53="","Latest Date Worked, ","")&amp;IF($AY53="","Last Action, ","")&amp;IF(AND(OR(TRIM($A53)="Denied",TRIM($A53)="Rejected"),$BA53=""),"Denial Reason, ","")&amp;IF(AND(TRIM($A53)="Denied",$BB53="",TRIM($BA53)&lt;&gt;"NO DENIAL"),"Denial Code, ","")&amp;IF(AND(TRIM($A53)&lt;&gt;"Finalized",$BD53=""),"Next Review Date, ","")&amp;IF(AND(TRIM($A53)&lt;&gt;"Finalized",$BE53=""),"Next Step, ","")&amp;IF(AND(TRIM($A53)="Finalized",$AV53="",$AR53="",$AT53="",$AX53="",$AW53=""),"CPT outcome, ",""),LEN(IF($B53="","Notes, ","")&amp;IF($K53="","Latest Date Worked, ","")&amp;IF($AY53="","Last Action, ","")&amp;IF(AND(OR(TRIM($A53)="Denied",TRIM($A53)="Rejected"),$BA53=""),"Denial Reason, ","")&amp;IF(AND(TRIM($A53)="Denied",$BB53="",TRIM($BA53)&lt;&gt;"NO DENIAL"),"Denial Code, ","")&amp;IF(AND(TRIM($A53)&lt;&gt;"Finalized",$BD53=""),"Next Review Date, ","")&amp;IF(AND(TRIM($A53)&lt;&gt;"Finalized",$BE53=""),"Next Step, ","")&amp;IF(AND(TRIM($A53)="Finalized",$AV53="",$AR53="",$AT53="",$AX53="",$AW53=""),"CPT outcome, ",""))-2),"")</f>
        <v/>
      </c>
      <c r="BI53" s="15" t="str">
        <f aca="false">IF($BB53="","",IFERROR(INDEX('Denial Codes'!$C:$C,MATCH(LEFT($BB53,FIND(" - ",$BB53&amp;" - ")+2)&amp;"*",'Denial Codes'!$A:$A,0)),""))</f>
        <v>No authorization</v>
      </c>
      <c r="BJ53" s="15" t="str">
        <f aca="false">IF($BA53="","",IFERROR(INDEX(Lists!$B:$B,MATCH(TRIM($BA53),Lists!$A:$A,0))&amp;"",""))</f>
        <v>Check the portal for an auth; request a retro-auth or file an appeal with the auth number, then resubmit.</v>
      </c>
    </row>
    <row r="54" customFormat="false" ht="15" hidden="false" customHeight="false" outlineLevel="0" collapsed="false">
      <c r="A54" s="7" t="s">
        <v>16</v>
      </c>
      <c r="B54" s="7" t="s">
        <v>467</v>
      </c>
      <c r="C54" s="8" t="n">
        <v>557794229</v>
      </c>
      <c r="D54" s="9" t="n">
        <v>46147</v>
      </c>
      <c r="E54" s="10" t="s">
        <v>468</v>
      </c>
      <c r="F54" s="11" t="n">
        <v>46073</v>
      </c>
      <c r="G54" s="10" t="s">
        <v>369</v>
      </c>
      <c r="H54" s="10" t="s">
        <v>369</v>
      </c>
      <c r="I54" s="10" t="s">
        <v>129</v>
      </c>
      <c r="J54" s="10" t="s">
        <v>370</v>
      </c>
      <c r="K54" s="9" t="n">
        <v>46247</v>
      </c>
      <c r="L54" s="12" t="str">
        <f aca="true">IF($O54="","",$O54-TODAY())</f>
        <v/>
      </c>
      <c r="M54" s="12" t="str">
        <f aca="true">IF(AND(TRIM($A54)="Finalized",$K54&lt;&gt;""),"",IF($D54="","",$D54+365-TODAY()))</f>
        <v/>
      </c>
      <c r="N54" s="12" t="str">
        <f aca="true">IF(AND(TRIM($A54)="Finalized",$K54&lt;&gt;""),"",IF($D54="","",$D54+365-TODAY()))</f>
        <v/>
      </c>
      <c r="O54" s="11" t="str">
        <f aca="false">IF(AND(TRIM($A54)="Finalized",$K54&lt;&gt;""),"",DATE(2026,5,21))</f>
        <v/>
      </c>
      <c r="P54" s="10" t="s">
        <v>165</v>
      </c>
      <c r="Q54" s="10" t="s">
        <v>371</v>
      </c>
      <c r="R54" s="10" t="s">
        <v>114</v>
      </c>
      <c r="S54" s="10" t="s">
        <v>116</v>
      </c>
      <c r="T54" s="10" t="s">
        <v>114</v>
      </c>
      <c r="U54" s="10" t="s">
        <v>116</v>
      </c>
      <c r="V54" s="10" t="s">
        <v>150</v>
      </c>
      <c r="W54" s="10" t="s">
        <v>183</v>
      </c>
      <c r="X54" s="10"/>
      <c r="Y54" s="10"/>
      <c r="Z54" s="10"/>
      <c r="AA54" s="10" t="s">
        <v>197</v>
      </c>
      <c r="AB54" s="8" t="n">
        <f aca="true">IF($F54="","",TODAY()-$F54)</f>
        <v>238</v>
      </c>
      <c r="AC54" s="10" t="s">
        <v>211</v>
      </c>
      <c r="AD54" s="10"/>
      <c r="AE54" s="10"/>
      <c r="AF54" s="10"/>
      <c r="AG54" s="10"/>
      <c r="AH54" s="10"/>
      <c r="AI54" s="10"/>
      <c r="AJ54" s="10" t="s">
        <v>186</v>
      </c>
      <c r="AK54" s="10"/>
      <c r="AL54" s="10"/>
      <c r="AM54" s="10"/>
      <c r="AN54" s="8"/>
      <c r="AO54" s="10" t="s">
        <v>326</v>
      </c>
      <c r="AP54" s="10" t="s">
        <v>202</v>
      </c>
      <c r="AQ54" s="11" t="n">
        <v>46086</v>
      </c>
      <c r="AR54" s="13"/>
      <c r="AS54" s="13"/>
      <c r="AT54" s="13"/>
      <c r="AU54" s="13"/>
      <c r="AV54" s="13" t="s">
        <v>185</v>
      </c>
      <c r="AW54" s="13"/>
      <c r="AX54" s="13" t="s">
        <v>469</v>
      </c>
      <c r="AY54" s="7" t="s">
        <v>363</v>
      </c>
      <c r="AZ54" s="7" t="s">
        <v>159</v>
      </c>
      <c r="BA54" s="7" t="s">
        <v>40</v>
      </c>
      <c r="BB54" s="7" t="s">
        <v>372</v>
      </c>
      <c r="BC54" s="7"/>
      <c r="BD54" s="9"/>
      <c r="BE54" s="7"/>
      <c r="BF54" s="14" t="str">
        <f aca="true">IF(TRIM($A54)="Finalized","Closed",IF($BD54="","No review date set",IF($BD54&lt;TODAY(),"OVERDUE",IF($BD54-TODAY()&lt;=7,"Due within 7 days","Scheduled"))))</f>
        <v>Closed</v>
      </c>
      <c r="BG54" s="14" t="n">
        <f aca="true">IF($K54="","",TODAY()-$K54)</f>
        <v>64</v>
      </c>
      <c r="BH54" s="15" t="str">
        <f aca="false">IFERROR(LEFT(IF($B54="","Notes, ","")&amp;IF($K54="","Latest Date Worked, ","")&amp;IF($AY54="","Last Action, ","")&amp;IF(AND(OR(TRIM($A54)="Denied",TRIM($A54)="Rejected"),$BA54=""),"Denial Reason, ","")&amp;IF(AND(TRIM($A54)="Denied",$BB54="",TRIM($BA54)&lt;&gt;"NO DENIAL"),"Denial Code, ","")&amp;IF(AND(TRIM($A54)&lt;&gt;"Finalized",$BD54=""),"Next Review Date, ","")&amp;IF(AND(TRIM($A54)&lt;&gt;"Finalized",$BE54=""),"Next Step, ","")&amp;IF(AND(TRIM($A54)="Finalized",$AV54="",$AR54="",$AT54="",$AX54="",$AW54=""),"CPT outcome, ",""),LEN(IF($B54="","Notes, ","")&amp;IF($K54="","Latest Date Worked, ","")&amp;IF($AY54="","Last Action, ","")&amp;IF(AND(OR(TRIM($A54)="Denied",TRIM($A54)="Rejected"),$BA54=""),"Denial Reason, ","")&amp;IF(AND(TRIM($A54)="Denied",$BB54="",TRIM($BA54)&lt;&gt;"NO DENIAL"),"Denial Code, ","")&amp;IF(AND(TRIM($A54)&lt;&gt;"Finalized",$BD54=""),"Next Review Date, ","")&amp;IF(AND(TRIM($A54)&lt;&gt;"Finalized",$BE54=""),"Next Step, ","")&amp;IF(AND(TRIM($A54)="Finalized",$AV54="",$AR54="",$AT54="",$AX54="",$AW54=""),"CPT outcome, ",""))-2),"")</f>
        <v/>
      </c>
      <c r="BI54" s="15" t="str">
        <f aca="false">IF($BB54="","",IFERROR(INDEX('Denial Codes'!$C:$C,MATCH(LEFT($BB54,FIND(" - ",$BB54&amp;" - ")+2)&amp;"*",'Denial Codes'!$A:$A,0)),""))</f>
        <v>Coding / billing error</v>
      </c>
      <c r="BJ54" s="15" t="str">
        <f aca="false">IF($BA54="","",IFERROR(INDEX(Lists!$B:$B,MATCH(TRIM($BA54),Lists!$A:$A,0))&amp;"",""))</f>
        <v>Fix the code, units, charge or other claim data and resubmit as a corrected claim.</v>
      </c>
    </row>
    <row r="55" customFormat="false" ht="15" hidden="false" customHeight="false" outlineLevel="0" collapsed="false">
      <c r="A55" s="7" t="s">
        <v>16</v>
      </c>
      <c r="B55" s="7" t="s">
        <v>470</v>
      </c>
      <c r="C55" s="8" t="n">
        <v>557793858</v>
      </c>
      <c r="D55" s="9" t="n">
        <v>46147</v>
      </c>
      <c r="E55" s="10" t="s">
        <v>471</v>
      </c>
      <c r="F55" s="11" t="n">
        <v>46073</v>
      </c>
      <c r="G55" s="10" t="s">
        <v>369</v>
      </c>
      <c r="H55" s="10" t="s">
        <v>369</v>
      </c>
      <c r="I55" s="10" t="s">
        <v>129</v>
      </c>
      <c r="J55" s="10" t="s">
        <v>370</v>
      </c>
      <c r="K55" s="9" t="n">
        <v>46266</v>
      </c>
      <c r="L55" s="12" t="str">
        <f aca="true">IF($O55="","",$O55-TODAY())</f>
        <v/>
      </c>
      <c r="M55" s="12" t="str">
        <f aca="true">IF(AND(TRIM($A55)="Finalized",$K55&lt;&gt;""),"",IF($D55="","",$D55+365-TODAY()))</f>
        <v/>
      </c>
      <c r="N55" s="12" t="str">
        <f aca="true">IF(AND(TRIM($A55)="Finalized",$K55&lt;&gt;""),"",IF($D55="","",$D55+365-TODAY()))</f>
        <v/>
      </c>
      <c r="O55" s="11" t="str">
        <f aca="false">IF(AND(TRIM($A55)="Finalized",$K55&lt;&gt;""),"",DATE(2026,5,21))</f>
        <v/>
      </c>
      <c r="P55" s="10" t="s">
        <v>165</v>
      </c>
      <c r="Q55" s="10" t="s">
        <v>371</v>
      </c>
      <c r="R55" s="10" t="s">
        <v>114</v>
      </c>
      <c r="S55" s="10" t="s">
        <v>116</v>
      </c>
      <c r="T55" s="10" t="s">
        <v>114</v>
      </c>
      <c r="U55" s="10" t="s">
        <v>116</v>
      </c>
      <c r="V55" s="10" t="s">
        <v>150</v>
      </c>
      <c r="W55" s="10" t="s">
        <v>183</v>
      </c>
      <c r="X55" s="10"/>
      <c r="Y55" s="10"/>
      <c r="Z55" s="10"/>
      <c r="AA55" s="10" t="s">
        <v>197</v>
      </c>
      <c r="AB55" s="8" t="n">
        <f aca="true">IF($F55="","",TODAY()-$F55)</f>
        <v>238</v>
      </c>
      <c r="AC55" s="10" t="s">
        <v>211</v>
      </c>
      <c r="AD55" s="10"/>
      <c r="AE55" s="10"/>
      <c r="AF55" s="10"/>
      <c r="AG55" s="10"/>
      <c r="AH55" s="10"/>
      <c r="AI55" s="10"/>
      <c r="AJ55" s="10" t="s">
        <v>186</v>
      </c>
      <c r="AK55" s="10"/>
      <c r="AL55" s="10"/>
      <c r="AM55" s="10"/>
      <c r="AN55" s="8"/>
      <c r="AO55" s="10" t="s">
        <v>201</v>
      </c>
      <c r="AP55" s="10" t="s">
        <v>202</v>
      </c>
      <c r="AQ55" s="11" t="n">
        <v>46086</v>
      </c>
      <c r="AR55" s="13"/>
      <c r="AS55" s="13"/>
      <c r="AT55" s="13"/>
      <c r="AU55" s="13"/>
      <c r="AV55" s="13" t="s">
        <v>185</v>
      </c>
      <c r="AW55" s="13"/>
      <c r="AX55" s="13" t="s">
        <v>405</v>
      </c>
      <c r="AY55" s="7" t="s">
        <v>363</v>
      </c>
      <c r="AZ55" s="7" t="s">
        <v>159</v>
      </c>
      <c r="BA55" s="7" t="s">
        <v>40</v>
      </c>
      <c r="BB55" s="7" t="s">
        <v>372</v>
      </c>
      <c r="BC55" s="7"/>
      <c r="BD55" s="9"/>
      <c r="BE55" s="7"/>
      <c r="BF55" s="14" t="str">
        <f aca="true">IF(TRIM($A55)="Finalized","Closed",IF($BD55="","No review date set",IF($BD55&lt;TODAY(),"OVERDUE",IF($BD55-TODAY()&lt;=7,"Due within 7 days","Scheduled"))))</f>
        <v>Closed</v>
      </c>
      <c r="BG55" s="14" t="n">
        <f aca="true">IF($K55="","",TODAY()-$K55)</f>
        <v>45</v>
      </c>
      <c r="BH55" s="15" t="str">
        <f aca="false">IFERROR(LEFT(IF($B55="","Notes, ","")&amp;IF($K55="","Latest Date Worked, ","")&amp;IF($AY55="","Last Action, ","")&amp;IF(AND(OR(TRIM($A55)="Denied",TRIM($A55)="Rejected"),$BA55=""),"Denial Reason, ","")&amp;IF(AND(TRIM($A55)="Denied",$BB55="",TRIM($BA55)&lt;&gt;"NO DENIAL"),"Denial Code, ","")&amp;IF(AND(TRIM($A55)&lt;&gt;"Finalized",$BD55=""),"Next Review Date, ","")&amp;IF(AND(TRIM($A55)&lt;&gt;"Finalized",$BE55=""),"Next Step, ","")&amp;IF(AND(TRIM($A55)="Finalized",$AV55="",$AR55="",$AT55="",$AX55="",$AW55=""),"CPT outcome, ",""),LEN(IF($B55="","Notes, ","")&amp;IF($K55="","Latest Date Worked, ","")&amp;IF($AY55="","Last Action, ","")&amp;IF(AND(OR(TRIM($A55)="Denied",TRIM($A55)="Rejected"),$BA55=""),"Denial Reason, ","")&amp;IF(AND(TRIM($A55)="Denied",$BB55="",TRIM($BA55)&lt;&gt;"NO DENIAL"),"Denial Code, ","")&amp;IF(AND(TRIM($A55)&lt;&gt;"Finalized",$BD55=""),"Next Review Date, ","")&amp;IF(AND(TRIM($A55)&lt;&gt;"Finalized",$BE55=""),"Next Step, ","")&amp;IF(AND(TRIM($A55)="Finalized",$AV55="",$AR55="",$AT55="",$AX55="",$AW55=""),"CPT outcome, ",""))-2),"")</f>
        <v/>
      </c>
      <c r="BI55" s="15" t="str">
        <f aca="false">IF($BB55="","",IFERROR(INDEX('Denial Codes'!$C:$C,MATCH(LEFT($BB55,FIND(" - ",$BB55&amp;" - ")+2)&amp;"*",'Denial Codes'!$A:$A,0)),""))</f>
        <v>Coding / billing error</v>
      </c>
      <c r="BJ55" s="15" t="str">
        <f aca="false">IF($BA55="","",IFERROR(INDEX(Lists!$B:$B,MATCH(TRIM($BA55),Lists!$A:$A,0))&amp;"",""))</f>
        <v>Fix the code, units, charge or other claim data and resubmit as a corrected claim.</v>
      </c>
    </row>
    <row r="56" customFormat="false" ht="15" hidden="false" customHeight="false" outlineLevel="0" collapsed="false">
      <c r="A56" s="7" t="s">
        <v>16</v>
      </c>
      <c r="B56" s="7" t="s">
        <v>472</v>
      </c>
      <c r="C56" s="8" t="n">
        <v>562083380</v>
      </c>
      <c r="D56" s="9" t="n">
        <v>46189</v>
      </c>
      <c r="E56" s="10" t="s">
        <v>473</v>
      </c>
      <c r="F56" s="11" t="n">
        <v>46080</v>
      </c>
      <c r="G56" s="10" t="s">
        <v>369</v>
      </c>
      <c r="H56" s="10" t="s">
        <v>369</v>
      </c>
      <c r="I56" s="10" t="s">
        <v>129</v>
      </c>
      <c r="J56" s="10" t="s">
        <v>474</v>
      </c>
      <c r="K56" s="9" t="n">
        <v>46247</v>
      </c>
      <c r="L56" s="12" t="str">
        <f aca="true">IF($O56="","",$O56-TODAY())</f>
        <v/>
      </c>
      <c r="M56" s="12" t="str">
        <f aca="true">IF(AND(TRIM($A56)="Finalized",$K56&lt;&gt;""),"",IF($D56="","",$D56+365-TODAY()))</f>
        <v/>
      </c>
      <c r="N56" s="12" t="str">
        <f aca="true">IF(AND(TRIM($A56)="Finalized",$K56&lt;&gt;""),"",IF($D56="","",$D56+365-TODAY()))</f>
        <v/>
      </c>
      <c r="O56" s="11" t="str">
        <f aca="false">IF(AND(TRIM($A56)="Finalized",$K56&lt;&gt;""),"",DATE(2026,5,28))</f>
        <v/>
      </c>
      <c r="P56" s="10" t="s">
        <v>165</v>
      </c>
      <c r="Q56" s="10" t="s">
        <v>371</v>
      </c>
      <c r="R56" s="10" t="s">
        <v>114</v>
      </c>
      <c r="S56" s="10" t="s">
        <v>116</v>
      </c>
      <c r="T56" s="10" t="s">
        <v>114</v>
      </c>
      <c r="U56" s="10" t="s">
        <v>116</v>
      </c>
      <c r="V56" s="10" t="s">
        <v>150</v>
      </c>
      <c r="W56" s="10" t="s">
        <v>132</v>
      </c>
      <c r="X56" s="10" t="s">
        <v>133</v>
      </c>
      <c r="Y56" s="10"/>
      <c r="Z56" s="10"/>
      <c r="AA56" s="10" t="s">
        <v>197</v>
      </c>
      <c r="AB56" s="8" t="n">
        <f aca="true">IF($F56="","",TODAY()-$F56)</f>
        <v>231</v>
      </c>
      <c r="AC56" s="10" t="s">
        <v>246</v>
      </c>
      <c r="AD56" s="10"/>
      <c r="AE56" s="10"/>
      <c r="AF56" s="10"/>
      <c r="AG56" s="10"/>
      <c r="AH56" s="10"/>
      <c r="AI56" s="10"/>
      <c r="AJ56" s="10" t="s">
        <v>124</v>
      </c>
      <c r="AK56" s="10"/>
      <c r="AL56" s="10"/>
      <c r="AM56" s="10"/>
      <c r="AN56" s="8"/>
      <c r="AO56" s="10" t="s">
        <v>201</v>
      </c>
      <c r="AP56" s="10" t="s">
        <v>327</v>
      </c>
      <c r="AQ56" s="11" t="n">
        <v>46083</v>
      </c>
      <c r="AR56" s="13"/>
      <c r="AS56" s="13"/>
      <c r="AT56" s="13"/>
      <c r="AU56" s="13"/>
      <c r="AV56" s="13"/>
      <c r="AW56" s="13"/>
      <c r="AX56" s="13" t="n">
        <v>63047</v>
      </c>
      <c r="AY56" s="7" t="s">
        <v>363</v>
      </c>
      <c r="AZ56" s="7" t="s">
        <v>159</v>
      </c>
      <c r="BA56" s="7" t="s">
        <v>38</v>
      </c>
      <c r="BB56" s="7" t="s">
        <v>215</v>
      </c>
      <c r="BC56" s="7"/>
      <c r="BD56" s="9"/>
      <c r="BE56" s="7"/>
      <c r="BF56" s="14" t="str">
        <f aca="true">IF(TRIM($A56)="Finalized","Closed",IF($BD56="","No review date set",IF($BD56&lt;TODAY(),"OVERDUE",IF($BD56-TODAY()&lt;=7,"Due within 7 days","Scheduled"))))</f>
        <v>Closed</v>
      </c>
      <c r="BG56" s="14" t="n">
        <f aca="true">IF($K56="","",TODAY()-$K56)</f>
        <v>64</v>
      </c>
      <c r="BH56" s="15" t="str">
        <f aca="false">IFERROR(LEFT(IF($B56="","Notes, ","")&amp;IF($K56="","Latest Date Worked, ","")&amp;IF($AY56="","Last Action, ","")&amp;IF(AND(OR(TRIM($A56)="Denied",TRIM($A56)="Rejected"),$BA56=""),"Denial Reason, ","")&amp;IF(AND(TRIM($A56)="Denied",$BB56="",TRIM($BA56)&lt;&gt;"NO DENIAL"),"Denial Code, ","")&amp;IF(AND(TRIM($A56)&lt;&gt;"Finalized",$BD56=""),"Next Review Date, ","")&amp;IF(AND(TRIM($A56)&lt;&gt;"Finalized",$BE56=""),"Next Step, ","")&amp;IF(AND(TRIM($A56)="Finalized",$AV56="",$AR56="",$AT56="",$AX56="",$AW56=""),"CPT outcome, ",""),LEN(IF($B56="","Notes, ","")&amp;IF($K56="","Latest Date Worked, ","")&amp;IF($AY56="","Last Action, ","")&amp;IF(AND(OR(TRIM($A56)="Denied",TRIM($A56)="Rejected"),$BA56=""),"Denial Reason, ","")&amp;IF(AND(TRIM($A56)="Denied",$BB56="",TRIM($BA56)&lt;&gt;"NO DENIAL"),"Denial Code, ","")&amp;IF(AND(TRIM($A56)&lt;&gt;"Finalized",$BD56=""),"Next Review Date, ","")&amp;IF(AND(TRIM($A56)&lt;&gt;"Finalized",$BE56=""),"Next Step, ","")&amp;IF(AND(TRIM($A56)="Finalized",$AV56="",$AR56="",$AT56="",$AX56="",$AW56=""),"CPT outcome, ",""))-2),"")</f>
        <v/>
      </c>
      <c r="BI56" s="15" t="str">
        <f aca="false">IF($BB56="","",IFERROR(INDEX('Denial Codes'!$C:$C,MATCH(LEFT($BB56,FIND(" - ",$BB56&amp;" - ")+2)&amp;"*",'Denial Codes'!$A:$A,0)),""))</f>
        <v>Bundled / NCCI edit</v>
      </c>
      <c r="BJ56" s="15" t="str">
        <f aca="false">IF($BA56="","",IFERROR(INDEX(Lists!$B:$B,MATCH(TRIM($BA56),Lists!$A:$A,0))&amp;"",""))</f>
        <v>Correct or add the modifier (e.g. NU/RR, KX, RT/LT, 25) and resubmit.</v>
      </c>
    </row>
    <row r="57" customFormat="false" ht="15" hidden="false" customHeight="false" outlineLevel="0" collapsed="false">
      <c r="A57" s="7" t="s">
        <v>16</v>
      </c>
      <c r="B57" s="7" t="s">
        <v>475</v>
      </c>
      <c r="C57" s="8" t="n">
        <v>555067836</v>
      </c>
      <c r="D57" s="9" t="n">
        <v>46217</v>
      </c>
      <c r="E57" s="10" t="s">
        <v>476</v>
      </c>
      <c r="F57" s="11" t="n">
        <v>46083</v>
      </c>
      <c r="G57" s="10" t="s">
        <v>208</v>
      </c>
      <c r="H57" s="10" t="s">
        <v>208</v>
      </c>
      <c r="I57" s="10" t="s">
        <v>208</v>
      </c>
      <c r="J57" s="10" t="s">
        <v>477</v>
      </c>
      <c r="K57" s="9" t="n">
        <v>46197</v>
      </c>
      <c r="L57" s="12" t="str">
        <f aca="true">IF($O57="","",$O57-TODAY())</f>
        <v/>
      </c>
      <c r="M57" s="12" t="str">
        <f aca="true">IF(AND(TRIM($A57)="Finalized",$K57&lt;&gt;""),"",IF($D57="","",$D57+180-TODAY()))</f>
        <v/>
      </c>
      <c r="N57" s="12" t="str">
        <f aca="true">IF(AND(TRIM($A57)="Finalized",$K57&lt;&gt;""),"",IF($D57="","",$D57+365-TODAY()))</f>
        <v/>
      </c>
      <c r="O57" s="11" t="str">
        <f aca="false">IF(AND(TRIM($A57)="Finalized",$K57&lt;&gt;""),"",DATE(2026,5,31))</f>
        <v/>
      </c>
      <c r="P57" s="10" t="s">
        <v>165</v>
      </c>
      <c r="Q57" s="10" t="s">
        <v>210</v>
      </c>
      <c r="R57" s="10" t="s">
        <v>147</v>
      </c>
      <c r="S57" s="10" t="s">
        <v>116</v>
      </c>
      <c r="T57" s="10" t="s">
        <v>114</v>
      </c>
      <c r="U57" s="10" t="s">
        <v>116</v>
      </c>
      <c r="V57" s="10" t="s">
        <v>167</v>
      </c>
      <c r="W57" s="10" t="s">
        <v>434</v>
      </c>
      <c r="X57" s="10" t="s">
        <v>478</v>
      </c>
      <c r="Y57" s="10" t="s">
        <v>479</v>
      </c>
      <c r="Z57" s="10" t="s">
        <v>436</v>
      </c>
      <c r="AA57" s="10" t="s">
        <v>480</v>
      </c>
      <c r="AB57" s="8" t="n">
        <f aca="true">IF($F57="","",TODAY()-$F57)</f>
        <v>228</v>
      </c>
      <c r="AC57" s="10" t="s">
        <v>439</v>
      </c>
      <c r="AD57" s="10" t="s">
        <v>438</v>
      </c>
      <c r="AE57" s="10" t="s">
        <v>441</v>
      </c>
      <c r="AF57" s="10"/>
      <c r="AG57" s="10"/>
      <c r="AH57" s="10"/>
      <c r="AI57" s="10"/>
      <c r="AJ57" s="10" t="s">
        <v>444</v>
      </c>
      <c r="AK57" s="10" t="s">
        <v>445</v>
      </c>
      <c r="AL57" s="10" t="s">
        <v>446</v>
      </c>
      <c r="AM57" s="10"/>
      <c r="AN57" s="8"/>
      <c r="AO57" s="10" t="s">
        <v>447</v>
      </c>
      <c r="AP57" s="10" t="s">
        <v>175</v>
      </c>
      <c r="AQ57" s="11" t="n">
        <v>46119</v>
      </c>
      <c r="AR57" s="13"/>
      <c r="AS57" s="13"/>
      <c r="AT57" s="13"/>
      <c r="AU57" s="13"/>
      <c r="AV57" s="13" t="s">
        <v>481</v>
      </c>
      <c r="AW57" s="13"/>
      <c r="AX57" s="13" t="s">
        <v>481</v>
      </c>
      <c r="AY57" s="7" t="s">
        <v>363</v>
      </c>
      <c r="AZ57" s="7" t="s">
        <v>203</v>
      </c>
      <c r="BA57" s="7" t="s">
        <v>36</v>
      </c>
      <c r="BB57" s="7" t="s">
        <v>204</v>
      </c>
      <c r="BC57" s="7" t="s">
        <v>482</v>
      </c>
      <c r="BD57" s="9"/>
      <c r="BE57" s="7"/>
      <c r="BF57" s="14" t="str">
        <f aca="true">IF(TRIM($A57)="Finalized","Closed",IF($BD57="","No review date set",IF($BD57&lt;TODAY(),"OVERDUE",IF($BD57-TODAY()&lt;=7,"Due within 7 days","Scheduled"))))</f>
        <v>Closed</v>
      </c>
      <c r="BG57" s="14" t="n">
        <f aca="true">IF($K57="","",TODAY()-$K57)</f>
        <v>114</v>
      </c>
      <c r="BH57" s="15" t="str">
        <f aca="false">IFERROR(LEFT(IF($B57="","Notes, ","")&amp;IF($K57="","Latest Date Worked, ","")&amp;IF($AY57="","Last Action, ","")&amp;IF(AND(OR(TRIM($A57)="Denied",TRIM($A57)="Rejected"),$BA57=""),"Denial Reason, ","")&amp;IF(AND(TRIM($A57)="Denied",$BB57="",TRIM($BA57)&lt;&gt;"NO DENIAL"),"Denial Code, ","")&amp;IF(AND(TRIM($A57)&lt;&gt;"Finalized",$BD57=""),"Next Review Date, ","")&amp;IF(AND(TRIM($A57)&lt;&gt;"Finalized",$BE57=""),"Next Step, ","")&amp;IF(AND(TRIM($A57)="Finalized",$AV57="",$AR57="",$AT57="",$AX57="",$AW57=""),"CPT outcome, ",""),LEN(IF($B57="","Notes, ","")&amp;IF($K57="","Latest Date Worked, ","")&amp;IF($AY57="","Last Action, ","")&amp;IF(AND(OR(TRIM($A57)="Denied",TRIM($A57)="Rejected"),$BA57=""),"Denial Reason, ","")&amp;IF(AND(TRIM($A57)="Denied",$BB57="",TRIM($BA57)&lt;&gt;"NO DENIAL"),"Denial Code, ","")&amp;IF(AND(TRIM($A57)&lt;&gt;"Finalized",$BD57=""),"Next Review Date, ","")&amp;IF(AND(TRIM($A57)&lt;&gt;"Finalized",$BE57=""),"Next Step, ","")&amp;IF(AND(TRIM($A57)="Finalized",$AV57="",$AR57="",$AT57="",$AX57="",$AW57=""),"CPT outcome, ",""))-2),"")</f>
        <v/>
      </c>
      <c r="BI57" s="15" t="str">
        <f aca="false">IF($BB57="","",IFERROR(INDEX('Denial Codes'!$C:$C,MATCH(LEFT($BB57,FIND(" - ",$BB57&amp;" - ")+2)&amp;"*",'Denial Codes'!$A:$A,0)),""))</f>
        <v>Medical records needed</v>
      </c>
      <c r="BJ57" s="15" t="str">
        <f aca="false">IF($BA57="","",IFERROR(INDEX(Lists!$B:$B,MATCH(TRIM($BA57),Lists!$A:$A,0))&amp;"",""))</f>
        <v>Upload the MR on the payer portal, note the PIQ/reference number and set a review date.</v>
      </c>
    </row>
    <row r="58" customFormat="false" ht="15" hidden="false" customHeight="false" outlineLevel="0" collapsed="false">
      <c r="A58" s="7" t="s">
        <v>17</v>
      </c>
      <c r="B58" s="7" t="s">
        <v>483</v>
      </c>
      <c r="C58" s="8" t="n">
        <v>571606836</v>
      </c>
      <c r="D58" s="9" t="n">
        <v>46113</v>
      </c>
      <c r="E58" s="10" t="s">
        <v>484</v>
      </c>
      <c r="F58" s="11" t="n">
        <v>46084</v>
      </c>
      <c r="G58" s="10" t="s">
        <v>485</v>
      </c>
      <c r="H58" s="10" t="s">
        <v>485</v>
      </c>
      <c r="I58" s="10" t="s">
        <v>129</v>
      </c>
      <c r="J58" s="10" t="s">
        <v>486</v>
      </c>
      <c r="K58" s="9" t="n">
        <v>46278</v>
      </c>
      <c r="L58" s="12" t="n">
        <f aca="true">IF($O58="","",$O58-TODAY())</f>
        <v>-137</v>
      </c>
      <c r="M58" s="12" t="n">
        <f aca="true">IF(AND(TRIM($A58)="Finalized",$K58&lt;&gt;""),"",IF($F58="","",$F58+90-TODAY()))</f>
        <v>-137</v>
      </c>
      <c r="N58" s="12" t="n">
        <f aca="true">IF(AND(TRIM($A58)="Finalized",$K58&lt;&gt;""),"",IF($D58="","",$D58+180-TODAY()))</f>
        <v>-18</v>
      </c>
      <c r="O58" s="11" t="n">
        <f aca="false">IF(AND(TRIM($A58)="Finalized",$K58&lt;&gt;""),"",DATE(2026,6,1))</f>
        <v>46174</v>
      </c>
      <c r="P58" s="10" t="s">
        <v>165</v>
      </c>
      <c r="Q58" s="10" t="s">
        <v>220</v>
      </c>
      <c r="R58" s="10" t="s">
        <v>165</v>
      </c>
      <c r="S58" s="10" t="s">
        <v>149</v>
      </c>
      <c r="T58" s="10" t="s">
        <v>147</v>
      </c>
      <c r="U58" s="10" t="s">
        <v>116</v>
      </c>
      <c r="V58" s="10" t="s">
        <v>167</v>
      </c>
      <c r="W58" s="10" t="s">
        <v>196</v>
      </c>
      <c r="X58" s="10"/>
      <c r="Y58" s="10"/>
      <c r="Z58" s="10"/>
      <c r="AA58" s="10" t="s">
        <v>197</v>
      </c>
      <c r="AB58" s="8" t="n">
        <f aca="true">IF($F58="","",TODAY()-$F58)</f>
        <v>227</v>
      </c>
      <c r="AC58" s="10" t="s">
        <v>198</v>
      </c>
      <c r="AD58" s="10" t="s">
        <v>487</v>
      </c>
      <c r="AE58" s="10"/>
      <c r="AF58" s="10"/>
      <c r="AG58" s="10"/>
      <c r="AH58" s="10"/>
      <c r="AI58" s="10"/>
      <c r="AJ58" s="10" t="s">
        <v>139</v>
      </c>
      <c r="AK58" s="10" t="s">
        <v>375</v>
      </c>
      <c r="AL58" s="10" t="s">
        <v>488</v>
      </c>
      <c r="AM58" s="10" t="s">
        <v>199</v>
      </c>
      <c r="AN58" s="8"/>
      <c r="AO58" s="10" t="s">
        <v>201</v>
      </c>
      <c r="AP58" s="10" t="s">
        <v>202</v>
      </c>
      <c r="AQ58" s="11" t="n">
        <v>46106</v>
      </c>
      <c r="AR58" s="13"/>
      <c r="AS58" s="13"/>
      <c r="AT58" s="13"/>
      <c r="AU58" s="13"/>
      <c r="AV58" s="13" t="s">
        <v>198</v>
      </c>
      <c r="AW58" s="13" t="s">
        <v>487</v>
      </c>
      <c r="AX58" s="13" t="s">
        <v>489</v>
      </c>
      <c r="AY58" s="7" t="s">
        <v>159</v>
      </c>
      <c r="AZ58" s="7"/>
      <c r="BA58" s="7" t="s">
        <v>39</v>
      </c>
      <c r="BB58" s="7" t="s">
        <v>490</v>
      </c>
      <c r="BC58" s="7"/>
      <c r="BD58" s="9" t="n">
        <v>46308</v>
      </c>
      <c r="BE58" s="7"/>
      <c r="BF58" s="14" t="str">
        <f aca="true">IF(TRIM($A58)="Finalized","Closed",IF($BD58="","No review date set",IF($BD58&lt;TODAY(),"OVERDUE",IF($BD58-TODAY()&lt;=7,"Due within 7 days","Scheduled"))))</f>
        <v>OVERDUE</v>
      </c>
      <c r="BG58" s="14" t="n">
        <f aca="true">IF($K58="","",TODAY()-$K58)</f>
        <v>33</v>
      </c>
      <c r="BH58" s="15" t="str">
        <f aca="false">IFERROR(LEFT(IF($B58="","Notes, ","")&amp;IF($K58="","Latest Date Worked, ","")&amp;IF($AY58="","Last Action, ","")&amp;IF(AND(OR(TRIM($A58)="Denied",TRIM($A58)="Rejected"),$BA58=""),"Denial Reason, ","")&amp;IF(AND(TRIM($A58)="Denied",$BB58="",TRIM($BA58)&lt;&gt;"NO DENIAL"),"Denial Code, ","")&amp;IF(AND(TRIM($A58)&lt;&gt;"Finalized",$BD58=""),"Next Review Date, ","")&amp;IF(AND(TRIM($A58)&lt;&gt;"Finalized",$BE58=""),"Next Step, ","")&amp;IF(AND(TRIM($A58)="Finalized",$AV58="",$AR58="",$AT58="",$AX58="",$AW58=""),"CPT outcome, ",""),LEN(IF($B58="","Notes, ","")&amp;IF($K58="","Latest Date Worked, ","")&amp;IF($AY58="","Last Action, ","")&amp;IF(AND(OR(TRIM($A58)="Denied",TRIM($A58)="Rejected"),$BA58=""),"Denial Reason, ","")&amp;IF(AND(TRIM($A58)="Denied",$BB58="",TRIM($BA58)&lt;&gt;"NO DENIAL"),"Denial Code, ","")&amp;IF(AND(TRIM($A58)&lt;&gt;"Finalized",$BD58=""),"Next Review Date, ","")&amp;IF(AND(TRIM($A58)&lt;&gt;"Finalized",$BE58=""),"Next Step, ","")&amp;IF(AND(TRIM($A58)="Finalized",$AV58="",$AR58="",$AT58="",$AX58="",$AW58=""),"CPT outcome, ",""))-2),"")</f>
        <v>Next Step</v>
      </c>
      <c r="BI58" s="15" t="str">
        <f aca="false">IF($BB58="","",IFERROR(INDEX('Denial Codes'!$C:$C,MATCH(LEFT($BB58,FIND(" - ",$BB58&amp;" - ")+2)&amp;"*",'Denial Codes'!$A:$A,0)),""))</f>
        <v>Other</v>
      </c>
      <c r="BJ58" s="15" t="str">
        <f aca="false">IF($BA58="","",IFERROR(INDEX(Lists!$B:$B,MATCH(TRIM($BA58),Lists!$A:$A,0))&amp;"",""))</f>
        <v>Review the diagnosis codes and pointers with the chart; correct and resubmit.</v>
      </c>
    </row>
    <row r="59" customFormat="false" ht="15" hidden="false" customHeight="false" outlineLevel="0" collapsed="false">
      <c r="A59" s="7" t="s">
        <v>17</v>
      </c>
      <c r="B59" s="7" t="s">
        <v>491</v>
      </c>
      <c r="C59" s="8" t="n">
        <v>566722180</v>
      </c>
      <c r="D59" s="9" t="n">
        <v>46134</v>
      </c>
      <c r="E59" s="10" t="s">
        <v>379</v>
      </c>
      <c r="F59" s="11" t="n">
        <v>46085</v>
      </c>
      <c r="G59" s="10" t="s">
        <v>163</v>
      </c>
      <c r="H59" s="10" t="s">
        <v>163</v>
      </c>
      <c r="I59" s="10" t="s">
        <v>260</v>
      </c>
      <c r="J59" s="10" t="s">
        <v>492</v>
      </c>
      <c r="K59" s="9" t="n">
        <v>46231</v>
      </c>
      <c r="L59" s="12" t="n">
        <f aca="true">IF($O59="","",$O59-TODAY())</f>
        <v>-136</v>
      </c>
      <c r="M59" s="12" t="n">
        <f aca="true">IF(AND(TRIM($A59)="Finalized",$K59&lt;&gt;""),"",IF($F59="","",$F59+90-TODAY()))</f>
        <v>-136</v>
      </c>
      <c r="N59" s="12" t="n">
        <f aca="true">IF(AND(TRIM($A59)="Finalized",$K59&lt;&gt;""),"",IF($D59="","",$D59+365-TODAY()))</f>
        <v>188</v>
      </c>
      <c r="O59" s="11" t="n">
        <f aca="false">IF(AND(TRIM($A59)="Finalized",$K59&lt;&gt;""),"",DATE(2026,6,2))</f>
        <v>46175</v>
      </c>
      <c r="P59" s="10" t="s">
        <v>165</v>
      </c>
      <c r="Q59" s="10" t="s">
        <v>166</v>
      </c>
      <c r="R59" s="10" t="s">
        <v>165</v>
      </c>
      <c r="S59" s="10" t="s">
        <v>149</v>
      </c>
      <c r="T59" s="10" t="s">
        <v>114</v>
      </c>
      <c r="U59" s="10" t="s">
        <v>116</v>
      </c>
      <c r="V59" s="10" t="s">
        <v>167</v>
      </c>
      <c r="W59" s="10" t="s">
        <v>183</v>
      </c>
      <c r="X59" s="10"/>
      <c r="Y59" s="10"/>
      <c r="Z59" s="10"/>
      <c r="AA59" s="10" t="s">
        <v>493</v>
      </c>
      <c r="AB59" s="8" t="n">
        <f aca="true">IF($F59="","",TODAY()-$F59)</f>
        <v>226</v>
      </c>
      <c r="AC59" s="10" t="s">
        <v>211</v>
      </c>
      <c r="AD59" s="10" t="s">
        <v>184</v>
      </c>
      <c r="AE59" s="10"/>
      <c r="AF59" s="10"/>
      <c r="AG59" s="10"/>
      <c r="AH59" s="10"/>
      <c r="AI59" s="10"/>
      <c r="AJ59" s="10" t="s">
        <v>380</v>
      </c>
      <c r="AK59" s="10"/>
      <c r="AL59" s="10"/>
      <c r="AM59" s="10"/>
      <c r="AN59" s="8"/>
      <c r="AO59" s="10" t="s">
        <v>494</v>
      </c>
      <c r="AP59" s="10" t="s">
        <v>202</v>
      </c>
      <c r="AQ59" s="11" t="n">
        <v>46119</v>
      </c>
      <c r="AR59" s="13"/>
      <c r="AS59" s="13"/>
      <c r="AT59" s="13"/>
      <c r="AU59" s="13"/>
      <c r="AV59" s="13"/>
      <c r="AW59" s="13"/>
      <c r="AX59" s="13"/>
      <c r="AY59" s="7" t="s">
        <v>159</v>
      </c>
      <c r="AZ59" s="7"/>
      <c r="BA59" s="7" t="s">
        <v>47</v>
      </c>
      <c r="BB59" s="7"/>
      <c r="BC59" s="7"/>
      <c r="BD59" s="9" t="n">
        <v>46262</v>
      </c>
      <c r="BE59" s="7"/>
      <c r="BF59" s="14" t="str">
        <f aca="true">IF(TRIM($A59)="Finalized","Closed",IF($BD59="","No review date set",IF($BD59&lt;TODAY(),"OVERDUE",IF($BD59-TODAY()&lt;=7,"Due within 7 days","Scheduled"))))</f>
        <v>OVERDUE</v>
      </c>
      <c r="BG59" s="14" t="n">
        <f aca="true">IF($K59="","",TODAY()-$K59)</f>
        <v>80</v>
      </c>
      <c r="BH59" s="15" t="str">
        <f aca="false">IFERROR(LEFT(IF($B59="","Notes, ","")&amp;IF($K59="","Latest Date Worked, ","")&amp;IF($AY59="","Last Action, ","")&amp;IF(AND(OR(TRIM($A59)="Denied",TRIM($A59)="Rejected"),$BA59=""),"Denial Reason, ","")&amp;IF(AND(TRIM($A59)="Denied",$BB59="",TRIM($BA59)&lt;&gt;"NO DENIAL"),"Denial Code, ","")&amp;IF(AND(TRIM($A59)&lt;&gt;"Finalized",$BD59=""),"Next Review Date, ","")&amp;IF(AND(TRIM($A59)&lt;&gt;"Finalized",$BE59=""),"Next Step, ","")&amp;IF(AND(TRIM($A59)="Finalized",$AV59="",$AR59="",$AT59="",$AX59="",$AW59=""),"CPT outcome, ",""),LEN(IF($B59="","Notes, ","")&amp;IF($K59="","Latest Date Worked, ","")&amp;IF($AY59="","Last Action, ","")&amp;IF(AND(OR(TRIM($A59)="Denied",TRIM($A59)="Rejected"),$BA59=""),"Denial Reason, ","")&amp;IF(AND(TRIM($A59)="Denied",$BB59="",TRIM($BA59)&lt;&gt;"NO DENIAL"),"Denial Code, ","")&amp;IF(AND(TRIM($A59)&lt;&gt;"Finalized",$BD59=""),"Next Review Date, ","")&amp;IF(AND(TRIM($A59)&lt;&gt;"Finalized",$BE59=""),"Next Step, ","")&amp;IF(AND(TRIM($A59)="Finalized",$AV59="",$AR59="",$AT59="",$AX59="",$AW59=""),"CPT outcome, ",""))-2),"")</f>
        <v>Denial Code, Next Step</v>
      </c>
      <c r="BI59" s="15" t="str">
        <f aca="false">IF($BB59="","",IFERROR(INDEX('Denial Codes'!$C:$C,MATCH(LEFT($BB59,FIND(" - ",$BB59&amp;" - ")+2)&amp;"*",'Denial Codes'!$A:$A,0)),""))</f>
        <v/>
      </c>
      <c r="BJ59" s="15" t="str">
        <f aca="false">IF($BA59="","",IFERROR(INDEX(Lists!$B:$B,MATCH(TRIM($BA59),Lists!$A:$A,0))&amp;"",""))</f>
        <v>Check provider enrollment, NPI/TIN and network status; appeal once credentialing is confirmed.</v>
      </c>
    </row>
    <row r="60" customFormat="false" ht="15" hidden="false" customHeight="false" outlineLevel="0" collapsed="false">
      <c r="A60" s="7" t="s">
        <v>17</v>
      </c>
      <c r="B60" s="7" t="s">
        <v>495</v>
      </c>
      <c r="C60" s="8" t="n">
        <v>552284225</v>
      </c>
      <c r="D60" s="9" t="n">
        <v>46204</v>
      </c>
      <c r="E60" s="10" t="s">
        <v>496</v>
      </c>
      <c r="F60" s="11" t="n">
        <v>46085</v>
      </c>
      <c r="G60" s="10" t="s">
        <v>218</v>
      </c>
      <c r="H60" s="10" t="s">
        <v>218</v>
      </c>
      <c r="I60" s="10" t="s">
        <v>129</v>
      </c>
      <c r="J60" s="10" t="s">
        <v>497</v>
      </c>
      <c r="K60" s="9" t="n">
        <v>46282</v>
      </c>
      <c r="L60" s="12" t="n">
        <f aca="true">IF($O60="","",$O60-TODAY())</f>
        <v>-136</v>
      </c>
      <c r="M60" s="12" t="n">
        <f aca="true">IF(AND(TRIM($A60)="Finalized",$K60&lt;&gt;""),"",IF($F60="","",$F60+90-TODAY()))</f>
        <v>-136</v>
      </c>
      <c r="N60" s="12" t="n">
        <f aca="true">IF(AND(TRIM($A60)="Finalized",$K60&lt;&gt;""),"",IF($D60="","",$D60+180-TODAY()))</f>
        <v>73</v>
      </c>
      <c r="O60" s="11" t="n">
        <f aca="false">IF(AND(TRIM($A60)="Finalized",$K60&lt;&gt;""),"",DATE(2026,6,2))</f>
        <v>46175</v>
      </c>
      <c r="P60" s="10" t="s">
        <v>165</v>
      </c>
      <c r="Q60" s="10" t="s">
        <v>220</v>
      </c>
      <c r="R60" s="10" t="s">
        <v>165</v>
      </c>
      <c r="S60" s="10" t="s">
        <v>149</v>
      </c>
      <c r="T60" s="10" t="s">
        <v>147</v>
      </c>
      <c r="U60" s="10" t="s">
        <v>116</v>
      </c>
      <c r="V60" s="10" t="s">
        <v>167</v>
      </c>
      <c r="W60" s="10" t="s">
        <v>132</v>
      </c>
      <c r="X60" s="10"/>
      <c r="Y60" s="10"/>
      <c r="Z60" s="10"/>
      <c r="AA60" s="10" t="s">
        <v>197</v>
      </c>
      <c r="AB60" s="8" t="n">
        <f aca="true">IF($F60="","",TODAY()-$F60)</f>
        <v>226</v>
      </c>
      <c r="AC60" s="10" t="s">
        <v>169</v>
      </c>
      <c r="AD60" s="10"/>
      <c r="AE60" s="10"/>
      <c r="AF60" s="10"/>
      <c r="AG60" s="10"/>
      <c r="AH60" s="10"/>
      <c r="AI60" s="10"/>
      <c r="AJ60" s="10" t="s">
        <v>138</v>
      </c>
      <c r="AK60" s="10" t="s">
        <v>498</v>
      </c>
      <c r="AL60" s="10" t="s">
        <v>139</v>
      </c>
      <c r="AM60" s="10" t="s">
        <v>499</v>
      </c>
      <c r="AN60" s="8"/>
      <c r="AO60" s="10" t="s">
        <v>174</v>
      </c>
      <c r="AP60" s="10" t="s">
        <v>175</v>
      </c>
      <c r="AQ60" s="11" t="n">
        <v>46197</v>
      </c>
      <c r="AR60" s="13"/>
      <c r="AS60" s="13"/>
      <c r="AT60" s="13"/>
      <c r="AU60" s="13"/>
      <c r="AV60" s="13"/>
      <c r="AW60" s="13"/>
      <c r="AX60" s="13" t="s">
        <v>169</v>
      </c>
      <c r="AY60" s="7" t="s">
        <v>354</v>
      </c>
      <c r="AZ60" s="7"/>
      <c r="BA60" s="7" t="s">
        <v>50</v>
      </c>
      <c r="BB60" s="7" t="s">
        <v>500</v>
      </c>
      <c r="BC60" s="7"/>
      <c r="BD60" s="9" t="n">
        <v>46343</v>
      </c>
      <c r="BE60" s="7"/>
      <c r="BF60" s="14" t="str">
        <f aca="true">IF(TRIM($A60)="Finalized","Closed",IF($BD60="","No review date set",IF($BD60&lt;TODAY(),"OVERDUE",IF($BD60-TODAY()&lt;=7,"Due within 7 days","Scheduled"))))</f>
        <v>Scheduled</v>
      </c>
      <c r="BG60" s="14" t="n">
        <f aca="true">IF($K60="","",TODAY()-$K60)</f>
        <v>29</v>
      </c>
      <c r="BH60" s="15" t="str">
        <f aca="false">IFERROR(LEFT(IF($B60="","Notes, ","")&amp;IF($K60="","Latest Date Worked, ","")&amp;IF($AY60="","Last Action, ","")&amp;IF(AND(OR(TRIM($A60)="Denied",TRIM($A60)="Rejected"),$BA60=""),"Denial Reason, ","")&amp;IF(AND(TRIM($A60)="Denied",$BB60="",TRIM($BA60)&lt;&gt;"NO DENIAL"),"Denial Code, ","")&amp;IF(AND(TRIM($A60)&lt;&gt;"Finalized",$BD60=""),"Next Review Date, ","")&amp;IF(AND(TRIM($A60)&lt;&gt;"Finalized",$BE60=""),"Next Step, ","")&amp;IF(AND(TRIM($A60)="Finalized",$AV60="",$AR60="",$AT60="",$AX60="",$AW60=""),"CPT outcome, ",""),LEN(IF($B60="","Notes, ","")&amp;IF($K60="","Latest Date Worked, ","")&amp;IF($AY60="","Last Action, ","")&amp;IF(AND(OR(TRIM($A60)="Denied",TRIM($A60)="Rejected"),$BA60=""),"Denial Reason, ","")&amp;IF(AND(TRIM($A60)="Denied",$BB60="",TRIM($BA60)&lt;&gt;"NO DENIAL"),"Denial Code, ","")&amp;IF(AND(TRIM($A60)&lt;&gt;"Finalized",$BD60=""),"Next Review Date, ","")&amp;IF(AND(TRIM($A60)&lt;&gt;"Finalized",$BE60=""),"Next Step, ","")&amp;IF(AND(TRIM($A60)="Finalized",$AV60="",$AR60="",$AT60="",$AX60="",$AW60=""),"CPT outcome, ",""))-2),"")</f>
        <v>Next Step</v>
      </c>
      <c r="BI60" s="15" t="str">
        <f aca="false">IF($BB60="","",IFERROR(INDEX('Denial Codes'!$C:$C,MATCH(LEFT($BB60,FIND(" - ",$BB60&amp;" - ")+2)&amp;"*",'Denial Codes'!$A:$A,0)),""))</f>
        <v>Place of service</v>
      </c>
      <c r="BJ60" s="15" t="str">
        <f aca="false">IF($BA60="","",IFERROR(INDEX(Lists!$B:$B,MATCH(TRIM($BA60),Lists!$A:$A,0))&amp;"",""))</f>
        <v>Verify the place of service (inpatient/outpatient) and correct the claim.</v>
      </c>
    </row>
    <row r="61" customFormat="false" ht="15" hidden="false" customHeight="false" outlineLevel="0" collapsed="false">
      <c r="A61" s="7" t="s">
        <v>16</v>
      </c>
      <c r="B61" s="7" t="s">
        <v>501</v>
      </c>
      <c r="C61" s="8" t="n">
        <v>551769931</v>
      </c>
      <c r="D61" s="9" t="n">
        <v>46141</v>
      </c>
      <c r="E61" s="10" t="s">
        <v>502</v>
      </c>
      <c r="F61" s="11" t="n">
        <v>46086</v>
      </c>
      <c r="G61" s="10" t="s">
        <v>369</v>
      </c>
      <c r="H61" s="10" t="s">
        <v>369</v>
      </c>
      <c r="I61" s="10" t="s">
        <v>129</v>
      </c>
      <c r="J61" s="10" t="s">
        <v>424</v>
      </c>
      <c r="K61" s="9" t="n">
        <v>46265</v>
      </c>
      <c r="L61" s="12" t="str">
        <f aca="true">IF($O61="","",$O61-TODAY())</f>
        <v/>
      </c>
      <c r="M61" s="12" t="str">
        <f aca="true">IF(AND(TRIM($A61)="Finalized",$K61&lt;&gt;""),"",IF($D61="","",$D61+365-TODAY()))</f>
        <v/>
      </c>
      <c r="N61" s="12" t="str">
        <f aca="true">IF(AND(TRIM($A61)="Finalized",$K61&lt;&gt;""),"",IF($D61="","",$D61+365-TODAY()))</f>
        <v/>
      </c>
      <c r="O61" s="11" t="str">
        <f aca="false">IF(AND(TRIM($A61)="Finalized",$K61&lt;&gt;""),"",DATE(2026,6,3))</f>
        <v/>
      </c>
      <c r="P61" s="10" t="s">
        <v>165</v>
      </c>
      <c r="Q61" s="10" t="s">
        <v>371</v>
      </c>
      <c r="R61" s="10" t="s">
        <v>114</v>
      </c>
      <c r="S61" s="10" t="s">
        <v>116</v>
      </c>
      <c r="T61" s="10" t="s">
        <v>114</v>
      </c>
      <c r="U61" s="10" t="s">
        <v>116</v>
      </c>
      <c r="V61" s="10" t="s">
        <v>167</v>
      </c>
      <c r="W61" s="10" t="s">
        <v>183</v>
      </c>
      <c r="X61" s="10"/>
      <c r="Y61" s="10"/>
      <c r="Z61" s="10"/>
      <c r="AA61" s="10" t="s">
        <v>197</v>
      </c>
      <c r="AB61" s="8" t="n">
        <f aca="true">IF($F61="","",TODAY()-$F61)</f>
        <v>225</v>
      </c>
      <c r="AC61" s="10" t="s">
        <v>211</v>
      </c>
      <c r="AD61" s="10" t="s">
        <v>184</v>
      </c>
      <c r="AE61" s="10"/>
      <c r="AF61" s="10"/>
      <c r="AG61" s="10"/>
      <c r="AH61" s="10"/>
      <c r="AI61" s="10"/>
      <c r="AJ61" s="10" t="s">
        <v>186</v>
      </c>
      <c r="AK61" s="10"/>
      <c r="AL61" s="10"/>
      <c r="AM61" s="10"/>
      <c r="AN61" s="8"/>
      <c r="AO61" s="10" t="s">
        <v>201</v>
      </c>
      <c r="AP61" s="10" t="s">
        <v>188</v>
      </c>
      <c r="AQ61" s="11" t="n">
        <v>46119</v>
      </c>
      <c r="AR61" s="13"/>
      <c r="AS61" s="13"/>
      <c r="AT61" s="13"/>
      <c r="AU61" s="13"/>
      <c r="AV61" s="13" t="s">
        <v>189</v>
      </c>
      <c r="AW61" s="13"/>
      <c r="AX61" s="13" t="s">
        <v>503</v>
      </c>
      <c r="AY61" s="7" t="s">
        <v>363</v>
      </c>
      <c r="AZ61" s="7" t="s">
        <v>159</v>
      </c>
      <c r="BA61" s="7" t="s">
        <v>40</v>
      </c>
      <c r="BB61" s="7" t="s">
        <v>372</v>
      </c>
      <c r="BC61" s="7"/>
      <c r="BD61" s="9"/>
      <c r="BE61" s="7"/>
      <c r="BF61" s="14" t="str">
        <f aca="true">IF(TRIM($A61)="Finalized","Closed",IF($BD61="","No review date set",IF($BD61&lt;TODAY(),"OVERDUE",IF($BD61-TODAY()&lt;=7,"Due within 7 days","Scheduled"))))</f>
        <v>Closed</v>
      </c>
      <c r="BG61" s="14" t="n">
        <f aca="true">IF($K61="","",TODAY()-$K61)</f>
        <v>46</v>
      </c>
      <c r="BH61" s="15" t="str">
        <f aca="false">IFERROR(LEFT(IF($B61="","Notes, ","")&amp;IF($K61="","Latest Date Worked, ","")&amp;IF($AY61="","Last Action, ","")&amp;IF(AND(OR(TRIM($A61)="Denied",TRIM($A61)="Rejected"),$BA61=""),"Denial Reason, ","")&amp;IF(AND(TRIM($A61)="Denied",$BB61="",TRIM($BA61)&lt;&gt;"NO DENIAL"),"Denial Code, ","")&amp;IF(AND(TRIM($A61)&lt;&gt;"Finalized",$BD61=""),"Next Review Date, ","")&amp;IF(AND(TRIM($A61)&lt;&gt;"Finalized",$BE61=""),"Next Step, ","")&amp;IF(AND(TRIM($A61)="Finalized",$AV61="",$AR61="",$AT61="",$AX61="",$AW61=""),"CPT outcome, ",""),LEN(IF($B61="","Notes, ","")&amp;IF($K61="","Latest Date Worked, ","")&amp;IF($AY61="","Last Action, ","")&amp;IF(AND(OR(TRIM($A61)="Denied",TRIM($A61)="Rejected"),$BA61=""),"Denial Reason, ","")&amp;IF(AND(TRIM($A61)="Denied",$BB61="",TRIM($BA61)&lt;&gt;"NO DENIAL"),"Denial Code, ","")&amp;IF(AND(TRIM($A61)&lt;&gt;"Finalized",$BD61=""),"Next Review Date, ","")&amp;IF(AND(TRIM($A61)&lt;&gt;"Finalized",$BE61=""),"Next Step, ","")&amp;IF(AND(TRIM($A61)="Finalized",$AV61="",$AR61="",$AT61="",$AX61="",$AW61=""),"CPT outcome, ",""))-2),"")</f>
        <v/>
      </c>
      <c r="BI61" s="15" t="str">
        <f aca="false">IF($BB61="","",IFERROR(INDEX('Denial Codes'!$C:$C,MATCH(LEFT($BB61,FIND(" - ",$BB61&amp;" - ")+2)&amp;"*",'Denial Codes'!$A:$A,0)),""))</f>
        <v>Coding / billing error</v>
      </c>
      <c r="BJ61" s="15" t="str">
        <f aca="false">IF($BA61="","",IFERROR(INDEX(Lists!$B:$B,MATCH(TRIM($BA61),Lists!$A:$A,0))&amp;"",""))</f>
        <v>Fix the code, units, charge or other claim data and resubmit as a corrected claim.</v>
      </c>
    </row>
    <row r="62" customFormat="false" ht="15" hidden="false" customHeight="false" outlineLevel="0" collapsed="false">
      <c r="A62" s="7" t="s">
        <v>16</v>
      </c>
      <c r="B62" s="7" t="s">
        <v>504</v>
      </c>
      <c r="C62" s="8" t="n">
        <v>551874008</v>
      </c>
      <c r="D62" s="9" t="n">
        <v>46121</v>
      </c>
      <c r="E62" s="10" t="s">
        <v>505</v>
      </c>
      <c r="F62" s="11" t="n">
        <v>46087</v>
      </c>
      <c r="G62" s="10" t="s">
        <v>369</v>
      </c>
      <c r="H62" s="10" t="s">
        <v>369</v>
      </c>
      <c r="I62" s="10" t="s">
        <v>129</v>
      </c>
      <c r="J62" s="10" t="s">
        <v>181</v>
      </c>
      <c r="K62" s="9" t="n">
        <v>46265</v>
      </c>
      <c r="L62" s="12" t="str">
        <f aca="true">IF($O62="","",$O62-TODAY())</f>
        <v/>
      </c>
      <c r="M62" s="12" t="str">
        <f aca="true">IF(AND(TRIM($A62)="Finalized",$K62&lt;&gt;""),"",IF($D62="","",$D62+365-TODAY()))</f>
        <v/>
      </c>
      <c r="N62" s="12" t="str">
        <f aca="true">IF(AND(TRIM($A62)="Finalized",$K62&lt;&gt;""),"",IF($D62="","",$D62+365-TODAY()))</f>
        <v/>
      </c>
      <c r="O62" s="11" t="str">
        <f aca="false">IF(AND(TRIM($A62)="Finalized",$K62&lt;&gt;""),"",DATE(2026,6,4))</f>
        <v/>
      </c>
      <c r="P62" s="10" t="s">
        <v>165</v>
      </c>
      <c r="Q62" s="10" t="s">
        <v>371</v>
      </c>
      <c r="R62" s="10" t="s">
        <v>114</v>
      </c>
      <c r="S62" s="10" t="s">
        <v>116</v>
      </c>
      <c r="T62" s="10" t="s">
        <v>114</v>
      </c>
      <c r="U62" s="10" t="s">
        <v>116</v>
      </c>
      <c r="V62" s="10" t="s">
        <v>167</v>
      </c>
      <c r="W62" s="10" t="s">
        <v>183</v>
      </c>
      <c r="X62" s="10"/>
      <c r="Y62" s="10"/>
      <c r="Z62" s="10"/>
      <c r="AA62" s="10" t="s">
        <v>197</v>
      </c>
      <c r="AB62" s="8" t="n">
        <f aca="true">IF($F62="","",TODAY()-$F62)</f>
        <v>224</v>
      </c>
      <c r="AC62" s="10" t="s">
        <v>184</v>
      </c>
      <c r="AD62" s="10" t="s">
        <v>185</v>
      </c>
      <c r="AE62" s="10"/>
      <c r="AF62" s="10"/>
      <c r="AG62" s="10"/>
      <c r="AH62" s="10"/>
      <c r="AI62" s="10"/>
      <c r="AJ62" s="10" t="s">
        <v>340</v>
      </c>
      <c r="AK62" s="10"/>
      <c r="AL62" s="10"/>
      <c r="AM62" s="10"/>
      <c r="AN62" s="8"/>
      <c r="AO62" s="10" t="s">
        <v>506</v>
      </c>
      <c r="AP62" s="10" t="s">
        <v>188</v>
      </c>
      <c r="AQ62" s="11" t="n">
        <v>46119</v>
      </c>
      <c r="AR62" s="13"/>
      <c r="AS62" s="13"/>
      <c r="AT62" s="13"/>
      <c r="AU62" s="13"/>
      <c r="AV62" s="13" t="s">
        <v>507</v>
      </c>
      <c r="AW62" s="13"/>
      <c r="AX62" s="13" t="s">
        <v>507</v>
      </c>
      <c r="AY62" s="7" t="s">
        <v>363</v>
      </c>
      <c r="AZ62" s="7" t="s">
        <v>159</v>
      </c>
      <c r="BA62" s="7" t="s">
        <v>47</v>
      </c>
      <c r="BB62" s="7" t="s">
        <v>508</v>
      </c>
      <c r="BC62" s="7"/>
      <c r="BD62" s="9"/>
      <c r="BE62" s="7"/>
      <c r="BF62" s="14" t="str">
        <f aca="true">IF(TRIM($A62)="Finalized","Closed",IF($BD62="","No review date set",IF($BD62&lt;TODAY(),"OVERDUE",IF($BD62-TODAY()&lt;=7,"Due within 7 days","Scheduled"))))</f>
        <v>Closed</v>
      </c>
      <c r="BG62" s="14" t="n">
        <f aca="true">IF($K62="","",TODAY()-$K62)</f>
        <v>46</v>
      </c>
      <c r="BH62" s="15" t="str">
        <f aca="false">IFERROR(LEFT(IF($B62="","Notes, ","")&amp;IF($K62="","Latest Date Worked, ","")&amp;IF($AY62="","Last Action, ","")&amp;IF(AND(OR(TRIM($A62)="Denied",TRIM($A62)="Rejected"),$BA62=""),"Denial Reason, ","")&amp;IF(AND(TRIM($A62)="Denied",$BB62="",TRIM($BA62)&lt;&gt;"NO DENIAL"),"Denial Code, ","")&amp;IF(AND(TRIM($A62)&lt;&gt;"Finalized",$BD62=""),"Next Review Date, ","")&amp;IF(AND(TRIM($A62)&lt;&gt;"Finalized",$BE62=""),"Next Step, ","")&amp;IF(AND(TRIM($A62)="Finalized",$AV62="",$AR62="",$AT62="",$AX62="",$AW62=""),"CPT outcome, ",""),LEN(IF($B62="","Notes, ","")&amp;IF($K62="","Latest Date Worked, ","")&amp;IF($AY62="","Last Action, ","")&amp;IF(AND(OR(TRIM($A62)="Denied",TRIM($A62)="Rejected"),$BA62=""),"Denial Reason, ","")&amp;IF(AND(TRIM($A62)="Denied",$BB62="",TRIM($BA62)&lt;&gt;"NO DENIAL"),"Denial Code, ","")&amp;IF(AND(TRIM($A62)&lt;&gt;"Finalized",$BD62=""),"Next Review Date, ","")&amp;IF(AND(TRIM($A62)&lt;&gt;"Finalized",$BE62=""),"Next Step, ","")&amp;IF(AND(TRIM($A62)="Finalized",$AV62="",$AR62="",$AT62="",$AX62="",$AW62=""),"CPT outcome, ",""))-2),"")</f>
        <v/>
      </c>
      <c r="BI62" s="15" t="str">
        <f aca="false">IF($BB62="","",IFERROR(INDEX('Denial Codes'!$C:$C,MATCH(LEFT($BB62,FIND(" - ",$BB62&amp;" - ")+2)&amp;"*",'Denial Codes'!$A:$A,0)),""))</f>
        <v>Credentialing / out of network</v>
      </c>
      <c r="BJ62" s="15" t="str">
        <f aca="false">IF($BA62="","",IFERROR(INDEX(Lists!$B:$B,MATCH(TRIM($BA62),Lists!$A:$A,0))&amp;"",""))</f>
        <v>Check provider enrollment, NPI/TIN and network status; appeal once credentialing is confirmed.</v>
      </c>
    </row>
    <row r="63" customFormat="false" ht="15" hidden="false" customHeight="false" outlineLevel="0" collapsed="false">
      <c r="A63" s="7" t="s">
        <v>19</v>
      </c>
      <c r="B63" s="7" t="s">
        <v>509</v>
      </c>
      <c r="C63" s="8" t="n">
        <v>551830492</v>
      </c>
      <c r="D63" s="9" t="n">
        <v>46196</v>
      </c>
      <c r="E63" s="10" t="s">
        <v>510</v>
      </c>
      <c r="F63" s="11" t="n">
        <v>46087</v>
      </c>
      <c r="G63" s="10" t="s">
        <v>208</v>
      </c>
      <c r="H63" s="10" t="s">
        <v>180</v>
      </c>
      <c r="I63" s="10" t="s">
        <v>208</v>
      </c>
      <c r="J63" s="10" t="s">
        <v>400</v>
      </c>
      <c r="K63" s="9" t="n">
        <v>46268</v>
      </c>
      <c r="L63" s="12" t="n">
        <f aca="true">IF($O63="","",$O63-TODAY())</f>
        <v>-134</v>
      </c>
      <c r="M63" s="12" t="n">
        <f aca="true">IF(AND(TRIM($A63)="Finalized",$K63&lt;&gt;""),"",IF($D63="","",$D63+180-TODAY()))</f>
        <v>65</v>
      </c>
      <c r="N63" s="12" t="n">
        <f aca="true">IF(AND(TRIM($A63)="Finalized",$K63&lt;&gt;""),"",IF($D63="","",$D63+365-TODAY()))</f>
        <v>250</v>
      </c>
      <c r="O63" s="11" t="n">
        <f aca="false">IF(AND(TRIM($A63)="Finalized",$K63&lt;&gt;""),"",DATE(2026,6,4))</f>
        <v>46177</v>
      </c>
      <c r="P63" s="10" t="s">
        <v>165</v>
      </c>
      <c r="Q63" s="10" t="s">
        <v>182</v>
      </c>
      <c r="R63" s="10" t="s">
        <v>147</v>
      </c>
      <c r="S63" s="10" t="s">
        <v>116</v>
      </c>
      <c r="T63" s="10" t="s">
        <v>114</v>
      </c>
      <c r="U63" s="10" t="s">
        <v>116</v>
      </c>
      <c r="V63" s="10" t="s">
        <v>167</v>
      </c>
      <c r="W63" s="10" t="s">
        <v>183</v>
      </c>
      <c r="X63" s="10"/>
      <c r="Y63" s="10"/>
      <c r="Z63" s="10"/>
      <c r="AA63" s="10" t="s">
        <v>197</v>
      </c>
      <c r="AB63" s="8" t="n">
        <f aca="true">IF($F63="","",TODAY()-$F63)</f>
        <v>224</v>
      </c>
      <c r="AC63" s="10" t="s">
        <v>185</v>
      </c>
      <c r="AD63" s="10" t="s">
        <v>184</v>
      </c>
      <c r="AE63" s="10"/>
      <c r="AF63" s="10"/>
      <c r="AG63" s="10"/>
      <c r="AH63" s="10"/>
      <c r="AI63" s="10"/>
      <c r="AJ63" s="10" t="s">
        <v>511</v>
      </c>
      <c r="AK63" s="10"/>
      <c r="AL63" s="10"/>
      <c r="AM63" s="10"/>
      <c r="AN63" s="8" t="n">
        <v>560056768</v>
      </c>
      <c r="AO63" s="10" t="s">
        <v>201</v>
      </c>
      <c r="AP63" s="10" t="s">
        <v>202</v>
      </c>
      <c r="AQ63" s="11" t="n">
        <v>46119</v>
      </c>
      <c r="AR63" s="13"/>
      <c r="AS63" s="13"/>
      <c r="AT63" s="13"/>
      <c r="AU63" s="13"/>
      <c r="AV63" s="13" t="s">
        <v>189</v>
      </c>
      <c r="AW63" s="13"/>
      <c r="AX63" s="13" t="s">
        <v>189</v>
      </c>
      <c r="AY63" s="7" t="s">
        <v>328</v>
      </c>
      <c r="AZ63" s="7"/>
      <c r="BA63" s="7"/>
      <c r="BB63" s="7"/>
      <c r="BC63" s="7" t="s">
        <v>512</v>
      </c>
      <c r="BD63" s="9" t="n">
        <v>46298</v>
      </c>
      <c r="BE63" s="7" t="s">
        <v>513</v>
      </c>
      <c r="BF63" s="14" t="str">
        <f aca="true">IF(TRIM($A63)="Finalized","Closed",IF($BD63="","No review date set",IF($BD63&lt;TODAY(),"OVERDUE",IF($BD63-TODAY()&lt;=7,"Due within 7 days","Scheduled"))))</f>
        <v>OVERDUE</v>
      </c>
      <c r="BG63" s="14" t="n">
        <f aca="true">IF($K63="","",TODAY()-$K63)</f>
        <v>43</v>
      </c>
      <c r="BH63" s="15" t="str">
        <f aca="false">IFERROR(LEFT(IF($B63="","Notes, ","")&amp;IF($K63="","Latest Date Worked, ","")&amp;IF($AY63="","Last Action, ","")&amp;IF(AND(OR(TRIM($A63)="Denied",TRIM($A63)="Rejected"),$BA63=""),"Denial Reason, ","")&amp;IF(AND(TRIM($A63)="Denied",$BB63="",TRIM($BA63)&lt;&gt;"NO DENIAL"),"Denial Code, ","")&amp;IF(AND(TRIM($A63)&lt;&gt;"Finalized",$BD63=""),"Next Review Date, ","")&amp;IF(AND(TRIM($A63)&lt;&gt;"Finalized",$BE63=""),"Next Step, ","")&amp;IF(AND(TRIM($A63)="Finalized",$AV63="",$AR63="",$AT63="",$AX63="",$AW63=""),"CPT outcome, ",""),LEN(IF($B63="","Notes, ","")&amp;IF($K63="","Latest Date Worked, ","")&amp;IF($AY63="","Last Action, ","")&amp;IF(AND(OR(TRIM($A63)="Denied",TRIM($A63)="Rejected"),$BA63=""),"Denial Reason, ","")&amp;IF(AND(TRIM($A63)="Denied",$BB63="",TRIM($BA63)&lt;&gt;"NO DENIAL"),"Denial Code, ","")&amp;IF(AND(TRIM($A63)&lt;&gt;"Finalized",$BD63=""),"Next Review Date, ","")&amp;IF(AND(TRIM($A63)&lt;&gt;"Finalized",$BE63=""),"Next Step, ","")&amp;IF(AND(TRIM($A63)="Finalized",$AV63="",$AR63="",$AT63="",$AX63="",$AW63=""),"CPT outcome, ",""))-2),"")</f>
        <v/>
      </c>
      <c r="BI63" s="15" t="str">
        <f aca="false">IF($BB63="","",IFERROR(INDEX('Denial Codes'!$C:$C,MATCH(LEFT($BB63,FIND(" - ",$BB63&amp;" - ")+2)&amp;"*",'Denial Codes'!$A:$A,0)),""))</f>
        <v/>
      </c>
      <c r="BJ63" s="15" t="str">
        <f aca="false">IF($BA63="","",IFERROR(INDEX(Lists!$B:$B,MATCH(TRIM($BA63),Lists!$A:$A,0))&amp;"",""))</f>
        <v/>
      </c>
    </row>
    <row r="64" customFormat="false" ht="15" hidden="false" customHeight="false" outlineLevel="0" collapsed="false">
      <c r="A64" s="7" t="s">
        <v>16</v>
      </c>
      <c r="B64" s="7" t="s">
        <v>514</v>
      </c>
      <c r="C64" s="8" t="n">
        <v>551964467</v>
      </c>
      <c r="D64" s="9" t="n">
        <v>46097</v>
      </c>
      <c r="E64" s="10" t="s">
        <v>515</v>
      </c>
      <c r="F64" s="11" t="n">
        <v>46087</v>
      </c>
      <c r="G64" s="10" t="s">
        <v>347</v>
      </c>
      <c r="H64" s="10" t="s">
        <v>347</v>
      </c>
      <c r="I64" s="10" t="s">
        <v>129</v>
      </c>
      <c r="J64" s="10" t="s">
        <v>244</v>
      </c>
      <c r="K64" s="9" t="n">
        <v>46279</v>
      </c>
      <c r="L64" s="12" t="str">
        <f aca="true">IF($O64="","",$O64-TODAY())</f>
        <v/>
      </c>
      <c r="M64" s="12" t="str">
        <f aca="true">IF(AND(TRIM($A64)="Finalized",$K64&lt;&gt;""),"",IF($F64="","",$F64+90-TODAY()))</f>
        <v/>
      </c>
      <c r="N64" s="12" t="str">
        <f aca="true">IF(AND(TRIM($A64)="Finalized",$K64&lt;&gt;""),"",IF($D64="","",$D64+540-TODAY()))</f>
        <v/>
      </c>
      <c r="O64" s="11" t="str">
        <f aca="false">IF(AND(TRIM($A64)="Finalized",$K64&lt;&gt;""),"",DATE(2026,6,4))</f>
        <v/>
      </c>
      <c r="P64" s="10" t="s">
        <v>165</v>
      </c>
      <c r="Q64" s="10" t="s">
        <v>348</v>
      </c>
      <c r="R64" s="10" t="s">
        <v>165</v>
      </c>
      <c r="S64" s="10" t="s">
        <v>149</v>
      </c>
      <c r="T64" s="10" t="s">
        <v>349</v>
      </c>
      <c r="U64" s="10" t="s">
        <v>116</v>
      </c>
      <c r="V64" s="10" t="s">
        <v>167</v>
      </c>
      <c r="W64" s="10" t="s">
        <v>132</v>
      </c>
      <c r="X64" s="10"/>
      <c r="Y64" s="10"/>
      <c r="Z64" s="10"/>
      <c r="AA64" s="10" t="s">
        <v>197</v>
      </c>
      <c r="AB64" s="8" t="n">
        <f aca="true">IF($F64="","",TODAY()-$F64)</f>
        <v>224</v>
      </c>
      <c r="AC64" s="10" t="s">
        <v>246</v>
      </c>
      <c r="AD64" s="10"/>
      <c r="AE64" s="10"/>
      <c r="AF64" s="10"/>
      <c r="AG64" s="10"/>
      <c r="AH64" s="10"/>
      <c r="AI64" s="10"/>
      <c r="AJ64" s="10" t="s">
        <v>124</v>
      </c>
      <c r="AK64" s="10"/>
      <c r="AL64" s="10"/>
      <c r="AM64" s="10"/>
      <c r="AN64" s="8"/>
      <c r="AO64" s="10" t="s">
        <v>187</v>
      </c>
      <c r="AP64" s="10" t="s">
        <v>175</v>
      </c>
      <c r="AQ64" s="11" t="n">
        <v>46091</v>
      </c>
      <c r="AR64" s="13"/>
      <c r="AS64" s="13"/>
      <c r="AT64" s="13" t="s">
        <v>246</v>
      </c>
      <c r="AU64" s="13" t="s">
        <v>516</v>
      </c>
      <c r="AV64" s="13"/>
      <c r="AW64" s="13"/>
      <c r="AX64" s="13"/>
      <c r="AY64" s="7" t="s">
        <v>465</v>
      </c>
      <c r="AZ64" s="7"/>
      <c r="BA64" s="7" t="s">
        <v>34</v>
      </c>
      <c r="BB64" s="7" t="s">
        <v>516</v>
      </c>
      <c r="BC64" s="7"/>
      <c r="BD64" s="9"/>
      <c r="BE64" s="7"/>
      <c r="BF64" s="14" t="str">
        <f aca="true">IF(TRIM($A64)="Finalized","Closed",IF($BD64="","No review date set",IF($BD64&lt;TODAY(),"OVERDUE",IF($BD64-TODAY()&lt;=7,"Due within 7 days","Scheduled"))))</f>
        <v>Closed</v>
      </c>
      <c r="BG64" s="14" t="n">
        <f aca="true">IF($K64="","",TODAY()-$K64)</f>
        <v>32</v>
      </c>
      <c r="BH64" s="15" t="str">
        <f aca="false">IFERROR(LEFT(IF($B64="","Notes, ","")&amp;IF($K64="","Latest Date Worked, ","")&amp;IF($AY64="","Last Action, ","")&amp;IF(AND(OR(TRIM($A64)="Denied",TRIM($A64)="Rejected"),$BA64=""),"Denial Reason, ","")&amp;IF(AND(TRIM($A64)="Denied",$BB64="",TRIM($BA64)&lt;&gt;"NO DENIAL"),"Denial Code, ","")&amp;IF(AND(TRIM($A64)&lt;&gt;"Finalized",$BD64=""),"Next Review Date, ","")&amp;IF(AND(TRIM($A64)&lt;&gt;"Finalized",$BE64=""),"Next Step, ","")&amp;IF(AND(TRIM($A64)="Finalized",$AV64="",$AR64="",$AT64="",$AX64="",$AW64=""),"CPT outcome, ",""),LEN(IF($B64="","Notes, ","")&amp;IF($K64="","Latest Date Worked, ","")&amp;IF($AY64="","Last Action, ","")&amp;IF(AND(OR(TRIM($A64)="Denied",TRIM($A64)="Rejected"),$BA64=""),"Denial Reason, ","")&amp;IF(AND(TRIM($A64)="Denied",$BB64="",TRIM($BA64)&lt;&gt;"NO DENIAL"),"Denial Code, ","")&amp;IF(AND(TRIM($A64)&lt;&gt;"Finalized",$BD64=""),"Next Review Date, ","")&amp;IF(AND(TRIM($A64)&lt;&gt;"Finalized",$BE64=""),"Next Step, ","")&amp;IF(AND(TRIM($A64)="Finalized",$AV64="",$AR64="",$AT64="",$AX64="",$AW64=""),"CPT outcome, ",""))-2),"")</f>
        <v/>
      </c>
      <c r="BI64" s="15" t="str">
        <f aca="false">IF($BB64="","",IFERROR(INDEX('Denial Codes'!$C:$C,MATCH(LEFT($BB64,FIND(" - ",$BB64&amp;" - ")+2)&amp;"*",'Denial Codes'!$A:$A,0)),""))</f>
        <v>No authorization</v>
      </c>
      <c r="BJ64" s="15" t="str">
        <f aca="false">IF($BA64="","",IFERROR(INDEX(Lists!$B:$B,MATCH(TRIM($BA64),Lists!$A:$A,0))&amp;"",""))</f>
        <v>Check the portal for an auth; request a retro-auth or file an appeal with the auth number, then resubmit.</v>
      </c>
    </row>
    <row r="65" customFormat="false" ht="15" hidden="false" customHeight="false" outlineLevel="0" collapsed="false">
      <c r="A65" s="7" t="s">
        <v>17</v>
      </c>
      <c r="B65" s="7" t="s">
        <v>517</v>
      </c>
      <c r="C65" s="8" t="n">
        <v>564578362</v>
      </c>
      <c r="D65" s="9" t="n">
        <v>46218</v>
      </c>
      <c r="E65" s="10" t="s">
        <v>518</v>
      </c>
      <c r="F65" s="11" t="n">
        <v>46057</v>
      </c>
      <c r="G65" s="10" t="s">
        <v>279</v>
      </c>
      <c r="H65" s="10" t="s">
        <v>279</v>
      </c>
      <c r="I65" s="10" t="s">
        <v>129</v>
      </c>
      <c r="J65" s="10" t="s">
        <v>497</v>
      </c>
      <c r="K65" s="9" t="n">
        <v>46285</v>
      </c>
      <c r="L65" s="12" t="n">
        <f aca="true">IF($O65="","",$O65-TODAY())</f>
        <v>-134</v>
      </c>
      <c r="M65" s="12" t="n">
        <f aca="true">IF(AND(TRIM($A65)="Finalized",$K65&lt;&gt;""),"",IF($F65="","",$F65+365-TODAY()))</f>
        <v>111</v>
      </c>
      <c r="N65" s="12" t="n">
        <f aca="true">IF(AND(TRIM($A65)="Finalized",$K65&lt;&gt;""),"",IF($F65="","",$F65+365-TODAY()))</f>
        <v>111</v>
      </c>
      <c r="O65" s="11" t="n">
        <f aca="false">IF(AND(TRIM($A65)="Finalized",$K65&lt;&gt;""),"",DATE(2026,6,4))</f>
        <v>46177</v>
      </c>
      <c r="P65" s="10" t="s">
        <v>117</v>
      </c>
      <c r="Q65" s="10" t="s">
        <v>281</v>
      </c>
      <c r="R65" s="10" t="s">
        <v>114</v>
      </c>
      <c r="S65" s="10" t="s">
        <v>149</v>
      </c>
      <c r="T65" s="10" t="s">
        <v>114</v>
      </c>
      <c r="U65" s="10" t="s">
        <v>149</v>
      </c>
      <c r="V65" s="10" t="s">
        <v>150</v>
      </c>
      <c r="W65" s="10" t="s">
        <v>132</v>
      </c>
      <c r="X65" s="10"/>
      <c r="Y65" s="10"/>
      <c r="Z65" s="10"/>
      <c r="AA65" s="10" t="s">
        <v>197</v>
      </c>
      <c r="AB65" s="8" t="n">
        <f aca="true">IF($F65="","",TODAY()-$F65)</f>
        <v>254</v>
      </c>
      <c r="AC65" s="10" t="s">
        <v>169</v>
      </c>
      <c r="AD65" s="10"/>
      <c r="AE65" s="10"/>
      <c r="AF65" s="10"/>
      <c r="AG65" s="10"/>
      <c r="AH65" s="10"/>
      <c r="AI65" s="10"/>
      <c r="AJ65" s="10" t="s">
        <v>124</v>
      </c>
      <c r="AK65" s="10" t="s">
        <v>519</v>
      </c>
      <c r="AL65" s="10"/>
      <c r="AM65" s="10"/>
      <c r="AN65" s="8"/>
      <c r="AO65" s="10" t="s">
        <v>174</v>
      </c>
      <c r="AP65" s="10" t="s">
        <v>175</v>
      </c>
      <c r="AQ65" s="11" t="n">
        <v>46077</v>
      </c>
      <c r="AR65" s="13"/>
      <c r="AS65" s="13"/>
      <c r="AT65" s="13"/>
      <c r="AU65" s="13"/>
      <c r="AV65" s="13"/>
      <c r="AW65" s="13"/>
      <c r="AX65" s="13" t="s">
        <v>169</v>
      </c>
      <c r="AY65" s="7" t="s">
        <v>520</v>
      </c>
      <c r="AZ65" s="7"/>
      <c r="BA65" s="7" t="s">
        <v>34</v>
      </c>
      <c r="BB65" s="7"/>
      <c r="BC65" s="7" t="s">
        <v>521</v>
      </c>
      <c r="BD65" s="9" t="n">
        <v>46315</v>
      </c>
      <c r="BE65" s="7"/>
      <c r="BF65" s="14" t="str">
        <f aca="true">IF(TRIM($A65)="Finalized","Closed",IF($BD65="","No review date set",IF($BD65&lt;TODAY(),"OVERDUE",IF($BD65-TODAY()&lt;=7,"Due within 7 days","Scheduled"))))</f>
        <v>Due within 7 days</v>
      </c>
      <c r="BG65" s="14" t="n">
        <f aca="true">IF($K65="","",TODAY()-$K65)</f>
        <v>26</v>
      </c>
      <c r="BH65" s="15" t="str">
        <f aca="false">IFERROR(LEFT(IF($B65="","Notes, ","")&amp;IF($K65="","Latest Date Worked, ","")&amp;IF($AY65="","Last Action, ","")&amp;IF(AND(OR(TRIM($A65)="Denied",TRIM($A65)="Rejected"),$BA65=""),"Denial Reason, ","")&amp;IF(AND(TRIM($A65)="Denied",$BB65="",TRIM($BA65)&lt;&gt;"NO DENIAL"),"Denial Code, ","")&amp;IF(AND(TRIM($A65)&lt;&gt;"Finalized",$BD65=""),"Next Review Date, ","")&amp;IF(AND(TRIM($A65)&lt;&gt;"Finalized",$BE65=""),"Next Step, ","")&amp;IF(AND(TRIM($A65)="Finalized",$AV65="",$AR65="",$AT65="",$AX65="",$AW65=""),"CPT outcome, ",""),LEN(IF($B65="","Notes, ","")&amp;IF($K65="","Latest Date Worked, ","")&amp;IF($AY65="","Last Action, ","")&amp;IF(AND(OR(TRIM($A65)="Denied",TRIM($A65)="Rejected"),$BA65=""),"Denial Reason, ","")&amp;IF(AND(TRIM($A65)="Denied",$BB65="",TRIM($BA65)&lt;&gt;"NO DENIAL"),"Denial Code, ","")&amp;IF(AND(TRIM($A65)&lt;&gt;"Finalized",$BD65=""),"Next Review Date, ","")&amp;IF(AND(TRIM($A65)&lt;&gt;"Finalized",$BE65=""),"Next Step, ","")&amp;IF(AND(TRIM($A65)="Finalized",$AV65="",$AR65="",$AT65="",$AX65="",$AW65=""),"CPT outcome, ",""))-2),"")</f>
        <v>Denial Code, Next Step</v>
      </c>
      <c r="BI65" s="15" t="str">
        <f aca="false">IF($BB65="","",IFERROR(INDEX('Denial Codes'!$C:$C,MATCH(LEFT($BB65,FIND(" - ",$BB65&amp;" - ")+2)&amp;"*",'Denial Codes'!$A:$A,0)),""))</f>
        <v/>
      </c>
      <c r="BJ65" s="15" t="str">
        <f aca="false">IF($BA65="","",IFERROR(INDEX(Lists!$B:$B,MATCH(TRIM($BA65),Lists!$A:$A,0))&amp;"",""))</f>
        <v>Check the portal for an auth; request a retro-auth or file an appeal with the auth number, then resubmit.</v>
      </c>
    </row>
    <row r="66" customFormat="false" ht="15" hidden="false" customHeight="false" outlineLevel="0" collapsed="false">
      <c r="A66" s="7" t="s">
        <v>20</v>
      </c>
      <c r="B66" s="7"/>
      <c r="C66" s="8" t="n">
        <v>553643849</v>
      </c>
      <c r="D66" s="9" t="n">
        <v>46203</v>
      </c>
      <c r="E66" s="10" t="s">
        <v>522</v>
      </c>
      <c r="F66" s="11" t="n">
        <v>46087</v>
      </c>
      <c r="G66" s="10" t="s">
        <v>163</v>
      </c>
      <c r="H66" s="10" t="s">
        <v>163</v>
      </c>
      <c r="I66" s="10" t="s">
        <v>129</v>
      </c>
      <c r="J66" s="10" t="s">
        <v>523</v>
      </c>
      <c r="K66" s="9"/>
      <c r="L66" s="12" t="n">
        <f aca="true">IF($O66="","",$O66-TODAY())</f>
        <v>-134</v>
      </c>
      <c r="M66" s="12" t="n">
        <f aca="true">IF(AND(TRIM($A66)="Finalized",$K66&lt;&gt;""),"",IF($F66="","",$F66+90-TODAY()))</f>
        <v>-134</v>
      </c>
      <c r="N66" s="12" t="n">
        <f aca="true">IF(AND(TRIM($A66)="Finalized",$K66&lt;&gt;""),"",IF($D66="","",$D66+365-TODAY()))</f>
        <v>257</v>
      </c>
      <c r="O66" s="11" t="n">
        <f aca="false">IF(AND(TRIM($A66)="Finalized",$K66&lt;&gt;""),"",DATE(2026,6,4))</f>
        <v>46177</v>
      </c>
      <c r="P66" s="10" t="s">
        <v>165</v>
      </c>
      <c r="Q66" s="10" t="s">
        <v>166</v>
      </c>
      <c r="R66" s="10" t="s">
        <v>165</v>
      </c>
      <c r="S66" s="10" t="s">
        <v>149</v>
      </c>
      <c r="T66" s="10" t="s">
        <v>114</v>
      </c>
      <c r="U66" s="10" t="s">
        <v>116</v>
      </c>
      <c r="V66" s="10" t="s">
        <v>167</v>
      </c>
      <c r="W66" s="10" t="s">
        <v>132</v>
      </c>
      <c r="X66" s="10" t="s">
        <v>134</v>
      </c>
      <c r="Y66" s="10"/>
      <c r="Z66" s="10"/>
      <c r="AA66" s="10" t="s">
        <v>197</v>
      </c>
      <c r="AB66" s="8" t="n">
        <f aca="true">IF($F66="","",TODAY()-$F66)</f>
        <v>224</v>
      </c>
      <c r="AC66" s="10" t="s">
        <v>137</v>
      </c>
      <c r="AD66" s="10" t="s">
        <v>524</v>
      </c>
      <c r="AE66" s="10" t="s">
        <v>136</v>
      </c>
      <c r="AF66" s="10"/>
      <c r="AG66" s="10"/>
      <c r="AH66" s="10"/>
      <c r="AI66" s="10"/>
      <c r="AJ66" s="10" t="s">
        <v>525</v>
      </c>
      <c r="AK66" s="10" t="s">
        <v>526</v>
      </c>
      <c r="AL66" s="10"/>
      <c r="AM66" s="10"/>
      <c r="AN66" s="8"/>
      <c r="AO66" s="10" t="s">
        <v>140</v>
      </c>
      <c r="AP66" s="10" t="s">
        <v>141</v>
      </c>
      <c r="AQ66" s="11" t="n">
        <v>46197</v>
      </c>
      <c r="AR66" s="13"/>
      <c r="AS66" s="13"/>
      <c r="AT66" s="13"/>
      <c r="AU66" s="13"/>
      <c r="AV66" s="13"/>
      <c r="AW66" s="13"/>
      <c r="AX66" s="13"/>
      <c r="AY66" s="7" t="s">
        <v>233</v>
      </c>
      <c r="AZ66" s="7"/>
      <c r="BA66" s="7"/>
      <c r="BB66" s="7"/>
      <c r="BC66" s="7"/>
      <c r="BD66" s="9"/>
      <c r="BE66" s="7" t="s">
        <v>527</v>
      </c>
      <c r="BF66" s="14" t="str">
        <f aca="true">IF(TRIM($A66)="Finalized","Closed",IF($BD66="","No review date set",IF($BD66&lt;TODAY(),"OVERDUE",IF($BD66-TODAY()&lt;=7,"Due within 7 days","Scheduled"))))</f>
        <v>No review date set</v>
      </c>
      <c r="BG66" s="14" t="str">
        <f aca="true">IF($K66="","",TODAY()-$K66)</f>
        <v/>
      </c>
      <c r="BH66" s="15" t="str">
        <f aca="false">IFERROR(LEFT(IF($B66="","Notes, ","")&amp;IF($K66="","Latest Date Worked, ","")&amp;IF($AY66="","Last Action, ","")&amp;IF(AND(OR(TRIM($A66)="Denied",TRIM($A66)="Rejected"),$BA66=""),"Denial Reason, ","")&amp;IF(AND(TRIM($A66)="Denied",$BB66="",TRIM($BA66)&lt;&gt;"NO DENIAL"),"Denial Code, ","")&amp;IF(AND(TRIM($A66)&lt;&gt;"Finalized",$BD66=""),"Next Review Date, ","")&amp;IF(AND(TRIM($A66)&lt;&gt;"Finalized",$BE66=""),"Next Step, ","")&amp;IF(AND(TRIM($A66)="Finalized",$AV66="",$AR66="",$AT66="",$AX66="",$AW66=""),"CPT outcome, ",""),LEN(IF($B66="","Notes, ","")&amp;IF($K66="","Latest Date Worked, ","")&amp;IF($AY66="","Last Action, ","")&amp;IF(AND(OR(TRIM($A66)="Denied",TRIM($A66)="Rejected"),$BA66=""),"Denial Reason, ","")&amp;IF(AND(TRIM($A66)="Denied",$BB66="",TRIM($BA66)&lt;&gt;"NO DENIAL"),"Denial Code, ","")&amp;IF(AND(TRIM($A66)&lt;&gt;"Finalized",$BD66=""),"Next Review Date, ","")&amp;IF(AND(TRIM($A66)&lt;&gt;"Finalized",$BE66=""),"Next Step, ","")&amp;IF(AND(TRIM($A66)="Finalized",$AV66="",$AR66="",$AT66="",$AX66="",$AW66=""),"CPT outcome, ",""))-2),"")</f>
        <v>Notes, Latest Date Worked, Next Review Date</v>
      </c>
      <c r="BI66" s="15" t="str">
        <f aca="false">IF($BB66="","",IFERROR(INDEX('Denial Codes'!$C:$C,MATCH(LEFT($BB66,FIND(" - ",$BB66&amp;" - ")+2)&amp;"*",'Denial Codes'!$A:$A,0)),""))</f>
        <v/>
      </c>
      <c r="BJ66" s="15" t="str">
        <f aca="false">IF($BA66="","",IFERROR(INDEX(Lists!$B:$B,MATCH(TRIM($BA66),Lists!$A:$A,0))&amp;"",""))</f>
        <v/>
      </c>
    </row>
    <row r="67" customFormat="false" ht="15" hidden="false" customHeight="false" outlineLevel="0" collapsed="false">
      <c r="A67" s="7" t="s">
        <v>17</v>
      </c>
      <c r="B67" s="7" t="s">
        <v>528</v>
      </c>
      <c r="C67" s="8" t="n">
        <v>569488863</v>
      </c>
      <c r="D67" s="9" t="n">
        <v>46268</v>
      </c>
      <c r="E67" s="10" t="s">
        <v>529</v>
      </c>
      <c r="F67" s="11" t="n">
        <v>46092</v>
      </c>
      <c r="G67" s="10" t="s">
        <v>530</v>
      </c>
      <c r="H67" s="10" t="s">
        <v>530</v>
      </c>
      <c r="I67" s="10" t="s">
        <v>129</v>
      </c>
      <c r="J67" s="10" t="s">
        <v>400</v>
      </c>
      <c r="K67" s="9" t="n">
        <v>46257</v>
      </c>
      <c r="L67" s="12" t="str">
        <f aca="true">IF($O67="","",$O67-TODAY())</f>
        <v/>
      </c>
      <c r="M67" s="12"/>
      <c r="N67" s="12"/>
      <c r="O67" s="11"/>
      <c r="P67" s="10"/>
      <c r="Q67" s="10" t="s">
        <v>131</v>
      </c>
      <c r="R67" s="10"/>
      <c r="S67" s="10"/>
      <c r="T67" s="10"/>
      <c r="U67" s="10"/>
      <c r="V67" s="10" t="s">
        <v>167</v>
      </c>
      <c r="W67" s="10" t="s">
        <v>183</v>
      </c>
      <c r="X67" s="10"/>
      <c r="Y67" s="10"/>
      <c r="Z67" s="10"/>
      <c r="AA67" s="10" t="s">
        <v>197</v>
      </c>
      <c r="AB67" s="8" t="n">
        <f aca="true">IF($F67="","",TODAY()-$F67)</f>
        <v>219</v>
      </c>
      <c r="AC67" s="10" t="s">
        <v>185</v>
      </c>
      <c r="AD67" s="10" t="s">
        <v>184</v>
      </c>
      <c r="AE67" s="10"/>
      <c r="AF67" s="10"/>
      <c r="AG67" s="10"/>
      <c r="AH67" s="10"/>
      <c r="AI67" s="10"/>
      <c r="AJ67" s="10" t="s">
        <v>186</v>
      </c>
      <c r="AK67" s="10"/>
      <c r="AL67" s="10"/>
      <c r="AM67" s="10"/>
      <c r="AN67" s="8"/>
      <c r="AO67" s="10" t="s">
        <v>359</v>
      </c>
      <c r="AP67" s="10" t="s">
        <v>188</v>
      </c>
      <c r="AQ67" s="11" t="n">
        <v>46119</v>
      </c>
      <c r="AR67" s="13"/>
      <c r="AS67" s="13"/>
      <c r="AT67" s="13"/>
      <c r="AU67" s="13"/>
      <c r="AV67" s="13"/>
      <c r="AW67" s="13"/>
      <c r="AX67" s="13"/>
      <c r="AY67" s="7" t="s">
        <v>159</v>
      </c>
      <c r="AZ67" s="7"/>
      <c r="BA67" s="7" t="s">
        <v>46</v>
      </c>
      <c r="BB67" s="7"/>
      <c r="BC67" s="7"/>
      <c r="BD67" s="9" t="n">
        <v>46288</v>
      </c>
      <c r="BE67" s="7"/>
      <c r="BF67" s="14" t="str">
        <f aca="true">IF(TRIM($A67)="Finalized","Closed",IF($BD67="","No review date set",IF($BD67&lt;TODAY(),"OVERDUE",IF($BD67-TODAY()&lt;=7,"Due within 7 days","Scheduled"))))</f>
        <v>OVERDUE</v>
      </c>
      <c r="BG67" s="14" t="n">
        <f aca="true">IF($K67="","",TODAY()-$K67)</f>
        <v>54</v>
      </c>
      <c r="BH67" s="15" t="str">
        <f aca="false">IFERROR(LEFT(IF($B67="","Notes, ","")&amp;IF($K67="","Latest Date Worked, ","")&amp;IF($AY67="","Last Action, ","")&amp;IF(AND(OR(TRIM($A67)="Denied",TRIM($A67)="Rejected"),$BA67=""),"Denial Reason, ","")&amp;IF(AND(TRIM($A67)="Denied",$BB67="",TRIM($BA67)&lt;&gt;"NO DENIAL"),"Denial Code, ","")&amp;IF(AND(TRIM($A67)&lt;&gt;"Finalized",$BD67=""),"Next Review Date, ","")&amp;IF(AND(TRIM($A67)&lt;&gt;"Finalized",$BE67=""),"Next Step, ","")&amp;IF(AND(TRIM($A67)="Finalized",$AV67="",$AR67="",$AT67="",$AX67="",$AW67=""),"CPT outcome, ",""),LEN(IF($B67="","Notes, ","")&amp;IF($K67="","Latest Date Worked, ","")&amp;IF($AY67="","Last Action, ","")&amp;IF(AND(OR(TRIM($A67)="Denied",TRIM($A67)="Rejected"),$BA67=""),"Denial Reason, ","")&amp;IF(AND(TRIM($A67)="Denied",$BB67="",TRIM($BA67)&lt;&gt;"NO DENIAL"),"Denial Code, ","")&amp;IF(AND(TRIM($A67)&lt;&gt;"Finalized",$BD67=""),"Next Review Date, ","")&amp;IF(AND(TRIM($A67)&lt;&gt;"Finalized",$BE67=""),"Next Step, ","")&amp;IF(AND(TRIM($A67)="Finalized",$AV67="",$AR67="",$AT67="",$AX67="",$AW67=""),"CPT outcome, ",""))-2),"")</f>
        <v>Denial Code, Next Step</v>
      </c>
      <c r="BI67" s="15" t="str">
        <f aca="false">IF($BB67="","",IFERROR(INDEX('Denial Codes'!$C:$C,MATCH(LEFT($BB67,FIND(" - ",$BB67&amp;" - ")+2)&amp;"*",'Denial Codes'!$A:$A,0)),""))</f>
        <v/>
      </c>
      <c r="BJ67" s="15" t="str">
        <f aca="false">IF($BA67="","",IFERROR(INDEX(Lists!$B:$B,MATCH(TRIM($BA67),Lists!$A:$A,0))&amp;"",""))</f>
        <v>Verify eligibility; correct the member ID/MBI, name or DOB and resubmit.</v>
      </c>
    </row>
    <row r="68" customFormat="false" ht="15" hidden="false" customHeight="false" outlineLevel="0" collapsed="false">
      <c r="A68" s="7" t="s">
        <v>17</v>
      </c>
      <c r="B68" s="7" t="s">
        <v>531</v>
      </c>
      <c r="C68" s="8" t="n">
        <v>570400502</v>
      </c>
      <c r="D68" s="9" t="n">
        <v>46108</v>
      </c>
      <c r="E68" s="10" t="s">
        <v>532</v>
      </c>
      <c r="F68" s="11" t="n">
        <v>46093</v>
      </c>
      <c r="G68" s="10" t="s">
        <v>347</v>
      </c>
      <c r="H68" s="10" t="s">
        <v>347</v>
      </c>
      <c r="I68" s="10" t="s">
        <v>129</v>
      </c>
      <c r="J68" s="10" t="s">
        <v>533</v>
      </c>
      <c r="K68" s="9" t="n">
        <v>46265</v>
      </c>
      <c r="L68" s="12" t="n">
        <f aca="true">IF($O68="","",$O68-TODAY())</f>
        <v>-128</v>
      </c>
      <c r="M68" s="12" t="n">
        <f aca="true">IF(AND(TRIM($A68)="Finalized",$K68&lt;&gt;""),"",IF($F68="","",$F68+90-TODAY()))</f>
        <v>-128</v>
      </c>
      <c r="N68" s="12" t="n">
        <f aca="true">IF(AND(TRIM($A68)="Finalized",$K68&lt;&gt;""),"",IF($D68="","",$D68+540-TODAY()))</f>
        <v>337</v>
      </c>
      <c r="O68" s="11" t="n">
        <f aca="false">IF(AND(TRIM($A68)="Finalized",$K68&lt;&gt;""),"",DATE(2026,6,10))</f>
        <v>46183</v>
      </c>
      <c r="P68" s="10" t="s">
        <v>165</v>
      </c>
      <c r="Q68" s="10" t="s">
        <v>348</v>
      </c>
      <c r="R68" s="10" t="s">
        <v>165</v>
      </c>
      <c r="S68" s="10" t="s">
        <v>149</v>
      </c>
      <c r="T68" s="10" t="s">
        <v>349</v>
      </c>
      <c r="U68" s="10" t="s">
        <v>116</v>
      </c>
      <c r="V68" s="10" t="s">
        <v>167</v>
      </c>
      <c r="W68" s="10" t="s">
        <v>132</v>
      </c>
      <c r="X68" s="10" t="s">
        <v>134</v>
      </c>
      <c r="Y68" s="10"/>
      <c r="Z68" s="10"/>
      <c r="AA68" s="10" t="s">
        <v>197</v>
      </c>
      <c r="AB68" s="8" t="n">
        <f aca="true">IF($F68="","",TODAY()-$F68)</f>
        <v>218</v>
      </c>
      <c r="AC68" s="10" t="s">
        <v>137</v>
      </c>
      <c r="AD68" s="10" t="s">
        <v>136</v>
      </c>
      <c r="AE68" s="10" t="s">
        <v>524</v>
      </c>
      <c r="AF68" s="10"/>
      <c r="AG68" s="10"/>
      <c r="AH68" s="10"/>
      <c r="AI68" s="10"/>
      <c r="AJ68" s="10" t="s">
        <v>139</v>
      </c>
      <c r="AK68" s="10" t="s">
        <v>534</v>
      </c>
      <c r="AL68" s="10"/>
      <c r="AM68" s="10"/>
      <c r="AN68" s="8"/>
      <c r="AO68" s="10" t="s">
        <v>535</v>
      </c>
      <c r="AP68" s="10" t="s">
        <v>141</v>
      </c>
      <c r="AQ68" s="11" t="n">
        <v>46105</v>
      </c>
      <c r="AR68" s="13"/>
      <c r="AS68" s="13"/>
      <c r="AT68" s="13"/>
      <c r="AU68" s="13"/>
      <c r="AV68" s="13" t="s">
        <v>536</v>
      </c>
      <c r="AW68" s="13"/>
      <c r="AX68" s="13" t="s">
        <v>537</v>
      </c>
      <c r="AY68" s="7" t="s">
        <v>159</v>
      </c>
      <c r="AZ68" s="7"/>
      <c r="BA68" s="7"/>
      <c r="BB68" s="7"/>
      <c r="BC68" s="7"/>
      <c r="BD68" s="9" t="n">
        <v>46295</v>
      </c>
      <c r="BE68" s="7"/>
      <c r="BF68" s="14" t="str">
        <f aca="true">IF(TRIM($A68)="Finalized","Closed",IF($BD68="","No review date set",IF($BD68&lt;TODAY(),"OVERDUE",IF($BD68-TODAY()&lt;=7,"Due within 7 days","Scheduled"))))</f>
        <v>OVERDUE</v>
      </c>
      <c r="BG68" s="14" t="n">
        <f aca="true">IF($K68="","",TODAY()-$K68)</f>
        <v>46</v>
      </c>
      <c r="BH68" s="15" t="str">
        <f aca="false">IFERROR(LEFT(IF($B68="","Notes, ","")&amp;IF($K68="","Latest Date Worked, ","")&amp;IF($AY68="","Last Action, ","")&amp;IF(AND(OR(TRIM($A68)="Denied",TRIM($A68)="Rejected"),$BA68=""),"Denial Reason, ","")&amp;IF(AND(TRIM($A68)="Denied",$BB68="",TRIM($BA68)&lt;&gt;"NO DENIAL"),"Denial Code, ","")&amp;IF(AND(TRIM($A68)&lt;&gt;"Finalized",$BD68=""),"Next Review Date, ","")&amp;IF(AND(TRIM($A68)&lt;&gt;"Finalized",$BE68=""),"Next Step, ","")&amp;IF(AND(TRIM($A68)="Finalized",$AV68="",$AR68="",$AT68="",$AX68="",$AW68=""),"CPT outcome, ",""),LEN(IF($B68="","Notes, ","")&amp;IF($K68="","Latest Date Worked, ","")&amp;IF($AY68="","Last Action, ","")&amp;IF(AND(OR(TRIM($A68)="Denied",TRIM($A68)="Rejected"),$BA68=""),"Denial Reason, ","")&amp;IF(AND(TRIM($A68)="Denied",$BB68="",TRIM($BA68)&lt;&gt;"NO DENIAL"),"Denial Code, ","")&amp;IF(AND(TRIM($A68)&lt;&gt;"Finalized",$BD68=""),"Next Review Date, ","")&amp;IF(AND(TRIM($A68)&lt;&gt;"Finalized",$BE68=""),"Next Step, ","")&amp;IF(AND(TRIM($A68)="Finalized",$AV68="",$AR68="",$AT68="",$AX68="",$AW68=""),"CPT outcome, ",""))-2),"")</f>
        <v>Denial Reason, Denial Code, Next Step</v>
      </c>
      <c r="BI68" s="15" t="str">
        <f aca="false">IF($BB68="","",IFERROR(INDEX('Denial Codes'!$C:$C,MATCH(LEFT($BB68,FIND(" - ",$BB68&amp;" - ")+2)&amp;"*",'Denial Codes'!$A:$A,0)),""))</f>
        <v/>
      </c>
      <c r="BJ68" s="15" t="str">
        <f aca="false">IF($BA68="","",IFERROR(INDEX(Lists!$B:$B,MATCH(TRIM($BA68),Lists!$A:$A,0))&amp;"",""))</f>
        <v/>
      </c>
    </row>
    <row r="69" customFormat="false" ht="15" hidden="false" customHeight="false" outlineLevel="0" collapsed="false">
      <c r="A69" s="7" t="s">
        <v>17</v>
      </c>
      <c r="B69" s="7" t="s">
        <v>538</v>
      </c>
      <c r="C69" s="8" t="n">
        <v>553656838</v>
      </c>
      <c r="D69" s="9" t="n">
        <v>46220</v>
      </c>
      <c r="E69" s="10" t="s">
        <v>539</v>
      </c>
      <c r="F69" s="11" t="n">
        <v>46093</v>
      </c>
      <c r="G69" s="10" t="s">
        <v>347</v>
      </c>
      <c r="H69" s="10" t="s">
        <v>347</v>
      </c>
      <c r="I69" s="10" t="s">
        <v>129</v>
      </c>
      <c r="J69" s="10" t="s">
        <v>540</v>
      </c>
      <c r="K69" s="9" t="n">
        <v>46279</v>
      </c>
      <c r="L69" s="12" t="n">
        <f aca="true">IF($O69="","",$O69-TODAY())</f>
        <v>-128</v>
      </c>
      <c r="M69" s="12" t="n">
        <f aca="true">IF(AND(TRIM($A69)="Finalized",$K69&lt;&gt;""),"",IF($F69="","",$F69+90-TODAY()))</f>
        <v>-128</v>
      </c>
      <c r="N69" s="12" t="n">
        <f aca="true">IF(AND(TRIM($A69)="Finalized",$K69&lt;&gt;""),"",IF($D69="","",$D69+540-TODAY()))</f>
        <v>449</v>
      </c>
      <c r="O69" s="11" t="n">
        <f aca="false">IF(AND(TRIM($A69)="Finalized",$K69&lt;&gt;""),"",DATE(2026,6,10))</f>
        <v>46183</v>
      </c>
      <c r="P69" s="10" t="s">
        <v>165</v>
      </c>
      <c r="Q69" s="10" t="s">
        <v>348</v>
      </c>
      <c r="R69" s="10" t="s">
        <v>165</v>
      </c>
      <c r="S69" s="10" t="s">
        <v>149</v>
      </c>
      <c r="T69" s="10" t="s">
        <v>349</v>
      </c>
      <c r="U69" s="10" t="s">
        <v>116</v>
      </c>
      <c r="V69" s="10" t="s">
        <v>167</v>
      </c>
      <c r="W69" s="10" t="s">
        <v>132</v>
      </c>
      <c r="X69" s="10"/>
      <c r="Y69" s="10"/>
      <c r="Z69" s="10"/>
      <c r="AA69" s="10" t="s">
        <v>197</v>
      </c>
      <c r="AB69" s="8" t="n">
        <f aca="true">IF($F69="","",TODAY()-$F69)</f>
        <v>218</v>
      </c>
      <c r="AC69" s="10" t="s">
        <v>137</v>
      </c>
      <c r="AD69" s="10" t="s">
        <v>541</v>
      </c>
      <c r="AE69" s="10"/>
      <c r="AF69" s="10"/>
      <c r="AG69" s="10"/>
      <c r="AH69" s="10"/>
      <c r="AI69" s="10"/>
      <c r="AJ69" s="10" t="s">
        <v>139</v>
      </c>
      <c r="AK69" s="10" t="s">
        <v>312</v>
      </c>
      <c r="AL69" s="10"/>
      <c r="AM69" s="10"/>
      <c r="AN69" s="8"/>
      <c r="AO69" s="10" t="s">
        <v>140</v>
      </c>
      <c r="AP69" s="10" t="s">
        <v>141</v>
      </c>
      <c r="AQ69" s="11" t="n">
        <v>46105</v>
      </c>
      <c r="AR69" s="13"/>
      <c r="AS69" s="13"/>
      <c r="AT69" s="13"/>
      <c r="AU69" s="13"/>
      <c r="AV69" s="13"/>
      <c r="AW69" s="13"/>
      <c r="AX69" s="13"/>
      <c r="AY69" s="7" t="s">
        <v>203</v>
      </c>
      <c r="AZ69" s="7" t="s">
        <v>203</v>
      </c>
      <c r="BA69" s="7" t="s">
        <v>36</v>
      </c>
      <c r="BB69" s="7" t="s">
        <v>204</v>
      </c>
      <c r="BC69" s="7" t="s">
        <v>542</v>
      </c>
      <c r="BD69" s="9" t="n">
        <v>46309</v>
      </c>
      <c r="BE69" s="7"/>
      <c r="BF69" s="14" t="str">
        <f aca="true">IF(TRIM($A69)="Finalized","Closed",IF($BD69="","No review date set",IF($BD69&lt;TODAY(),"OVERDUE",IF($BD69-TODAY()&lt;=7,"Due within 7 days","Scheduled"))))</f>
        <v>OVERDUE</v>
      </c>
      <c r="BG69" s="14" t="n">
        <f aca="true">IF($K69="","",TODAY()-$K69)</f>
        <v>32</v>
      </c>
      <c r="BH69" s="15" t="str">
        <f aca="false">IFERROR(LEFT(IF($B69="","Notes, ","")&amp;IF($K69="","Latest Date Worked, ","")&amp;IF($AY69="","Last Action, ","")&amp;IF(AND(OR(TRIM($A69)="Denied",TRIM($A69)="Rejected"),$BA69=""),"Denial Reason, ","")&amp;IF(AND(TRIM($A69)="Denied",$BB69="",TRIM($BA69)&lt;&gt;"NO DENIAL"),"Denial Code, ","")&amp;IF(AND(TRIM($A69)&lt;&gt;"Finalized",$BD69=""),"Next Review Date, ","")&amp;IF(AND(TRIM($A69)&lt;&gt;"Finalized",$BE69=""),"Next Step, ","")&amp;IF(AND(TRIM($A69)="Finalized",$AV69="",$AR69="",$AT69="",$AX69="",$AW69=""),"CPT outcome, ",""),LEN(IF($B69="","Notes, ","")&amp;IF($K69="","Latest Date Worked, ","")&amp;IF($AY69="","Last Action, ","")&amp;IF(AND(OR(TRIM($A69)="Denied",TRIM($A69)="Rejected"),$BA69=""),"Denial Reason, ","")&amp;IF(AND(TRIM($A69)="Denied",$BB69="",TRIM($BA69)&lt;&gt;"NO DENIAL"),"Denial Code, ","")&amp;IF(AND(TRIM($A69)&lt;&gt;"Finalized",$BD69=""),"Next Review Date, ","")&amp;IF(AND(TRIM($A69)&lt;&gt;"Finalized",$BE69=""),"Next Step, ","")&amp;IF(AND(TRIM($A69)="Finalized",$AV69="",$AR69="",$AT69="",$AX69="",$AW69=""),"CPT outcome, ",""))-2),"")</f>
        <v>Next Step</v>
      </c>
      <c r="BI69" s="15" t="str">
        <f aca="false">IF($BB69="","",IFERROR(INDEX('Denial Codes'!$C:$C,MATCH(LEFT($BB69,FIND(" - ",$BB69&amp;" - ")+2)&amp;"*",'Denial Codes'!$A:$A,0)),""))</f>
        <v>Medical records needed</v>
      </c>
      <c r="BJ69" s="15" t="str">
        <f aca="false">IF($BA69="","",IFERROR(INDEX(Lists!$B:$B,MATCH(TRIM($BA69),Lists!$A:$A,0))&amp;"",""))</f>
        <v>Upload the MR on the payer portal, note the PIQ/reference number and set a review date.</v>
      </c>
    </row>
    <row r="70" customFormat="false" ht="15" hidden="false" customHeight="false" outlineLevel="0" collapsed="false">
      <c r="A70" s="7" t="s">
        <v>17</v>
      </c>
      <c r="B70" s="7" t="s">
        <v>203</v>
      </c>
      <c r="C70" s="8" t="n">
        <v>555351211</v>
      </c>
      <c r="D70" s="9" t="n">
        <v>46127</v>
      </c>
      <c r="E70" s="10" t="s">
        <v>543</v>
      </c>
      <c r="F70" s="11" t="n">
        <v>46093</v>
      </c>
      <c r="G70" s="10" t="s">
        <v>208</v>
      </c>
      <c r="H70" s="10" t="s">
        <v>208</v>
      </c>
      <c r="I70" s="10" t="s">
        <v>129</v>
      </c>
      <c r="J70" s="10" t="s">
        <v>544</v>
      </c>
      <c r="K70" s="9" t="n">
        <v>46279</v>
      </c>
      <c r="L70" s="12" t="n">
        <f aca="true">IF($O70="","",$O70-TODAY())</f>
        <v>-128</v>
      </c>
      <c r="M70" s="12" t="n">
        <f aca="true">IF(AND(TRIM($A70)="Finalized",$K70&lt;&gt;""),"",IF($D70="","",$D70+180-TODAY()))</f>
        <v>-4</v>
      </c>
      <c r="N70" s="12" t="n">
        <f aca="true">IF(AND(TRIM($A70)="Finalized",$K70&lt;&gt;""),"",IF($D70="","",$D70+365-TODAY()))</f>
        <v>181</v>
      </c>
      <c r="O70" s="11" t="n">
        <f aca="false">IF(AND(TRIM($A70)="Finalized",$K70&lt;&gt;""),"",DATE(2026,6,10))</f>
        <v>46183</v>
      </c>
      <c r="P70" s="10" t="s">
        <v>165</v>
      </c>
      <c r="Q70" s="10" t="s">
        <v>210</v>
      </c>
      <c r="R70" s="10" t="s">
        <v>147</v>
      </c>
      <c r="S70" s="10" t="s">
        <v>116</v>
      </c>
      <c r="T70" s="10" t="s">
        <v>114</v>
      </c>
      <c r="U70" s="10" t="s">
        <v>116</v>
      </c>
      <c r="V70" s="10" t="s">
        <v>167</v>
      </c>
      <c r="W70" s="10" t="s">
        <v>132</v>
      </c>
      <c r="X70" s="10"/>
      <c r="Y70" s="10"/>
      <c r="Z70" s="10"/>
      <c r="AA70" s="10" t="s">
        <v>197</v>
      </c>
      <c r="AB70" s="8" t="n">
        <f aca="true">IF($F70="","",TODAY()-$F70)</f>
        <v>218</v>
      </c>
      <c r="AC70" s="10" t="s">
        <v>545</v>
      </c>
      <c r="AD70" s="10" t="s">
        <v>251</v>
      </c>
      <c r="AE70" s="10"/>
      <c r="AF70" s="10"/>
      <c r="AG70" s="10"/>
      <c r="AH70" s="10"/>
      <c r="AI70" s="10"/>
      <c r="AJ70" s="10" t="s">
        <v>254</v>
      </c>
      <c r="AK70" s="10" t="s">
        <v>139</v>
      </c>
      <c r="AL70" s="10"/>
      <c r="AM70" s="10"/>
      <c r="AN70" s="8"/>
      <c r="AO70" s="10" t="s">
        <v>546</v>
      </c>
      <c r="AP70" s="10" t="s">
        <v>175</v>
      </c>
      <c r="AQ70" s="11" t="n">
        <v>46120</v>
      </c>
      <c r="AR70" s="13"/>
      <c r="AS70" s="13"/>
      <c r="AT70" s="13"/>
      <c r="AU70" s="13"/>
      <c r="AV70" s="13"/>
      <c r="AW70" s="13"/>
      <c r="AX70" s="13"/>
      <c r="AY70" s="7" t="s">
        <v>203</v>
      </c>
      <c r="AZ70" s="7"/>
      <c r="BA70" s="7" t="s">
        <v>36</v>
      </c>
      <c r="BB70" s="7" t="s">
        <v>204</v>
      </c>
      <c r="BC70" s="7" t="s">
        <v>547</v>
      </c>
      <c r="BD70" s="9" t="n">
        <v>46309</v>
      </c>
      <c r="BE70" s="7"/>
      <c r="BF70" s="14" t="str">
        <f aca="true">IF(TRIM($A70)="Finalized","Closed",IF($BD70="","No review date set",IF($BD70&lt;TODAY(),"OVERDUE",IF($BD70-TODAY()&lt;=7,"Due within 7 days","Scheduled"))))</f>
        <v>OVERDUE</v>
      </c>
      <c r="BG70" s="14" t="n">
        <f aca="true">IF($K70="","",TODAY()-$K70)</f>
        <v>32</v>
      </c>
      <c r="BH70" s="15" t="str">
        <f aca="false">IFERROR(LEFT(IF($B70="","Notes, ","")&amp;IF($K70="","Latest Date Worked, ","")&amp;IF($AY70="","Last Action, ","")&amp;IF(AND(OR(TRIM($A70)="Denied",TRIM($A70)="Rejected"),$BA70=""),"Denial Reason, ","")&amp;IF(AND(TRIM($A70)="Denied",$BB70="",TRIM($BA70)&lt;&gt;"NO DENIAL"),"Denial Code, ","")&amp;IF(AND(TRIM($A70)&lt;&gt;"Finalized",$BD70=""),"Next Review Date, ","")&amp;IF(AND(TRIM($A70)&lt;&gt;"Finalized",$BE70=""),"Next Step, ","")&amp;IF(AND(TRIM($A70)="Finalized",$AV70="",$AR70="",$AT70="",$AX70="",$AW70=""),"CPT outcome, ",""),LEN(IF($B70="","Notes, ","")&amp;IF($K70="","Latest Date Worked, ","")&amp;IF($AY70="","Last Action, ","")&amp;IF(AND(OR(TRIM($A70)="Denied",TRIM($A70)="Rejected"),$BA70=""),"Denial Reason, ","")&amp;IF(AND(TRIM($A70)="Denied",$BB70="",TRIM($BA70)&lt;&gt;"NO DENIAL"),"Denial Code, ","")&amp;IF(AND(TRIM($A70)&lt;&gt;"Finalized",$BD70=""),"Next Review Date, ","")&amp;IF(AND(TRIM($A70)&lt;&gt;"Finalized",$BE70=""),"Next Step, ","")&amp;IF(AND(TRIM($A70)="Finalized",$AV70="",$AR70="",$AT70="",$AX70="",$AW70=""),"CPT outcome, ",""))-2),"")</f>
        <v>Next Step</v>
      </c>
      <c r="BI70" s="15" t="str">
        <f aca="false">IF($BB70="","",IFERROR(INDEX('Denial Codes'!$C:$C,MATCH(LEFT($BB70,FIND(" - ",$BB70&amp;" - ")+2)&amp;"*",'Denial Codes'!$A:$A,0)),""))</f>
        <v>Medical records needed</v>
      </c>
      <c r="BJ70" s="15" t="str">
        <f aca="false">IF($BA70="","",IFERROR(INDEX(Lists!$B:$B,MATCH(TRIM($BA70),Lists!$A:$A,0))&amp;"",""))</f>
        <v>Upload the MR on the payer portal, note the PIQ/reference number and set a review date.</v>
      </c>
    </row>
    <row r="71" customFormat="false" ht="15" hidden="false" customHeight="false" outlineLevel="0" collapsed="false">
      <c r="A71" s="7" t="s">
        <v>17</v>
      </c>
      <c r="B71" s="7" t="s">
        <v>548</v>
      </c>
      <c r="C71" s="8" t="n">
        <v>570820956</v>
      </c>
      <c r="D71" s="9" t="n">
        <v>46274</v>
      </c>
      <c r="E71" s="10" t="s">
        <v>549</v>
      </c>
      <c r="F71" s="11" t="n">
        <v>46097</v>
      </c>
      <c r="G71" s="10" t="s">
        <v>163</v>
      </c>
      <c r="H71" s="10" t="s">
        <v>163</v>
      </c>
      <c r="I71" s="10" t="s">
        <v>129</v>
      </c>
      <c r="J71" s="10" t="s">
        <v>181</v>
      </c>
      <c r="K71" s="9" t="n">
        <v>46268</v>
      </c>
      <c r="L71" s="12" t="n">
        <f aca="true">IF($O71="","",$O71-TODAY())</f>
        <v>-124</v>
      </c>
      <c r="M71" s="12" t="n">
        <f aca="true">IF(AND(TRIM($A71)="Finalized",$K71&lt;&gt;""),"",IF($F71="","",$F71+90-TODAY()))</f>
        <v>-124</v>
      </c>
      <c r="N71" s="12" t="n">
        <f aca="true">IF(AND(TRIM($A71)="Finalized",$K71&lt;&gt;""),"",IF($D71="","",$D71+365-TODAY()))</f>
        <v>328</v>
      </c>
      <c r="O71" s="11" t="n">
        <f aca="false">IF(AND(TRIM($A71)="Finalized",$K71&lt;&gt;""),"",DATE(2026,6,14))</f>
        <v>46187</v>
      </c>
      <c r="P71" s="10" t="s">
        <v>165</v>
      </c>
      <c r="Q71" s="10" t="s">
        <v>166</v>
      </c>
      <c r="R71" s="10" t="s">
        <v>165</v>
      </c>
      <c r="S71" s="10" t="s">
        <v>149</v>
      </c>
      <c r="T71" s="10" t="s">
        <v>114</v>
      </c>
      <c r="U71" s="10" t="s">
        <v>116</v>
      </c>
      <c r="V71" s="10" t="s">
        <v>167</v>
      </c>
      <c r="W71" s="10" t="s">
        <v>183</v>
      </c>
      <c r="X71" s="10"/>
      <c r="Y71" s="10"/>
      <c r="Z71" s="10"/>
      <c r="AA71" s="10" t="s">
        <v>197</v>
      </c>
      <c r="AB71" s="8" t="n">
        <f aca="true">IF($F71="","",TODAY()-$F71)</f>
        <v>214</v>
      </c>
      <c r="AC71" s="10" t="s">
        <v>184</v>
      </c>
      <c r="AD71" s="10" t="s">
        <v>185</v>
      </c>
      <c r="AE71" s="10"/>
      <c r="AF71" s="10"/>
      <c r="AG71" s="10"/>
      <c r="AH71" s="10"/>
      <c r="AI71" s="10"/>
      <c r="AJ71" s="10" t="s">
        <v>186</v>
      </c>
      <c r="AK71" s="10" t="s">
        <v>385</v>
      </c>
      <c r="AL71" s="10"/>
      <c r="AM71" s="10"/>
      <c r="AN71" s="8"/>
      <c r="AO71" s="10" t="s">
        <v>341</v>
      </c>
      <c r="AP71" s="10" t="s">
        <v>308</v>
      </c>
      <c r="AQ71" s="11" t="n">
        <v>46119</v>
      </c>
      <c r="AR71" s="13"/>
      <c r="AS71" s="13"/>
      <c r="AT71" s="13"/>
      <c r="AU71" s="13"/>
      <c r="AV71" s="13"/>
      <c r="AW71" s="13"/>
      <c r="AX71" s="13"/>
      <c r="AY71" s="7" t="s">
        <v>159</v>
      </c>
      <c r="AZ71" s="7"/>
      <c r="BA71" s="7" t="s">
        <v>46</v>
      </c>
      <c r="BB71" s="7"/>
      <c r="BC71" s="7"/>
      <c r="BD71" s="9" t="n">
        <v>46298</v>
      </c>
      <c r="BE71" s="7"/>
      <c r="BF71" s="14" t="str">
        <f aca="true">IF(TRIM($A71)="Finalized","Closed",IF($BD71="","No review date set",IF($BD71&lt;TODAY(),"OVERDUE",IF($BD71-TODAY()&lt;=7,"Due within 7 days","Scheduled"))))</f>
        <v>OVERDUE</v>
      </c>
      <c r="BG71" s="14" t="n">
        <f aca="true">IF($K71="","",TODAY()-$K71)</f>
        <v>43</v>
      </c>
      <c r="BH71" s="15" t="str">
        <f aca="false">IFERROR(LEFT(IF($B71="","Notes, ","")&amp;IF($K71="","Latest Date Worked, ","")&amp;IF($AY71="","Last Action, ","")&amp;IF(AND(OR(TRIM($A71)="Denied",TRIM($A71)="Rejected"),$BA71=""),"Denial Reason, ","")&amp;IF(AND(TRIM($A71)="Denied",$BB71="",TRIM($BA71)&lt;&gt;"NO DENIAL"),"Denial Code, ","")&amp;IF(AND(TRIM($A71)&lt;&gt;"Finalized",$BD71=""),"Next Review Date, ","")&amp;IF(AND(TRIM($A71)&lt;&gt;"Finalized",$BE71=""),"Next Step, ","")&amp;IF(AND(TRIM($A71)="Finalized",$AV71="",$AR71="",$AT71="",$AX71="",$AW71=""),"CPT outcome, ",""),LEN(IF($B71="","Notes, ","")&amp;IF($K71="","Latest Date Worked, ","")&amp;IF($AY71="","Last Action, ","")&amp;IF(AND(OR(TRIM($A71)="Denied",TRIM($A71)="Rejected"),$BA71=""),"Denial Reason, ","")&amp;IF(AND(TRIM($A71)="Denied",$BB71="",TRIM($BA71)&lt;&gt;"NO DENIAL"),"Denial Code, ","")&amp;IF(AND(TRIM($A71)&lt;&gt;"Finalized",$BD71=""),"Next Review Date, ","")&amp;IF(AND(TRIM($A71)&lt;&gt;"Finalized",$BE71=""),"Next Step, ","")&amp;IF(AND(TRIM($A71)="Finalized",$AV71="",$AR71="",$AT71="",$AX71="",$AW71=""),"CPT outcome, ",""))-2),"")</f>
        <v>Denial Code, Next Step</v>
      </c>
      <c r="BI71" s="15" t="str">
        <f aca="false">IF($BB71="","",IFERROR(INDEX('Denial Codes'!$C:$C,MATCH(LEFT($BB71,FIND(" - ",$BB71&amp;" - ")+2)&amp;"*",'Denial Codes'!$A:$A,0)),""))</f>
        <v/>
      </c>
      <c r="BJ71" s="15" t="str">
        <f aca="false">IF($BA71="","",IFERROR(INDEX(Lists!$B:$B,MATCH(TRIM($BA71),Lists!$A:$A,0))&amp;"",""))</f>
        <v>Verify eligibility; correct the member ID/MBI, name or DOB and resubmit.</v>
      </c>
    </row>
    <row r="72" customFormat="false" ht="15" hidden="false" customHeight="false" outlineLevel="0" collapsed="false">
      <c r="A72" s="7" t="s">
        <v>17</v>
      </c>
      <c r="B72" s="7" t="s">
        <v>550</v>
      </c>
      <c r="C72" s="8" t="n">
        <v>571607238</v>
      </c>
      <c r="D72" s="9" t="n">
        <v>46135</v>
      </c>
      <c r="E72" s="10" t="s">
        <v>551</v>
      </c>
      <c r="F72" s="11" t="n">
        <v>46098</v>
      </c>
      <c r="G72" s="10" t="s">
        <v>180</v>
      </c>
      <c r="H72" s="10" t="s">
        <v>180</v>
      </c>
      <c r="I72" s="10" t="s">
        <v>163</v>
      </c>
      <c r="J72" s="10" t="s">
        <v>194</v>
      </c>
      <c r="K72" s="9" t="n">
        <v>46278</v>
      </c>
      <c r="L72" s="12" t="n">
        <f aca="true">IF($O72="","",$O72-TODAY())</f>
        <v>-123</v>
      </c>
      <c r="M72" s="12" t="n">
        <f aca="true">IF(AND(TRIM($A72)="Finalized",$K72&lt;&gt;""),"",IF($D72="","",$D72+180-TODAY()))</f>
        <v>4</v>
      </c>
      <c r="N72" s="12" t="n">
        <f aca="true">IF(AND(TRIM($A72)="Finalized",$K72&lt;&gt;""),"",IF($D72="","",$D72+365-TODAY()))</f>
        <v>189</v>
      </c>
      <c r="O72" s="11" t="n">
        <f aca="false">IF(AND(TRIM($A72)="Finalized",$K72&lt;&gt;""),"",DATE(2026,6,15))</f>
        <v>46188</v>
      </c>
      <c r="P72" s="10" t="s">
        <v>165</v>
      </c>
      <c r="Q72" s="10" t="s">
        <v>182</v>
      </c>
      <c r="R72" s="10" t="s">
        <v>147</v>
      </c>
      <c r="S72" s="10" t="s">
        <v>116</v>
      </c>
      <c r="T72" s="10" t="s">
        <v>114</v>
      </c>
      <c r="U72" s="10" t="s">
        <v>116</v>
      </c>
      <c r="V72" s="10" t="s">
        <v>167</v>
      </c>
      <c r="W72" s="10" t="s">
        <v>196</v>
      </c>
      <c r="X72" s="10"/>
      <c r="Y72" s="10"/>
      <c r="Z72" s="10"/>
      <c r="AA72" s="10" t="s">
        <v>197</v>
      </c>
      <c r="AB72" s="8" t="n">
        <f aca="true">IF($F72="","",TODAY()-$F72)</f>
        <v>213</v>
      </c>
      <c r="AC72" s="10" t="s">
        <v>198</v>
      </c>
      <c r="AD72" s="10"/>
      <c r="AE72" s="10"/>
      <c r="AF72" s="10"/>
      <c r="AG72" s="10"/>
      <c r="AH72" s="10"/>
      <c r="AI72" s="10"/>
      <c r="AJ72" s="10" t="s">
        <v>170</v>
      </c>
      <c r="AK72" s="10" t="s">
        <v>552</v>
      </c>
      <c r="AL72" s="10"/>
      <c r="AM72" s="10"/>
      <c r="AN72" s="8"/>
      <c r="AO72" s="10" t="s">
        <v>201</v>
      </c>
      <c r="AP72" s="10" t="s">
        <v>202</v>
      </c>
      <c r="AQ72" s="11" t="n">
        <v>46119</v>
      </c>
      <c r="AR72" s="13"/>
      <c r="AS72" s="13"/>
      <c r="AT72" s="13"/>
      <c r="AU72" s="13"/>
      <c r="AV72" s="13"/>
      <c r="AW72" s="13"/>
      <c r="AX72" s="13"/>
      <c r="AY72" s="7" t="s">
        <v>159</v>
      </c>
      <c r="AZ72" s="7"/>
      <c r="BA72" s="7" t="s">
        <v>44</v>
      </c>
      <c r="BB72" s="7"/>
      <c r="BC72" s="7"/>
      <c r="BD72" s="9" t="n">
        <v>46308</v>
      </c>
      <c r="BE72" s="7"/>
      <c r="BF72" s="14" t="str">
        <f aca="true">IF(TRIM($A72)="Finalized","Closed",IF($BD72="","No review date set",IF($BD72&lt;TODAY(),"OVERDUE",IF($BD72-TODAY()&lt;=7,"Due within 7 days","Scheduled"))))</f>
        <v>OVERDUE</v>
      </c>
      <c r="BG72" s="14" t="n">
        <f aca="true">IF($K72="","",TODAY()-$K72)</f>
        <v>33</v>
      </c>
      <c r="BH72" s="15" t="str">
        <f aca="false">IFERROR(LEFT(IF($B72="","Notes, ","")&amp;IF($K72="","Latest Date Worked, ","")&amp;IF($AY72="","Last Action, ","")&amp;IF(AND(OR(TRIM($A72)="Denied",TRIM($A72)="Rejected"),$BA72=""),"Denial Reason, ","")&amp;IF(AND(TRIM($A72)="Denied",$BB72="",TRIM($BA72)&lt;&gt;"NO DENIAL"),"Denial Code, ","")&amp;IF(AND(TRIM($A72)&lt;&gt;"Finalized",$BD72=""),"Next Review Date, ","")&amp;IF(AND(TRIM($A72)&lt;&gt;"Finalized",$BE72=""),"Next Step, ","")&amp;IF(AND(TRIM($A72)="Finalized",$AV72="",$AR72="",$AT72="",$AX72="",$AW72=""),"CPT outcome, ",""),LEN(IF($B72="","Notes, ","")&amp;IF($K72="","Latest Date Worked, ","")&amp;IF($AY72="","Last Action, ","")&amp;IF(AND(OR(TRIM($A72)="Denied",TRIM($A72)="Rejected"),$BA72=""),"Denial Reason, ","")&amp;IF(AND(TRIM($A72)="Denied",$BB72="",TRIM($BA72)&lt;&gt;"NO DENIAL"),"Denial Code, ","")&amp;IF(AND(TRIM($A72)&lt;&gt;"Finalized",$BD72=""),"Next Review Date, ","")&amp;IF(AND(TRIM($A72)&lt;&gt;"Finalized",$BE72=""),"Next Step, ","")&amp;IF(AND(TRIM($A72)="Finalized",$AV72="",$AR72="",$AT72="",$AX72="",$AW72=""),"CPT outcome, ",""))-2),"")</f>
        <v>Denial Code, Next Step</v>
      </c>
      <c r="BI72" s="15" t="str">
        <f aca="false">IF($BB72="","",IFERROR(INDEX('Denial Codes'!$C:$C,MATCH(LEFT($BB72,FIND(" - ",$BB72&amp;" - ")+2)&amp;"*",'Denial Codes'!$A:$A,0)),""))</f>
        <v/>
      </c>
      <c r="BJ72" s="15" t="str">
        <f aca="false">IF($BA72="","",IFERROR(INDEX(Lists!$B:$B,MATCH(TRIM($BA72),Lists!$A:$A,0))&amp;"",""))</f>
        <v>Bill the correct payer, delegated vendor or capitated group/IPA (e.g. Optum Behavioral, Preferred Homecare).</v>
      </c>
    </row>
    <row r="73" customFormat="false" ht="15" hidden="false" customHeight="false" outlineLevel="0" collapsed="false">
      <c r="A73" s="7" t="s">
        <v>17</v>
      </c>
      <c r="B73" s="7" t="s">
        <v>553</v>
      </c>
      <c r="C73" s="8" t="n">
        <v>571612561</v>
      </c>
      <c r="D73" s="9" t="n">
        <v>46146</v>
      </c>
      <c r="E73" s="10" t="s">
        <v>554</v>
      </c>
      <c r="F73" s="11" t="n">
        <v>46098</v>
      </c>
      <c r="G73" s="10" t="s">
        <v>555</v>
      </c>
      <c r="H73" s="10" t="s">
        <v>555</v>
      </c>
      <c r="I73" s="10" t="s">
        <v>129</v>
      </c>
      <c r="J73" s="10" t="s">
        <v>556</v>
      </c>
      <c r="K73" s="9" t="n">
        <v>46278</v>
      </c>
      <c r="L73" s="12" t="n">
        <f aca="true">IF($O73="","",$O73-TODAY())</f>
        <v>-123</v>
      </c>
      <c r="M73" s="12" t="n">
        <f aca="true">IF(AND(TRIM($A73)="Finalized",$K73&lt;&gt;""),"",IF($D73="","",$D73+365-TODAY()))</f>
        <v>200</v>
      </c>
      <c r="N73" s="12" t="n">
        <f aca="true">IF(AND(TRIM($A73)="Finalized",$K73&lt;&gt;""),"",IF($D73="","",$D73+365-TODAY()))</f>
        <v>200</v>
      </c>
      <c r="O73" s="11" t="n">
        <f aca="false">IF(AND(TRIM($A73)="Finalized",$K73&lt;&gt;""),"",DATE(2026,6,15))</f>
        <v>46188</v>
      </c>
      <c r="P73" s="10" t="s">
        <v>165</v>
      </c>
      <c r="Q73" s="10" t="s">
        <v>557</v>
      </c>
      <c r="R73" s="10" t="s">
        <v>114</v>
      </c>
      <c r="S73" s="10" t="s">
        <v>116</v>
      </c>
      <c r="T73" s="10" t="s">
        <v>114</v>
      </c>
      <c r="U73" s="10" t="s">
        <v>116</v>
      </c>
      <c r="V73" s="10" t="s">
        <v>167</v>
      </c>
      <c r="W73" s="10" t="s">
        <v>196</v>
      </c>
      <c r="X73" s="10"/>
      <c r="Y73" s="10"/>
      <c r="Z73" s="10"/>
      <c r="AA73" s="10" t="s">
        <v>197</v>
      </c>
      <c r="AB73" s="8" t="n">
        <f aca="true">IF($F73="","",TODAY()-$F73)</f>
        <v>213</v>
      </c>
      <c r="AC73" s="10" t="s">
        <v>198</v>
      </c>
      <c r="AD73" s="10" t="s">
        <v>487</v>
      </c>
      <c r="AE73" s="10" t="s">
        <v>222</v>
      </c>
      <c r="AF73" s="10"/>
      <c r="AG73" s="10"/>
      <c r="AH73" s="10"/>
      <c r="AI73" s="10"/>
      <c r="AJ73" s="10" t="s">
        <v>414</v>
      </c>
      <c r="AK73" s="10" t="s">
        <v>415</v>
      </c>
      <c r="AL73" s="10" t="s">
        <v>375</v>
      </c>
      <c r="AM73" s="10"/>
      <c r="AN73" s="8"/>
      <c r="AO73" s="10" t="s">
        <v>201</v>
      </c>
      <c r="AP73" s="10" t="s">
        <v>202</v>
      </c>
      <c r="AQ73" s="11" t="n">
        <v>46106</v>
      </c>
      <c r="AR73" s="13"/>
      <c r="AS73" s="13"/>
      <c r="AT73" s="13"/>
      <c r="AU73" s="13"/>
      <c r="AV73" s="13"/>
      <c r="AW73" s="13"/>
      <c r="AX73" s="13" t="s">
        <v>558</v>
      </c>
      <c r="AY73" s="7" t="s">
        <v>159</v>
      </c>
      <c r="AZ73" s="7"/>
      <c r="BA73" s="7" t="s">
        <v>35</v>
      </c>
      <c r="BB73" s="7" t="s">
        <v>559</v>
      </c>
      <c r="BC73" s="7"/>
      <c r="BD73" s="9" t="n">
        <v>46308</v>
      </c>
      <c r="BE73" s="7"/>
      <c r="BF73" s="14" t="str">
        <f aca="true">IF(TRIM($A73)="Finalized","Closed",IF($BD73="","No review date set",IF($BD73&lt;TODAY(),"OVERDUE",IF($BD73-TODAY()&lt;=7,"Due within 7 days","Scheduled"))))</f>
        <v>OVERDUE</v>
      </c>
      <c r="BG73" s="14" t="n">
        <f aca="true">IF($K73="","",TODAY()-$K73)</f>
        <v>33</v>
      </c>
      <c r="BH73" s="15" t="str">
        <f aca="false">IFERROR(LEFT(IF($B73="","Notes, ","")&amp;IF($K73="","Latest Date Worked, ","")&amp;IF($AY73="","Last Action, ","")&amp;IF(AND(OR(TRIM($A73)="Denied",TRIM($A73)="Rejected"),$BA73=""),"Denial Reason, ","")&amp;IF(AND(TRIM($A73)="Denied",$BB73="",TRIM($BA73)&lt;&gt;"NO DENIAL"),"Denial Code, ","")&amp;IF(AND(TRIM($A73)&lt;&gt;"Finalized",$BD73=""),"Next Review Date, ","")&amp;IF(AND(TRIM($A73)&lt;&gt;"Finalized",$BE73=""),"Next Step, ","")&amp;IF(AND(TRIM($A73)="Finalized",$AV73="",$AR73="",$AT73="",$AX73="",$AW73=""),"CPT outcome, ",""),LEN(IF($B73="","Notes, ","")&amp;IF($K73="","Latest Date Worked, ","")&amp;IF($AY73="","Last Action, ","")&amp;IF(AND(OR(TRIM($A73)="Denied",TRIM($A73)="Rejected"),$BA73=""),"Denial Reason, ","")&amp;IF(AND(TRIM($A73)="Denied",$BB73="",TRIM($BA73)&lt;&gt;"NO DENIAL"),"Denial Code, ","")&amp;IF(AND(TRIM($A73)&lt;&gt;"Finalized",$BD73=""),"Next Review Date, ","")&amp;IF(AND(TRIM($A73)&lt;&gt;"Finalized",$BE73=""),"Next Step, ","")&amp;IF(AND(TRIM($A73)="Finalized",$AV73="",$AR73="",$AT73="",$AX73="",$AW73=""),"CPT outcome, ",""))-2),"")</f>
        <v>Next Step</v>
      </c>
      <c r="BI73" s="15" t="str">
        <f aca="false">IF($BB73="","",IFERROR(INDEX('Denial Codes'!$C:$C,MATCH(LEFT($BB73,FIND(" - ",$BB73&amp;" - ")+2)&amp;"*",'Denial Codes'!$A:$A,0)),""))</f>
        <v>Timely filing</v>
      </c>
      <c r="BJ73" s="15" t="str">
        <f aca="false">IF($BA73="","",IFERROR(INDEX(Lists!$B:$B,MATCH(TRIM($BA73),Lists!$A:$A,0))&amp;"",""))</f>
        <v>Find proof of timely filing (clearinghouse acceptance or earlier submission) and appeal with it; if none, adjust the balance.</v>
      </c>
    </row>
    <row r="74" customFormat="false" ht="15" hidden="false" customHeight="false" outlineLevel="0" collapsed="false">
      <c r="A74" s="7" t="s">
        <v>17</v>
      </c>
      <c r="B74" s="7" t="s">
        <v>367</v>
      </c>
      <c r="C74" s="8" t="n">
        <v>570350220</v>
      </c>
      <c r="D74" s="9" t="n">
        <v>46268</v>
      </c>
      <c r="E74" s="10" t="s">
        <v>560</v>
      </c>
      <c r="F74" s="11" t="n">
        <v>46099</v>
      </c>
      <c r="G74" s="10" t="s">
        <v>369</v>
      </c>
      <c r="H74" s="10" t="s">
        <v>369</v>
      </c>
      <c r="I74" s="10" t="s">
        <v>129</v>
      </c>
      <c r="J74" s="10" t="s">
        <v>424</v>
      </c>
      <c r="K74" s="9" t="n">
        <v>46265</v>
      </c>
      <c r="L74" s="12" t="n">
        <f aca="true">IF($O74="","",$O74-TODAY())</f>
        <v>-122</v>
      </c>
      <c r="M74" s="12" t="n">
        <f aca="true">IF(AND(TRIM($A74)="Finalized",$K74&lt;&gt;""),"",IF($D74="","",$D74+365-TODAY()))</f>
        <v>322</v>
      </c>
      <c r="N74" s="12" t="n">
        <f aca="true">IF(AND(TRIM($A74)="Finalized",$K74&lt;&gt;""),"",IF($D74="","",$D74+365-TODAY()))</f>
        <v>322</v>
      </c>
      <c r="O74" s="11" t="n">
        <f aca="false">IF(AND(TRIM($A74)="Finalized",$K74&lt;&gt;""),"",DATE(2026,6,16))</f>
        <v>46189</v>
      </c>
      <c r="P74" s="10" t="s">
        <v>165</v>
      </c>
      <c r="Q74" s="10" t="s">
        <v>371</v>
      </c>
      <c r="R74" s="10" t="s">
        <v>114</v>
      </c>
      <c r="S74" s="10" t="s">
        <v>116</v>
      </c>
      <c r="T74" s="10" t="s">
        <v>114</v>
      </c>
      <c r="U74" s="10" t="s">
        <v>116</v>
      </c>
      <c r="V74" s="10" t="s">
        <v>167</v>
      </c>
      <c r="W74" s="10" t="s">
        <v>183</v>
      </c>
      <c r="X74" s="10"/>
      <c r="Y74" s="10"/>
      <c r="Z74" s="10"/>
      <c r="AA74" s="10" t="s">
        <v>197</v>
      </c>
      <c r="AB74" s="8" t="n">
        <f aca="true">IF($F74="","",TODAY()-$F74)</f>
        <v>212</v>
      </c>
      <c r="AC74" s="10" t="s">
        <v>211</v>
      </c>
      <c r="AD74" s="10" t="s">
        <v>184</v>
      </c>
      <c r="AE74" s="10"/>
      <c r="AF74" s="10"/>
      <c r="AG74" s="10"/>
      <c r="AH74" s="10"/>
      <c r="AI74" s="10"/>
      <c r="AJ74" s="10" t="s">
        <v>403</v>
      </c>
      <c r="AK74" s="10" t="s">
        <v>385</v>
      </c>
      <c r="AL74" s="10"/>
      <c r="AM74" s="10"/>
      <c r="AN74" s="8"/>
      <c r="AO74" s="10" t="s">
        <v>213</v>
      </c>
      <c r="AP74" s="10" t="s">
        <v>202</v>
      </c>
      <c r="AQ74" s="11" t="n">
        <v>46153</v>
      </c>
      <c r="AR74" s="13"/>
      <c r="AS74" s="13"/>
      <c r="AT74" s="13"/>
      <c r="AU74" s="13"/>
      <c r="AV74" s="13" t="s">
        <v>211</v>
      </c>
      <c r="AW74" s="13"/>
      <c r="AX74" s="13" t="s">
        <v>214</v>
      </c>
      <c r="AY74" s="7" t="s">
        <v>159</v>
      </c>
      <c r="AZ74" s="7"/>
      <c r="BA74" s="7" t="s">
        <v>40</v>
      </c>
      <c r="BB74" s="7" t="s">
        <v>372</v>
      </c>
      <c r="BC74" s="7"/>
      <c r="BD74" s="9" t="n">
        <v>46295</v>
      </c>
      <c r="BE74" s="7"/>
      <c r="BF74" s="14" t="str">
        <f aca="true">IF(TRIM($A74)="Finalized","Closed",IF($BD74="","No review date set",IF($BD74&lt;TODAY(),"OVERDUE",IF($BD74-TODAY()&lt;=7,"Due within 7 days","Scheduled"))))</f>
        <v>OVERDUE</v>
      </c>
      <c r="BG74" s="14" t="n">
        <f aca="true">IF($K74="","",TODAY()-$K74)</f>
        <v>46</v>
      </c>
      <c r="BH74" s="15" t="str">
        <f aca="false">IFERROR(LEFT(IF($B74="","Notes, ","")&amp;IF($K74="","Latest Date Worked, ","")&amp;IF($AY74="","Last Action, ","")&amp;IF(AND(OR(TRIM($A74)="Denied",TRIM($A74)="Rejected"),$BA74=""),"Denial Reason, ","")&amp;IF(AND(TRIM($A74)="Denied",$BB74="",TRIM($BA74)&lt;&gt;"NO DENIAL"),"Denial Code, ","")&amp;IF(AND(TRIM($A74)&lt;&gt;"Finalized",$BD74=""),"Next Review Date, ","")&amp;IF(AND(TRIM($A74)&lt;&gt;"Finalized",$BE74=""),"Next Step, ","")&amp;IF(AND(TRIM($A74)="Finalized",$AV74="",$AR74="",$AT74="",$AX74="",$AW74=""),"CPT outcome, ",""),LEN(IF($B74="","Notes, ","")&amp;IF($K74="","Latest Date Worked, ","")&amp;IF($AY74="","Last Action, ","")&amp;IF(AND(OR(TRIM($A74)="Denied",TRIM($A74)="Rejected"),$BA74=""),"Denial Reason, ","")&amp;IF(AND(TRIM($A74)="Denied",$BB74="",TRIM($BA74)&lt;&gt;"NO DENIAL"),"Denial Code, ","")&amp;IF(AND(TRIM($A74)&lt;&gt;"Finalized",$BD74=""),"Next Review Date, ","")&amp;IF(AND(TRIM($A74)&lt;&gt;"Finalized",$BE74=""),"Next Step, ","")&amp;IF(AND(TRIM($A74)="Finalized",$AV74="",$AR74="",$AT74="",$AX74="",$AW74=""),"CPT outcome, ",""))-2),"")</f>
        <v>Next Step</v>
      </c>
      <c r="BI74" s="15" t="str">
        <f aca="false">IF($BB74="","",IFERROR(INDEX('Denial Codes'!$C:$C,MATCH(LEFT($BB74,FIND(" - ",$BB74&amp;" - ")+2)&amp;"*",'Denial Codes'!$A:$A,0)),""))</f>
        <v>Coding / billing error</v>
      </c>
      <c r="BJ74" s="15" t="str">
        <f aca="false">IF($BA74="","",IFERROR(INDEX(Lists!$B:$B,MATCH(TRIM($BA74),Lists!$A:$A,0))&amp;"",""))</f>
        <v>Fix the code, units, charge or other claim data and resubmit as a corrected claim.</v>
      </c>
    </row>
    <row r="75" customFormat="false" ht="15" hidden="false" customHeight="false" outlineLevel="0" collapsed="false">
      <c r="A75" s="7" t="s">
        <v>17</v>
      </c>
      <c r="B75" s="7" t="s">
        <v>561</v>
      </c>
      <c r="C75" s="8" t="n">
        <v>553133483</v>
      </c>
      <c r="D75" s="9" t="n">
        <v>46161</v>
      </c>
      <c r="E75" s="10" t="s">
        <v>562</v>
      </c>
      <c r="F75" s="11" t="n">
        <v>46099</v>
      </c>
      <c r="G75" s="10" t="s">
        <v>180</v>
      </c>
      <c r="H75" s="10" t="s">
        <v>180</v>
      </c>
      <c r="I75" s="10" t="s">
        <v>129</v>
      </c>
      <c r="J75" s="10" t="s">
        <v>400</v>
      </c>
      <c r="K75" s="9" t="n">
        <v>46268</v>
      </c>
      <c r="L75" s="12" t="n">
        <f aca="true">IF($O75="","",$O75-TODAY())</f>
        <v>-122</v>
      </c>
      <c r="M75" s="12" t="n">
        <f aca="true">IF(AND(TRIM($A75)="Finalized",$K75&lt;&gt;""),"",IF($D75="","",$D75+180-TODAY()))</f>
        <v>30</v>
      </c>
      <c r="N75" s="12" t="n">
        <f aca="true">IF(AND(TRIM($A75)="Finalized",$K75&lt;&gt;""),"",IF($D75="","",$D75+365-TODAY()))</f>
        <v>215</v>
      </c>
      <c r="O75" s="11" t="n">
        <f aca="false">IF(AND(TRIM($A75)="Finalized",$K75&lt;&gt;""),"",DATE(2026,6,16))</f>
        <v>46189</v>
      </c>
      <c r="P75" s="10" t="s">
        <v>165</v>
      </c>
      <c r="Q75" s="10" t="s">
        <v>182</v>
      </c>
      <c r="R75" s="10" t="s">
        <v>147</v>
      </c>
      <c r="S75" s="10" t="s">
        <v>116</v>
      </c>
      <c r="T75" s="10" t="s">
        <v>114</v>
      </c>
      <c r="U75" s="10" t="s">
        <v>116</v>
      </c>
      <c r="V75" s="10" t="s">
        <v>167</v>
      </c>
      <c r="W75" s="10" t="s">
        <v>183</v>
      </c>
      <c r="X75" s="10"/>
      <c r="Y75" s="10"/>
      <c r="Z75" s="10"/>
      <c r="AA75" s="10" t="s">
        <v>197</v>
      </c>
      <c r="AB75" s="8" t="n">
        <f aca="true">IF($F75="","",TODAY()-$F75)</f>
        <v>212</v>
      </c>
      <c r="AC75" s="10" t="s">
        <v>185</v>
      </c>
      <c r="AD75" s="10" t="s">
        <v>184</v>
      </c>
      <c r="AE75" s="10"/>
      <c r="AF75" s="10"/>
      <c r="AG75" s="10"/>
      <c r="AH75" s="10"/>
      <c r="AI75" s="10"/>
      <c r="AJ75" s="10" t="s">
        <v>511</v>
      </c>
      <c r="AK75" s="10"/>
      <c r="AL75" s="10"/>
      <c r="AM75" s="10"/>
      <c r="AN75" s="8"/>
      <c r="AO75" s="10" t="s">
        <v>359</v>
      </c>
      <c r="AP75" s="10" t="s">
        <v>202</v>
      </c>
      <c r="AQ75" s="11" t="n">
        <v>46119</v>
      </c>
      <c r="AR75" s="13"/>
      <c r="AS75" s="13"/>
      <c r="AT75" s="13"/>
      <c r="AU75" s="13"/>
      <c r="AV75" s="13"/>
      <c r="AW75" s="13"/>
      <c r="AX75" s="13"/>
      <c r="AY75" s="7" t="s">
        <v>354</v>
      </c>
      <c r="AZ75" s="7" t="s">
        <v>203</v>
      </c>
      <c r="BA75" s="7" t="s">
        <v>43</v>
      </c>
      <c r="BB75" s="7"/>
      <c r="BC75" s="7" t="s">
        <v>563</v>
      </c>
      <c r="BD75" s="9" t="n">
        <v>46298</v>
      </c>
      <c r="BE75" s="7"/>
      <c r="BF75" s="14" t="str">
        <f aca="true">IF(TRIM($A75)="Finalized","Closed",IF($BD75="","No review date set",IF($BD75&lt;TODAY(),"OVERDUE",IF($BD75-TODAY()&lt;=7,"Due within 7 days","Scheduled"))))</f>
        <v>OVERDUE</v>
      </c>
      <c r="BG75" s="14" t="n">
        <f aca="true">IF($K75="","",TODAY()-$K75)</f>
        <v>43</v>
      </c>
      <c r="BH75" s="15" t="str">
        <f aca="false">IFERROR(LEFT(IF($B75="","Notes, ","")&amp;IF($K75="","Latest Date Worked, ","")&amp;IF($AY75="","Last Action, ","")&amp;IF(AND(OR(TRIM($A75)="Denied",TRIM($A75)="Rejected"),$BA75=""),"Denial Reason, ","")&amp;IF(AND(TRIM($A75)="Denied",$BB75="",TRIM($BA75)&lt;&gt;"NO DENIAL"),"Denial Code, ","")&amp;IF(AND(TRIM($A75)&lt;&gt;"Finalized",$BD75=""),"Next Review Date, ","")&amp;IF(AND(TRIM($A75)&lt;&gt;"Finalized",$BE75=""),"Next Step, ","")&amp;IF(AND(TRIM($A75)="Finalized",$AV75="",$AR75="",$AT75="",$AX75="",$AW75=""),"CPT outcome, ",""),LEN(IF($B75="","Notes, ","")&amp;IF($K75="","Latest Date Worked, ","")&amp;IF($AY75="","Last Action, ","")&amp;IF(AND(OR(TRIM($A75)="Denied",TRIM($A75)="Rejected"),$BA75=""),"Denial Reason, ","")&amp;IF(AND(TRIM($A75)="Denied",$BB75="",TRIM($BA75)&lt;&gt;"NO DENIAL"),"Denial Code, ","")&amp;IF(AND(TRIM($A75)&lt;&gt;"Finalized",$BD75=""),"Next Review Date, ","")&amp;IF(AND(TRIM($A75)&lt;&gt;"Finalized",$BE75=""),"Next Step, ","")&amp;IF(AND(TRIM($A75)="Finalized",$AV75="",$AR75="",$AT75="",$AX75="",$AW75=""),"CPT outcome, ",""))-2),"")</f>
        <v>Denial Code, Next Step</v>
      </c>
      <c r="BI75" s="15" t="str">
        <f aca="false">IF($BB75="","",IFERROR(INDEX('Denial Codes'!$C:$C,MATCH(LEFT($BB75,FIND(" - ",$BB75&amp;" - ")+2)&amp;"*",'Denial Codes'!$A:$A,0)),""))</f>
        <v/>
      </c>
      <c r="BJ75" s="15" t="str">
        <f aca="false">IF($BA75="","",IFERROR(INDEX(Lists!$B:$B,MATCH(TRIM($BA75),Lists!$A:$A,0))&amp;"",""))</f>
        <v>Appeal with medical records and a letter of medical necessity; check LCD/MUE limits.</v>
      </c>
    </row>
    <row r="76" customFormat="false" ht="15" hidden="false" customHeight="false" outlineLevel="0" collapsed="false">
      <c r="A76" s="7" t="s">
        <v>23</v>
      </c>
      <c r="B76" s="7" t="s">
        <v>564</v>
      </c>
      <c r="C76" s="8" t="n">
        <v>553857983</v>
      </c>
      <c r="D76" s="9" t="n">
        <v>46114</v>
      </c>
      <c r="E76" s="10" t="s">
        <v>565</v>
      </c>
      <c r="F76" s="11" t="n">
        <v>46099</v>
      </c>
      <c r="G76" s="10" t="s">
        <v>243</v>
      </c>
      <c r="H76" s="10" t="s">
        <v>485</v>
      </c>
      <c r="I76" s="10" t="s">
        <v>243</v>
      </c>
      <c r="J76" s="10" t="s">
        <v>219</v>
      </c>
      <c r="K76" s="9" t="n">
        <v>46278</v>
      </c>
      <c r="L76" s="12" t="n">
        <f aca="true">IF($O76="","",$O76-TODAY())</f>
        <v>-122</v>
      </c>
      <c r="M76" s="12" t="n">
        <f aca="true">IF(AND(TRIM($A76)="Finalized",$K76&lt;&gt;""),"",IF($F76="","",$F76+90-TODAY()))</f>
        <v>-122</v>
      </c>
      <c r="N76" s="12" t="n">
        <f aca="true">IF(AND(TRIM($A76)="Finalized",$K76&lt;&gt;""),"",IF($D76="","",$D76+180-TODAY()))</f>
        <v>-17</v>
      </c>
      <c r="O76" s="11" t="n">
        <f aca="false">IF(AND(TRIM($A76)="Finalized",$K76&lt;&gt;""),"",DATE(2026,6,16))</f>
        <v>46189</v>
      </c>
      <c r="P76" s="10" t="s">
        <v>165</v>
      </c>
      <c r="Q76" s="10" t="s">
        <v>220</v>
      </c>
      <c r="R76" s="10" t="s">
        <v>165</v>
      </c>
      <c r="S76" s="10" t="s">
        <v>149</v>
      </c>
      <c r="T76" s="10" t="s">
        <v>147</v>
      </c>
      <c r="U76" s="10" t="s">
        <v>116</v>
      </c>
      <c r="V76" s="10" t="s">
        <v>167</v>
      </c>
      <c r="W76" s="10" t="s">
        <v>196</v>
      </c>
      <c r="X76" s="10"/>
      <c r="Y76" s="10"/>
      <c r="Z76" s="10"/>
      <c r="AA76" s="10" t="s">
        <v>197</v>
      </c>
      <c r="AB76" s="8" t="n">
        <f aca="true">IF($F76="","",TODAY()-$F76)</f>
        <v>212</v>
      </c>
      <c r="AC76" s="10" t="s">
        <v>222</v>
      </c>
      <c r="AD76" s="10"/>
      <c r="AE76" s="10"/>
      <c r="AF76" s="10"/>
      <c r="AG76" s="10"/>
      <c r="AH76" s="10"/>
      <c r="AI76" s="10"/>
      <c r="AJ76" s="10" t="s">
        <v>223</v>
      </c>
      <c r="AK76" s="10"/>
      <c r="AL76" s="10"/>
      <c r="AM76" s="10"/>
      <c r="AN76" s="8" t="n">
        <v>571607938</v>
      </c>
      <c r="AO76" s="10" t="s">
        <v>255</v>
      </c>
      <c r="AP76" s="10" t="s">
        <v>268</v>
      </c>
      <c r="AQ76" s="11" t="n">
        <v>46106</v>
      </c>
      <c r="AR76" s="13"/>
      <c r="AS76" s="13"/>
      <c r="AT76" s="13"/>
      <c r="AU76" s="13"/>
      <c r="AV76" s="13" t="s">
        <v>222</v>
      </c>
      <c r="AW76" s="13"/>
      <c r="AX76" s="13" t="s">
        <v>222</v>
      </c>
      <c r="AY76" s="7" t="s">
        <v>159</v>
      </c>
      <c r="AZ76" s="7"/>
      <c r="BA76" s="7" t="s">
        <v>44</v>
      </c>
      <c r="BB76" s="7"/>
      <c r="BC76" s="7"/>
      <c r="BD76" s="9" t="n">
        <v>46308</v>
      </c>
      <c r="BE76" s="7" t="s">
        <v>566</v>
      </c>
      <c r="BF76" s="14" t="str">
        <f aca="true">IF(TRIM($A76)="Finalized","Closed",IF($BD76="","No review date set",IF($BD76&lt;TODAY(),"OVERDUE",IF($BD76-TODAY()&lt;=7,"Due within 7 days","Scheduled"))))</f>
        <v>OVERDUE</v>
      </c>
      <c r="BG76" s="14" t="n">
        <f aca="true">IF($K76="","",TODAY()-$K76)</f>
        <v>33</v>
      </c>
      <c r="BH76" s="15" t="str">
        <f aca="false">IFERROR(LEFT(IF($B76="","Notes, ","")&amp;IF($K76="","Latest Date Worked, ","")&amp;IF($AY76="","Last Action, ","")&amp;IF(AND(OR(TRIM($A76)="Denied",TRIM($A76)="Rejected"),$BA76=""),"Denial Reason, ","")&amp;IF(AND(TRIM($A76)="Denied",$BB76="",TRIM($BA76)&lt;&gt;"NO DENIAL"),"Denial Code, ","")&amp;IF(AND(TRIM($A76)&lt;&gt;"Finalized",$BD76=""),"Next Review Date, ","")&amp;IF(AND(TRIM($A76)&lt;&gt;"Finalized",$BE76=""),"Next Step, ","")&amp;IF(AND(TRIM($A76)="Finalized",$AV76="",$AR76="",$AT76="",$AX76="",$AW76=""),"CPT outcome, ",""),LEN(IF($B76="","Notes, ","")&amp;IF($K76="","Latest Date Worked, ","")&amp;IF($AY76="","Last Action, ","")&amp;IF(AND(OR(TRIM($A76)="Denied",TRIM($A76)="Rejected"),$BA76=""),"Denial Reason, ","")&amp;IF(AND(TRIM($A76)="Denied",$BB76="",TRIM($BA76)&lt;&gt;"NO DENIAL"),"Denial Code, ","")&amp;IF(AND(TRIM($A76)&lt;&gt;"Finalized",$BD76=""),"Next Review Date, ","")&amp;IF(AND(TRIM($A76)&lt;&gt;"Finalized",$BE76=""),"Next Step, ","")&amp;IF(AND(TRIM($A76)="Finalized",$AV76="",$AR76="",$AT76="",$AX76="",$AW76=""),"CPT outcome, ",""))-2),"")</f>
        <v/>
      </c>
      <c r="BI76" s="15" t="str">
        <f aca="false">IF($BB76="","",IFERROR(INDEX('Denial Codes'!$C:$C,MATCH(LEFT($BB76,FIND(" - ",$BB76&amp;" - ")+2)&amp;"*",'Denial Codes'!$A:$A,0)),""))</f>
        <v/>
      </c>
      <c r="BJ76" s="15" t="str">
        <f aca="false">IF($BA76="","",IFERROR(INDEX(Lists!$B:$B,MATCH(TRIM($BA76),Lists!$A:$A,0))&amp;"",""))</f>
        <v>Bill the correct payer, delegated vendor or capitated group/IPA (e.g. Optum Behavioral, Preferred Homecare).</v>
      </c>
    </row>
    <row r="77" customFormat="false" ht="15" hidden="false" customHeight="false" outlineLevel="0" collapsed="false">
      <c r="A77" s="7" t="s">
        <v>18</v>
      </c>
      <c r="B77" s="7"/>
      <c r="C77" s="8" t="n">
        <v>553063753</v>
      </c>
      <c r="D77" s="9" t="n">
        <v>46220</v>
      </c>
      <c r="E77" s="10" t="s">
        <v>567</v>
      </c>
      <c r="F77" s="11" t="n">
        <v>46099</v>
      </c>
      <c r="G77" s="10" t="s">
        <v>347</v>
      </c>
      <c r="H77" s="10" t="s">
        <v>347</v>
      </c>
      <c r="I77" s="10" t="s">
        <v>129</v>
      </c>
      <c r="J77" s="10" t="s">
        <v>556</v>
      </c>
      <c r="K77" s="9"/>
      <c r="L77" s="12" t="n">
        <f aca="true">IF($O77="","",$O77-TODAY())</f>
        <v>-122</v>
      </c>
      <c r="M77" s="12" t="n">
        <f aca="true">IF(AND(TRIM($A77)="Finalized",$K77&lt;&gt;""),"",IF($F77="","",$F77+90-TODAY()))</f>
        <v>-122</v>
      </c>
      <c r="N77" s="12" t="n">
        <f aca="true">IF(AND(TRIM($A77)="Finalized",$K77&lt;&gt;""),"",IF($D77="","",$D77+540-TODAY()))</f>
        <v>449</v>
      </c>
      <c r="O77" s="11" t="n">
        <f aca="false">IF(AND(TRIM($A77)="Finalized",$K77&lt;&gt;""),"",DATE(2026,6,16))</f>
        <v>46189</v>
      </c>
      <c r="P77" s="10" t="s">
        <v>165</v>
      </c>
      <c r="Q77" s="10" t="s">
        <v>348</v>
      </c>
      <c r="R77" s="10" t="s">
        <v>165</v>
      </c>
      <c r="S77" s="10" t="s">
        <v>149</v>
      </c>
      <c r="T77" s="10" t="s">
        <v>349</v>
      </c>
      <c r="U77" s="10" t="s">
        <v>116</v>
      </c>
      <c r="V77" s="10" t="s">
        <v>167</v>
      </c>
      <c r="W77" s="10" t="s">
        <v>196</v>
      </c>
      <c r="X77" s="10"/>
      <c r="Y77" s="10"/>
      <c r="Z77" s="10"/>
      <c r="AA77" s="10" t="s">
        <v>197</v>
      </c>
      <c r="AB77" s="8" t="n">
        <f aca="true">IF($F77="","",TODAY()-$F77)</f>
        <v>212</v>
      </c>
      <c r="AC77" s="10" t="s">
        <v>198</v>
      </c>
      <c r="AD77" s="10" t="s">
        <v>487</v>
      </c>
      <c r="AE77" s="10" t="s">
        <v>222</v>
      </c>
      <c r="AF77" s="10"/>
      <c r="AG77" s="10"/>
      <c r="AH77" s="10"/>
      <c r="AI77" s="10"/>
      <c r="AJ77" s="10" t="s">
        <v>306</v>
      </c>
      <c r="AK77" s="10" t="s">
        <v>568</v>
      </c>
      <c r="AL77" s="10" t="s">
        <v>284</v>
      </c>
      <c r="AM77" s="10" t="s">
        <v>267</v>
      </c>
      <c r="AN77" s="8"/>
      <c r="AO77" s="10" t="s">
        <v>569</v>
      </c>
      <c r="AP77" s="10" t="s">
        <v>188</v>
      </c>
      <c r="AQ77" s="11" t="n">
        <v>46125</v>
      </c>
      <c r="AR77" s="13"/>
      <c r="AS77" s="13"/>
      <c r="AT77" s="13"/>
      <c r="AU77" s="13"/>
      <c r="AV77" s="13"/>
      <c r="AW77" s="13"/>
      <c r="AX77" s="13"/>
      <c r="AY77" s="7"/>
      <c r="AZ77" s="7"/>
      <c r="BA77" s="7" t="s">
        <v>36</v>
      </c>
      <c r="BB77" s="7" t="s">
        <v>204</v>
      </c>
      <c r="BC77" s="7"/>
      <c r="BD77" s="9"/>
      <c r="BE77" s="7" t="s">
        <v>570</v>
      </c>
      <c r="BF77" s="14" t="str">
        <f aca="true">IF(TRIM($A77)="Finalized","Closed",IF($BD77="","No review date set",IF($BD77&lt;TODAY(),"OVERDUE",IF($BD77-TODAY()&lt;=7,"Due within 7 days","Scheduled"))))</f>
        <v>No review date set</v>
      </c>
      <c r="BG77" s="14" t="str">
        <f aca="true">IF($K77="","",TODAY()-$K77)</f>
        <v/>
      </c>
      <c r="BH77" s="15" t="str">
        <f aca="false">IFERROR(LEFT(IF($B77="","Notes, ","")&amp;IF($K77="","Latest Date Worked, ","")&amp;IF($AY77="","Last Action, ","")&amp;IF(AND(OR(TRIM($A77)="Denied",TRIM($A77)="Rejected"),$BA77=""),"Denial Reason, ","")&amp;IF(AND(TRIM($A77)="Denied",$BB77="",TRIM($BA77)&lt;&gt;"NO DENIAL"),"Denial Code, ","")&amp;IF(AND(TRIM($A77)&lt;&gt;"Finalized",$BD77=""),"Next Review Date, ","")&amp;IF(AND(TRIM($A77)&lt;&gt;"Finalized",$BE77=""),"Next Step, ","")&amp;IF(AND(TRIM($A77)="Finalized",$AV77="",$AR77="",$AT77="",$AX77="",$AW77=""),"CPT outcome, ",""),LEN(IF($B77="","Notes, ","")&amp;IF($K77="","Latest Date Worked, ","")&amp;IF($AY77="","Last Action, ","")&amp;IF(AND(OR(TRIM($A77)="Denied",TRIM($A77)="Rejected"),$BA77=""),"Denial Reason, ","")&amp;IF(AND(TRIM($A77)="Denied",$BB77="",TRIM($BA77)&lt;&gt;"NO DENIAL"),"Denial Code, ","")&amp;IF(AND(TRIM($A77)&lt;&gt;"Finalized",$BD77=""),"Next Review Date, ","")&amp;IF(AND(TRIM($A77)&lt;&gt;"Finalized",$BE77=""),"Next Step, ","")&amp;IF(AND(TRIM($A77)="Finalized",$AV77="",$AR77="",$AT77="",$AX77="",$AW77=""),"CPT outcome, ",""))-2),"")</f>
        <v>Notes, Latest Date Worked, Last Action, Next Review Date</v>
      </c>
      <c r="BI77" s="15" t="str">
        <f aca="false">IF($BB77="","",IFERROR(INDEX('Denial Codes'!$C:$C,MATCH(LEFT($BB77,FIND(" - ",$BB77&amp;" - ")+2)&amp;"*",'Denial Codes'!$A:$A,0)),""))</f>
        <v>Medical records needed</v>
      </c>
      <c r="BJ77" s="15" t="str">
        <f aca="false">IF($BA77="","",IFERROR(INDEX(Lists!$B:$B,MATCH(TRIM($BA77),Lists!$A:$A,0))&amp;"",""))</f>
        <v>Upload the MR on the payer portal, note the PIQ/reference number and set a review date.</v>
      </c>
    </row>
    <row r="78" customFormat="false" ht="15" hidden="false" customHeight="false" outlineLevel="0" collapsed="false">
      <c r="A78" s="7" t="s">
        <v>20</v>
      </c>
      <c r="B78" s="7" t="s">
        <v>571</v>
      </c>
      <c r="C78" s="8" t="n">
        <v>553362911</v>
      </c>
      <c r="D78" s="9" t="n">
        <v>46185</v>
      </c>
      <c r="E78" s="10" t="s">
        <v>572</v>
      </c>
      <c r="F78" s="11" t="n">
        <v>46101</v>
      </c>
      <c r="G78" s="10" t="s">
        <v>369</v>
      </c>
      <c r="H78" s="10" t="s">
        <v>369</v>
      </c>
      <c r="I78" s="10" t="s">
        <v>129</v>
      </c>
      <c r="J78" s="10" t="s">
        <v>400</v>
      </c>
      <c r="K78" s="9" t="n">
        <v>46266</v>
      </c>
      <c r="L78" s="12" t="n">
        <f aca="true">IF($O78="","",$O78-TODAY())</f>
        <v>-120</v>
      </c>
      <c r="M78" s="12" t="n">
        <f aca="true">IF(AND(TRIM($A78)="Finalized",$K78&lt;&gt;""),"",IF($D78="","",$D78+365-TODAY()))</f>
        <v>239</v>
      </c>
      <c r="N78" s="12" t="n">
        <f aca="true">IF(AND(TRIM($A78)="Finalized",$K78&lt;&gt;""),"",IF($D78="","",$D78+365-TODAY()))</f>
        <v>239</v>
      </c>
      <c r="O78" s="11" t="n">
        <f aca="false">IF(AND(TRIM($A78)="Finalized",$K78&lt;&gt;""),"",DATE(2026,6,18))</f>
        <v>46191</v>
      </c>
      <c r="P78" s="10" t="s">
        <v>165</v>
      </c>
      <c r="Q78" s="10" t="s">
        <v>371</v>
      </c>
      <c r="R78" s="10" t="s">
        <v>114</v>
      </c>
      <c r="S78" s="10" t="s">
        <v>116</v>
      </c>
      <c r="T78" s="10" t="s">
        <v>114</v>
      </c>
      <c r="U78" s="10" t="s">
        <v>116</v>
      </c>
      <c r="V78" s="10" t="s">
        <v>167</v>
      </c>
      <c r="W78" s="10" t="s">
        <v>183</v>
      </c>
      <c r="X78" s="10"/>
      <c r="Y78" s="10"/>
      <c r="Z78" s="10"/>
      <c r="AA78" s="10" t="s">
        <v>197</v>
      </c>
      <c r="AB78" s="8" t="n">
        <f aca="true">IF($F78="","",TODAY()-$F78)</f>
        <v>210</v>
      </c>
      <c r="AC78" s="10" t="s">
        <v>185</v>
      </c>
      <c r="AD78" s="10" t="s">
        <v>184</v>
      </c>
      <c r="AE78" s="10"/>
      <c r="AF78" s="10"/>
      <c r="AG78" s="10"/>
      <c r="AH78" s="10"/>
      <c r="AI78" s="10"/>
      <c r="AJ78" s="10" t="s">
        <v>340</v>
      </c>
      <c r="AK78" s="10"/>
      <c r="AL78" s="10"/>
      <c r="AM78" s="10"/>
      <c r="AN78" s="8"/>
      <c r="AO78" s="10" t="s">
        <v>341</v>
      </c>
      <c r="AP78" s="10" t="s">
        <v>188</v>
      </c>
      <c r="AQ78" s="11" t="n">
        <v>46119</v>
      </c>
      <c r="AR78" s="13"/>
      <c r="AS78" s="13"/>
      <c r="AT78" s="13"/>
      <c r="AU78" s="13"/>
      <c r="AV78" s="13" t="s">
        <v>189</v>
      </c>
      <c r="AW78" s="13"/>
      <c r="AX78" s="13" t="s">
        <v>189</v>
      </c>
      <c r="AY78" s="7"/>
      <c r="AZ78" s="7"/>
      <c r="BA78" s="7"/>
      <c r="BB78" s="7"/>
      <c r="BC78" s="7"/>
      <c r="BD78" s="9" t="n">
        <v>46296</v>
      </c>
      <c r="BE78" s="7" t="s">
        <v>573</v>
      </c>
      <c r="BF78" s="14" t="str">
        <f aca="true">IF(TRIM($A78)="Finalized","Closed",IF($BD78="","No review date set",IF($BD78&lt;TODAY(),"OVERDUE",IF($BD78-TODAY()&lt;=7,"Due within 7 days","Scheduled"))))</f>
        <v>OVERDUE</v>
      </c>
      <c r="BG78" s="14" t="n">
        <f aca="true">IF($K78="","",TODAY()-$K78)</f>
        <v>45</v>
      </c>
      <c r="BH78" s="15" t="str">
        <f aca="false">IFERROR(LEFT(IF($B78="","Notes, ","")&amp;IF($K78="","Latest Date Worked, ","")&amp;IF($AY78="","Last Action, ","")&amp;IF(AND(OR(TRIM($A78)="Denied",TRIM($A78)="Rejected"),$BA78=""),"Denial Reason, ","")&amp;IF(AND(TRIM($A78)="Denied",$BB78="",TRIM($BA78)&lt;&gt;"NO DENIAL"),"Denial Code, ","")&amp;IF(AND(TRIM($A78)&lt;&gt;"Finalized",$BD78=""),"Next Review Date, ","")&amp;IF(AND(TRIM($A78)&lt;&gt;"Finalized",$BE78=""),"Next Step, ","")&amp;IF(AND(TRIM($A78)="Finalized",$AV78="",$AR78="",$AT78="",$AX78="",$AW78=""),"CPT outcome, ",""),LEN(IF($B78="","Notes, ","")&amp;IF($K78="","Latest Date Worked, ","")&amp;IF($AY78="","Last Action, ","")&amp;IF(AND(OR(TRIM($A78)="Denied",TRIM($A78)="Rejected"),$BA78=""),"Denial Reason, ","")&amp;IF(AND(TRIM($A78)="Denied",$BB78="",TRIM($BA78)&lt;&gt;"NO DENIAL"),"Denial Code, ","")&amp;IF(AND(TRIM($A78)&lt;&gt;"Finalized",$BD78=""),"Next Review Date, ","")&amp;IF(AND(TRIM($A78)&lt;&gt;"Finalized",$BE78=""),"Next Step, ","")&amp;IF(AND(TRIM($A78)="Finalized",$AV78="",$AR78="",$AT78="",$AX78="",$AW78=""),"CPT outcome, ",""))-2),"")</f>
        <v>Last Action</v>
      </c>
      <c r="BI78" s="15" t="str">
        <f aca="false">IF($BB78="","",IFERROR(INDEX('Denial Codes'!$C:$C,MATCH(LEFT($BB78,FIND(" - ",$BB78&amp;" - ")+2)&amp;"*",'Denial Codes'!$A:$A,0)),""))</f>
        <v/>
      </c>
      <c r="BJ78" s="15" t="str">
        <f aca="false">IF($BA78="","",IFERROR(INDEX(Lists!$B:$B,MATCH(TRIM($BA78),Lists!$A:$A,0))&amp;"",""))</f>
        <v/>
      </c>
    </row>
    <row r="79" customFormat="false" ht="15" hidden="false" customHeight="false" outlineLevel="0" collapsed="false">
      <c r="A79" s="7" t="s">
        <v>18</v>
      </c>
      <c r="B79" s="7" t="s">
        <v>574</v>
      </c>
      <c r="C79" s="8" t="n">
        <v>571907149</v>
      </c>
      <c r="D79" s="9" t="n">
        <v>46287</v>
      </c>
      <c r="E79" s="10" t="s">
        <v>575</v>
      </c>
      <c r="F79" s="11" t="n">
        <v>46101</v>
      </c>
      <c r="G79" s="10" t="s">
        <v>163</v>
      </c>
      <c r="H79" s="10" t="s">
        <v>163</v>
      </c>
      <c r="I79" s="10" t="s">
        <v>129</v>
      </c>
      <c r="J79" s="10" t="s">
        <v>181</v>
      </c>
      <c r="K79" s="9" t="n">
        <v>46268</v>
      </c>
      <c r="L79" s="12" t="n">
        <f aca="true">IF($O79="","",$O79-TODAY())</f>
        <v>-120</v>
      </c>
      <c r="M79" s="12" t="n">
        <f aca="true">IF(AND(TRIM($A79)="Finalized",$K79&lt;&gt;""),"",IF($F79="","",$F79+90-TODAY()))</f>
        <v>-120</v>
      </c>
      <c r="N79" s="12" t="n">
        <f aca="true">IF(AND(TRIM($A79)="Finalized",$K79&lt;&gt;""),"",IF($D79="","",$D79+365-TODAY()))</f>
        <v>341</v>
      </c>
      <c r="O79" s="11" t="n">
        <f aca="false">IF(AND(TRIM($A79)="Finalized",$K79&lt;&gt;""),"",DATE(2026,6,18))</f>
        <v>46191</v>
      </c>
      <c r="P79" s="10" t="s">
        <v>165</v>
      </c>
      <c r="Q79" s="10" t="s">
        <v>166</v>
      </c>
      <c r="R79" s="10" t="s">
        <v>165</v>
      </c>
      <c r="S79" s="10" t="s">
        <v>149</v>
      </c>
      <c r="T79" s="10" t="s">
        <v>114</v>
      </c>
      <c r="U79" s="10" t="s">
        <v>116</v>
      </c>
      <c r="V79" s="10" t="s">
        <v>167</v>
      </c>
      <c r="W79" s="10" t="s">
        <v>183</v>
      </c>
      <c r="X79" s="10"/>
      <c r="Y79" s="10"/>
      <c r="Z79" s="10"/>
      <c r="AA79" s="10" t="s">
        <v>197</v>
      </c>
      <c r="AB79" s="8" t="n">
        <f aca="true">IF($F79="","",TODAY()-$F79)</f>
        <v>210</v>
      </c>
      <c r="AC79" s="10" t="s">
        <v>184</v>
      </c>
      <c r="AD79" s="10" t="s">
        <v>185</v>
      </c>
      <c r="AE79" s="10"/>
      <c r="AF79" s="10"/>
      <c r="AG79" s="10"/>
      <c r="AH79" s="10"/>
      <c r="AI79" s="10"/>
      <c r="AJ79" s="10" t="s">
        <v>340</v>
      </c>
      <c r="AK79" s="10"/>
      <c r="AL79" s="10"/>
      <c r="AM79" s="10"/>
      <c r="AN79" s="8"/>
      <c r="AO79" s="10" t="s">
        <v>187</v>
      </c>
      <c r="AP79" s="10" t="s">
        <v>188</v>
      </c>
      <c r="AQ79" s="11" t="n">
        <v>46119</v>
      </c>
      <c r="AR79" s="13"/>
      <c r="AS79" s="13"/>
      <c r="AT79" s="13"/>
      <c r="AU79" s="13"/>
      <c r="AV79" s="13"/>
      <c r="AW79" s="13"/>
      <c r="AX79" s="13"/>
      <c r="AY79" s="7" t="s">
        <v>328</v>
      </c>
      <c r="AZ79" s="7"/>
      <c r="BA79" s="7" t="s">
        <v>46</v>
      </c>
      <c r="BB79" s="7"/>
      <c r="BC79" s="7"/>
      <c r="BD79" s="9" t="n">
        <v>46298</v>
      </c>
      <c r="BE79" s="7" t="s">
        <v>576</v>
      </c>
      <c r="BF79" s="14" t="str">
        <f aca="true">IF(TRIM($A79)="Finalized","Closed",IF($BD79="","No review date set",IF($BD79&lt;TODAY(),"OVERDUE",IF($BD79-TODAY()&lt;=7,"Due within 7 days","Scheduled"))))</f>
        <v>OVERDUE</v>
      </c>
      <c r="BG79" s="14" t="n">
        <f aca="true">IF($K79="","",TODAY()-$K79)</f>
        <v>43</v>
      </c>
      <c r="BH79" s="15" t="str">
        <f aca="false">IFERROR(LEFT(IF($B79="","Notes, ","")&amp;IF($K79="","Latest Date Worked, ","")&amp;IF($AY79="","Last Action, ","")&amp;IF(AND(OR(TRIM($A79)="Denied",TRIM($A79)="Rejected"),$BA79=""),"Denial Reason, ","")&amp;IF(AND(TRIM($A79)="Denied",$BB79="",TRIM($BA79)&lt;&gt;"NO DENIAL"),"Denial Code, ","")&amp;IF(AND(TRIM($A79)&lt;&gt;"Finalized",$BD79=""),"Next Review Date, ","")&amp;IF(AND(TRIM($A79)&lt;&gt;"Finalized",$BE79=""),"Next Step, ","")&amp;IF(AND(TRIM($A79)="Finalized",$AV79="",$AR79="",$AT79="",$AX79="",$AW79=""),"CPT outcome, ",""),LEN(IF($B79="","Notes, ","")&amp;IF($K79="","Latest Date Worked, ","")&amp;IF($AY79="","Last Action, ","")&amp;IF(AND(OR(TRIM($A79)="Denied",TRIM($A79)="Rejected"),$BA79=""),"Denial Reason, ","")&amp;IF(AND(TRIM($A79)="Denied",$BB79="",TRIM($BA79)&lt;&gt;"NO DENIAL"),"Denial Code, ","")&amp;IF(AND(TRIM($A79)&lt;&gt;"Finalized",$BD79=""),"Next Review Date, ","")&amp;IF(AND(TRIM($A79)&lt;&gt;"Finalized",$BE79=""),"Next Step, ","")&amp;IF(AND(TRIM($A79)="Finalized",$AV79="",$AR79="",$AT79="",$AX79="",$AW79=""),"CPT outcome, ",""))-2),"")</f>
        <v/>
      </c>
      <c r="BI79" s="15" t="str">
        <f aca="false">IF($BB79="","",IFERROR(INDEX('Denial Codes'!$C:$C,MATCH(LEFT($BB79,FIND(" - ",$BB79&amp;" - ")+2)&amp;"*",'Denial Codes'!$A:$A,0)),""))</f>
        <v/>
      </c>
      <c r="BJ79" s="15" t="str">
        <f aca="false">IF($BA79="","",IFERROR(INDEX(Lists!$B:$B,MATCH(TRIM($BA79),Lists!$A:$A,0))&amp;"",""))</f>
        <v>Verify eligibility; correct the member ID/MBI, name or DOB and resubmit.</v>
      </c>
    </row>
    <row r="80" customFormat="false" ht="15" hidden="false" customHeight="false" outlineLevel="0" collapsed="false">
      <c r="A80" s="7" t="s">
        <v>16</v>
      </c>
      <c r="B80" s="7" t="s">
        <v>577</v>
      </c>
      <c r="C80" s="8" t="n">
        <v>571608266</v>
      </c>
      <c r="D80" s="9" t="n">
        <v>46126</v>
      </c>
      <c r="E80" s="10" t="s">
        <v>578</v>
      </c>
      <c r="F80" s="11" t="n">
        <v>46105</v>
      </c>
      <c r="G80" s="10" t="s">
        <v>369</v>
      </c>
      <c r="H80" s="10" t="s">
        <v>369</v>
      </c>
      <c r="I80" s="10" t="s">
        <v>129</v>
      </c>
      <c r="J80" s="10" t="s">
        <v>194</v>
      </c>
      <c r="K80" s="9" t="n">
        <v>46278</v>
      </c>
      <c r="L80" s="12" t="str">
        <f aca="true">IF($O80="","",$O80-TODAY())</f>
        <v/>
      </c>
      <c r="M80" s="12" t="str">
        <f aca="true">IF(AND(TRIM($A80)="Finalized",$K80&lt;&gt;""),"",IF($D80="","",$D80+365-TODAY()))</f>
        <v/>
      </c>
      <c r="N80" s="12" t="str">
        <f aca="true">IF(AND(TRIM($A80)="Finalized",$K80&lt;&gt;""),"",IF($D80="","",$D80+365-TODAY()))</f>
        <v/>
      </c>
      <c r="O80" s="11" t="str">
        <f aca="false">IF(AND(TRIM($A80)="Finalized",$K80&lt;&gt;""),"",DATE(2026,6,22))</f>
        <v/>
      </c>
      <c r="P80" s="10" t="s">
        <v>165</v>
      </c>
      <c r="Q80" s="10" t="s">
        <v>371</v>
      </c>
      <c r="R80" s="10" t="s">
        <v>114</v>
      </c>
      <c r="S80" s="10" t="s">
        <v>116</v>
      </c>
      <c r="T80" s="10" t="s">
        <v>114</v>
      </c>
      <c r="U80" s="10" t="s">
        <v>116</v>
      </c>
      <c r="V80" s="10" t="s">
        <v>167</v>
      </c>
      <c r="W80" s="10" t="s">
        <v>196</v>
      </c>
      <c r="X80" s="10"/>
      <c r="Y80" s="10"/>
      <c r="Z80" s="10"/>
      <c r="AA80" s="10" t="s">
        <v>197</v>
      </c>
      <c r="AB80" s="8" t="n">
        <f aca="true">IF($F80="","",TODAY()-$F80)</f>
        <v>206</v>
      </c>
      <c r="AC80" s="10" t="s">
        <v>198</v>
      </c>
      <c r="AD80" s="10"/>
      <c r="AE80" s="10"/>
      <c r="AF80" s="10"/>
      <c r="AG80" s="10"/>
      <c r="AH80" s="10"/>
      <c r="AI80" s="10"/>
      <c r="AJ80" s="10" t="s">
        <v>579</v>
      </c>
      <c r="AK80" s="10" t="s">
        <v>123</v>
      </c>
      <c r="AL80" s="10" t="s">
        <v>580</v>
      </c>
      <c r="AM80" s="10"/>
      <c r="AN80" s="8"/>
      <c r="AO80" s="10" t="s">
        <v>201</v>
      </c>
      <c r="AP80" s="10" t="s">
        <v>202</v>
      </c>
      <c r="AQ80" s="11" t="n">
        <v>46121</v>
      </c>
      <c r="AR80" s="13"/>
      <c r="AS80" s="13"/>
      <c r="AT80" s="13"/>
      <c r="AU80" s="13"/>
      <c r="AV80" s="13" t="s">
        <v>198</v>
      </c>
      <c r="AW80" s="13"/>
      <c r="AX80" s="13" t="s">
        <v>198</v>
      </c>
      <c r="AY80" s="7" t="s">
        <v>363</v>
      </c>
      <c r="AZ80" s="7" t="s">
        <v>159</v>
      </c>
      <c r="BA80" s="7" t="s">
        <v>46</v>
      </c>
      <c r="BB80" s="7"/>
      <c r="BC80" s="7"/>
      <c r="BD80" s="9"/>
      <c r="BE80" s="7"/>
      <c r="BF80" s="14" t="str">
        <f aca="true">IF(TRIM($A80)="Finalized","Closed",IF($BD80="","No review date set",IF($BD80&lt;TODAY(),"OVERDUE",IF($BD80-TODAY()&lt;=7,"Due within 7 days","Scheduled"))))</f>
        <v>Closed</v>
      </c>
      <c r="BG80" s="14" t="n">
        <f aca="true">IF($K80="","",TODAY()-$K80)</f>
        <v>33</v>
      </c>
      <c r="BH80" s="15" t="str">
        <f aca="false">IFERROR(LEFT(IF($B80="","Notes, ","")&amp;IF($K80="","Latest Date Worked, ","")&amp;IF($AY80="","Last Action, ","")&amp;IF(AND(OR(TRIM($A80)="Denied",TRIM($A80)="Rejected"),$BA80=""),"Denial Reason, ","")&amp;IF(AND(TRIM($A80)="Denied",$BB80="",TRIM($BA80)&lt;&gt;"NO DENIAL"),"Denial Code, ","")&amp;IF(AND(TRIM($A80)&lt;&gt;"Finalized",$BD80=""),"Next Review Date, ","")&amp;IF(AND(TRIM($A80)&lt;&gt;"Finalized",$BE80=""),"Next Step, ","")&amp;IF(AND(TRIM($A80)="Finalized",$AV80="",$AR80="",$AT80="",$AX80="",$AW80=""),"CPT outcome, ",""),LEN(IF($B80="","Notes, ","")&amp;IF($K80="","Latest Date Worked, ","")&amp;IF($AY80="","Last Action, ","")&amp;IF(AND(OR(TRIM($A80)="Denied",TRIM($A80)="Rejected"),$BA80=""),"Denial Reason, ","")&amp;IF(AND(TRIM($A80)="Denied",$BB80="",TRIM($BA80)&lt;&gt;"NO DENIAL"),"Denial Code, ","")&amp;IF(AND(TRIM($A80)&lt;&gt;"Finalized",$BD80=""),"Next Review Date, ","")&amp;IF(AND(TRIM($A80)&lt;&gt;"Finalized",$BE80=""),"Next Step, ","")&amp;IF(AND(TRIM($A80)="Finalized",$AV80="",$AR80="",$AT80="",$AX80="",$AW80=""),"CPT outcome, ",""))-2),"")</f>
        <v/>
      </c>
      <c r="BI80" s="15" t="str">
        <f aca="false">IF($BB80="","",IFERROR(INDEX('Denial Codes'!$C:$C,MATCH(LEFT($BB80,FIND(" - ",$BB80&amp;" - ")+2)&amp;"*",'Denial Codes'!$A:$A,0)),""))</f>
        <v/>
      </c>
      <c r="BJ80" s="15" t="str">
        <f aca="false">IF($BA80="","",IFERROR(INDEX(Lists!$B:$B,MATCH(TRIM($BA80),Lists!$A:$A,0))&amp;"",""))</f>
        <v>Verify eligibility; correct the member ID/MBI, name or DOB and resubmit.</v>
      </c>
    </row>
    <row r="81" customFormat="false" ht="15" hidden="false" customHeight="false" outlineLevel="0" collapsed="false">
      <c r="A81" s="7" t="s">
        <v>17</v>
      </c>
      <c r="B81" s="7" t="s">
        <v>203</v>
      </c>
      <c r="C81" s="8" t="n">
        <v>554940052</v>
      </c>
      <c r="D81" s="9" t="n">
        <v>46216</v>
      </c>
      <c r="E81" s="10" t="s">
        <v>581</v>
      </c>
      <c r="F81" s="11" t="n">
        <v>46107</v>
      </c>
      <c r="G81" s="10" t="s">
        <v>582</v>
      </c>
      <c r="H81" s="10" t="s">
        <v>180</v>
      </c>
      <c r="I81" s="10" t="s">
        <v>582</v>
      </c>
      <c r="J81" s="10" t="s">
        <v>583</v>
      </c>
      <c r="K81" s="9" t="n">
        <v>46300</v>
      </c>
      <c r="L81" s="12" t="n">
        <f aca="true">IF($O81="","",$O81-TODAY())</f>
        <v>-114</v>
      </c>
      <c r="M81" s="12" t="n">
        <f aca="true">IF(AND(TRIM($A81)="Finalized",$K81&lt;&gt;""),"",IF($D81="","",$D81+180-TODAY()))</f>
        <v>85</v>
      </c>
      <c r="N81" s="12" t="n">
        <f aca="true">IF(AND(TRIM($A81)="Finalized",$K81&lt;&gt;""),"",IF($D81="","",$D81+365-TODAY()))</f>
        <v>270</v>
      </c>
      <c r="O81" s="11" t="n">
        <f aca="false">IF(AND(TRIM($A81)="Finalized",$K81&lt;&gt;""),"",DATE(2026,6,24))</f>
        <v>46197</v>
      </c>
      <c r="P81" s="10" t="s">
        <v>165</v>
      </c>
      <c r="Q81" s="10" t="s">
        <v>182</v>
      </c>
      <c r="R81" s="10" t="s">
        <v>147</v>
      </c>
      <c r="S81" s="10" t="s">
        <v>116</v>
      </c>
      <c r="T81" s="10" t="s">
        <v>114</v>
      </c>
      <c r="U81" s="10" t="s">
        <v>116</v>
      </c>
      <c r="V81" s="10" t="s">
        <v>167</v>
      </c>
      <c r="W81" s="10" t="s">
        <v>119</v>
      </c>
      <c r="X81" s="10" t="s">
        <v>151</v>
      </c>
      <c r="Y81" s="10"/>
      <c r="Z81" s="10"/>
      <c r="AA81" s="10" t="s">
        <v>197</v>
      </c>
      <c r="AB81" s="8" t="n">
        <f aca="true">IF($F81="","",TODAY()-$F81)</f>
        <v>204</v>
      </c>
      <c r="AC81" s="10" t="s">
        <v>584</v>
      </c>
      <c r="AD81" s="10"/>
      <c r="AE81" s="10"/>
      <c r="AF81" s="10"/>
      <c r="AG81" s="10"/>
      <c r="AH81" s="10"/>
      <c r="AI81" s="10"/>
      <c r="AJ81" s="10" t="s">
        <v>139</v>
      </c>
      <c r="AK81" s="10" t="s">
        <v>585</v>
      </c>
      <c r="AL81" s="10" t="s">
        <v>586</v>
      </c>
      <c r="AM81" s="10"/>
      <c r="AN81" s="8" t="n">
        <v>561872992</v>
      </c>
      <c r="AO81" s="10" t="s">
        <v>569</v>
      </c>
      <c r="AP81" s="10" t="s">
        <v>188</v>
      </c>
      <c r="AQ81" s="11" t="n">
        <v>46118</v>
      </c>
      <c r="AR81" s="13"/>
      <c r="AS81" s="13"/>
      <c r="AT81" s="13"/>
      <c r="AU81" s="13"/>
      <c r="AV81" s="13"/>
      <c r="AW81" s="13" t="s">
        <v>584</v>
      </c>
      <c r="AX81" s="13" t="s">
        <v>584</v>
      </c>
      <c r="AY81" s="7" t="s">
        <v>203</v>
      </c>
      <c r="AZ81" s="7"/>
      <c r="BA81" s="7" t="s">
        <v>36</v>
      </c>
      <c r="BB81" s="7" t="s">
        <v>386</v>
      </c>
      <c r="BC81" s="7" t="s">
        <v>587</v>
      </c>
      <c r="BD81" s="9" t="n">
        <v>46331</v>
      </c>
      <c r="BE81" s="7"/>
      <c r="BF81" s="14" t="str">
        <f aca="true">IF(TRIM($A81)="Finalized","Closed",IF($BD81="","No review date set",IF($BD81&lt;TODAY(),"OVERDUE",IF($BD81-TODAY()&lt;=7,"Due within 7 days","Scheduled"))))</f>
        <v>Scheduled</v>
      </c>
      <c r="BG81" s="14" t="n">
        <f aca="true">IF($K81="","",TODAY()-$K81)</f>
        <v>11</v>
      </c>
      <c r="BH81" s="15" t="str">
        <f aca="false">IFERROR(LEFT(IF($B81="","Notes, ","")&amp;IF($K81="","Latest Date Worked, ","")&amp;IF($AY81="","Last Action, ","")&amp;IF(AND(OR(TRIM($A81)="Denied",TRIM($A81)="Rejected"),$BA81=""),"Denial Reason, ","")&amp;IF(AND(TRIM($A81)="Denied",$BB81="",TRIM($BA81)&lt;&gt;"NO DENIAL"),"Denial Code, ","")&amp;IF(AND(TRIM($A81)&lt;&gt;"Finalized",$BD81=""),"Next Review Date, ","")&amp;IF(AND(TRIM($A81)&lt;&gt;"Finalized",$BE81=""),"Next Step, ","")&amp;IF(AND(TRIM($A81)="Finalized",$AV81="",$AR81="",$AT81="",$AX81="",$AW81=""),"CPT outcome, ",""),LEN(IF($B81="","Notes, ","")&amp;IF($K81="","Latest Date Worked, ","")&amp;IF($AY81="","Last Action, ","")&amp;IF(AND(OR(TRIM($A81)="Denied",TRIM($A81)="Rejected"),$BA81=""),"Denial Reason, ","")&amp;IF(AND(TRIM($A81)="Denied",$BB81="",TRIM($BA81)&lt;&gt;"NO DENIAL"),"Denial Code, ","")&amp;IF(AND(TRIM($A81)&lt;&gt;"Finalized",$BD81=""),"Next Review Date, ","")&amp;IF(AND(TRIM($A81)&lt;&gt;"Finalized",$BE81=""),"Next Step, ","")&amp;IF(AND(TRIM($A81)="Finalized",$AV81="",$AR81="",$AT81="",$AX81="",$AW81=""),"CPT outcome, ",""))-2),"")</f>
        <v>Next Step</v>
      </c>
      <c r="BI81" s="15" t="str">
        <f aca="false">IF($BB81="","",IFERROR(INDEX('Denial Codes'!$C:$C,MATCH(LEFT($BB81,FIND(" - ",$BB81&amp;" - ")+2)&amp;"*",'Denial Codes'!$A:$A,0)),""))</f>
        <v>Other</v>
      </c>
      <c r="BJ81" s="15" t="str">
        <f aca="false">IF($BA81="","",IFERROR(INDEX(Lists!$B:$B,MATCH(TRIM($BA81),Lists!$A:$A,0))&amp;"",""))</f>
        <v>Upload the MR on the payer portal, note the PIQ/reference number and set a review date.</v>
      </c>
    </row>
    <row r="82" customFormat="false" ht="15" hidden="false" customHeight="false" outlineLevel="0" collapsed="false">
      <c r="A82" s="7" t="s">
        <v>16</v>
      </c>
      <c r="B82" s="7" t="s">
        <v>588</v>
      </c>
      <c r="C82" s="8" t="n">
        <v>563362114</v>
      </c>
      <c r="D82" s="9" t="n">
        <v>46197</v>
      </c>
      <c r="E82" s="10" t="s">
        <v>589</v>
      </c>
      <c r="F82" s="11" t="n">
        <v>46108</v>
      </c>
      <c r="G82" s="10" t="s">
        <v>208</v>
      </c>
      <c r="H82" s="10" t="s">
        <v>208</v>
      </c>
      <c r="I82" s="10" t="s">
        <v>129</v>
      </c>
      <c r="J82" s="10" t="s">
        <v>590</v>
      </c>
      <c r="K82" s="9" t="n">
        <v>46148</v>
      </c>
      <c r="L82" s="12" t="str">
        <f aca="true">IF($O82="","",$O82-TODAY())</f>
        <v/>
      </c>
      <c r="M82" s="12" t="str">
        <f aca="true">IF(AND(TRIM($A82)="Finalized",$K82&lt;&gt;""),"",IF($D82="","",$D82+180-TODAY()))</f>
        <v/>
      </c>
      <c r="N82" s="12" t="str">
        <f aca="true">IF(AND(TRIM($A82)="Finalized",$K82&lt;&gt;""),"",IF($D82="","",$D82+365-TODAY()))</f>
        <v/>
      </c>
      <c r="O82" s="11" t="str">
        <f aca="false">IF(AND(TRIM($A82)="Finalized",$K82&lt;&gt;""),"",DATE(2026,6,25))</f>
        <v/>
      </c>
      <c r="P82" s="10" t="s">
        <v>165</v>
      </c>
      <c r="Q82" s="10" t="s">
        <v>210</v>
      </c>
      <c r="R82" s="10" t="s">
        <v>147</v>
      </c>
      <c r="S82" s="10" t="s">
        <v>116</v>
      </c>
      <c r="T82" s="10" t="s">
        <v>114</v>
      </c>
      <c r="U82" s="10" t="s">
        <v>116</v>
      </c>
      <c r="V82" s="10" t="s">
        <v>167</v>
      </c>
      <c r="W82" s="10" t="s">
        <v>183</v>
      </c>
      <c r="X82" s="10" t="s">
        <v>591</v>
      </c>
      <c r="Y82" s="10"/>
      <c r="Z82" s="10"/>
      <c r="AA82" s="10" t="s">
        <v>197</v>
      </c>
      <c r="AB82" s="8" t="n">
        <f aca="true">IF($F82="","",TODAY()-$F82)</f>
        <v>203</v>
      </c>
      <c r="AC82" s="10" t="s">
        <v>184</v>
      </c>
      <c r="AD82" s="10" t="s">
        <v>185</v>
      </c>
      <c r="AE82" s="10"/>
      <c r="AF82" s="10"/>
      <c r="AG82" s="10"/>
      <c r="AH82" s="10"/>
      <c r="AI82" s="10"/>
      <c r="AJ82" s="10" t="s">
        <v>186</v>
      </c>
      <c r="AK82" s="10"/>
      <c r="AL82" s="10"/>
      <c r="AM82" s="10"/>
      <c r="AN82" s="8"/>
      <c r="AO82" s="10" t="s">
        <v>201</v>
      </c>
      <c r="AP82" s="10" t="s">
        <v>202</v>
      </c>
      <c r="AQ82" s="11" t="n">
        <v>46119</v>
      </c>
      <c r="AR82" s="13"/>
      <c r="AS82" s="13"/>
      <c r="AT82" s="13"/>
      <c r="AU82" s="13"/>
      <c r="AV82" s="13" t="s">
        <v>507</v>
      </c>
      <c r="AW82" s="13"/>
      <c r="AX82" s="13" t="s">
        <v>507</v>
      </c>
      <c r="AY82" s="7" t="s">
        <v>363</v>
      </c>
      <c r="AZ82" s="7" t="s">
        <v>159</v>
      </c>
      <c r="BA82" s="7" t="s">
        <v>38</v>
      </c>
      <c r="BB82" s="7" t="s">
        <v>320</v>
      </c>
      <c r="BC82" s="7"/>
      <c r="BD82" s="9"/>
      <c r="BE82" s="7"/>
      <c r="BF82" s="14" t="str">
        <f aca="true">IF(TRIM($A82)="Finalized","Closed",IF($BD82="","No review date set",IF($BD82&lt;TODAY(),"OVERDUE",IF($BD82-TODAY()&lt;=7,"Due within 7 days","Scheduled"))))</f>
        <v>Closed</v>
      </c>
      <c r="BG82" s="14" t="n">
        <f aca="true">IF($K82="","",TODAY()-$K82)</f>
        <v>163</v>
      </c>
      <c r="BH82" s="15" t="str">
        <f aca="false">IFERROR(LEFT(IF($B82="","Notes, ","")&amp;IF($K82="","Latest Date Worked, ","")&amp;IF($AY82="","Last Action, ","")&amp;IF(AND(OR(TRIM($A82)="Denied",TRIM($A82)="Rejected"),$BA82=""),"Denial Reason, ","")&amp;IF(AND(TRIM($A82)="Denied",$BB82="",TRIM($BA82)&lt;&gt;"NO DENIAL"),"Denial Code, ","")&amp;IF(AND(TRIM($A82)&lt;&gt;"Finalized",$BD82=""),"Next Review Date, ","")&amp;IF(AND(TRIM($A82)&lt;&gt;"Finalized",$BE82=""),"Next Step, ","")&amp;IF(AND(TRIM($A82)="Finalized",$AV82="",$AR82="",$AT82="",$AX82="",$AW82=""),"CPT outcome, ",""),LEN(IF($B82="","Notes, ","")&amp;IF($K82="","Latest Date Worked, ","")&amp;IF($AY82="","Last Action, ","")&amp;IF(AND(OR(TRIM($A82)="Denied",TRIM($A82)="Rejected"),$BA82=""),"Denial Reason, ","")&amp;IF(AND(TRIM($A82)="Denied",$BB82="",TRIM($BA82)&lt;&gt;"NO DENIAL"),"Denial Code, ","")&amp;IF(AND(TRIM($A82)&lt;&gt;"Finalized",$BD82=""),"Next Review Date, ","")&amp;IF(AND(TRIM($A82)&lt;&gt;"Finalized",$BE82=""),"Next Step, ","")&amp;IF(AND(TRIM($A82)="Finalized",$AV82="",$AR82="",$AT82="",$AX82="",$AW82=""),"CPT outcome, ",""))-2),"")</f>
        <v/>
      </c>
      <c r="BI82" s="15" t="str">
        <f aca="false">IF($BB82="","",IFERROR(INDEX('Denial Codes'!$C:$C,MATCH(LEFT($BB82,FIND(" - ",$BB82&amp;" - ")+2)&amp;"*",'Denial Codes'!$A:$A,0)),""))</f>
        <v>Modifier issue</v>
      </c>
      <c r="BJ82" s="15" t="str">
        <f aca="false">IF($BA82="","",IFERROR(INDEX(Lists!$B:$B,MATCH(TRIM($BA82),Lists!$A:$A,0))&amp;"",""))</f>
        <v>Correct or add the modifier (e.g. NU/RR, KX, RT/LT, 25) and resubmit.</v>
      </c>
    </row>
    <row r="83" customFormat="false" ht="15" hidden="false" customHeight="false" outlineLevel="0" collapsed="false">
      <c r="A83" s="7" t="s">
        <v>17</v>
      </c>
      <c r="B83" s="7" t="s">
        <v>592</v>
      </c>
      <c r="C83" s="8" t="n">
        <v>554088972</v>
      </c>
      <c r="D83" s="9" t="n">
        <v>46141</v>
      </c>
      <c r="E83" s="10" t="s">
        <v>471</v>
      </c>
      <c r="F83" s="11" t="n">
        <v>46108</v>
      </c>
      <c r="G83" s="10" t="s">
        <v>369</v>
      </c>
      <c r="H83" s="10" t="s">
        <v>369</v>
      </c>
      <c r="I83" s="10" t="s">
        <v>129</v>
      </c>
      <c r="J83" s="10" t="s">
        <v>209</v>
      </c>
      <c r="K83" s="9" t="n">
        <v>46310</v>
      </c>
      <c r="L83" s="12" t="n">
        <f aca="true">IF($O83="","",$O83-TODAY())</f>
        <v>-113</v>
      </c>
      <c r="M83" s="12" t="n">
        <f aca="true">IF(AND(TRIM($A83)="Finalized",$K83&lt;&gt;""),"",IF($D83="","",$D83+365-TODAY()))</f>
        <v>195</v>
      </c>
      <c r="N83" s="12" t="n">
        <f aca="true">IF(AND(TRIM($A83)="Finalized",$K83&lt;&gt;""),"",IF($D83="","",$D83+365-TODAY()))</f>
        <v>195</v>
      </c>
      <c r="O83" s="11" t="n">
        <f aca="false">IF(AND(TRIM($A83)="Finalized",$K83&lt;&gt;""),"",DATE(2026,6,25))</f>
        <v>46198</v>
      </c>
      <c r="P83" s="10" t="s">
        <v>165</v>
      </c>
      <c r="Q83" s="10" t="s">
        <v>371</v>
      </c>
      <c r="R83" s="10" t="s">
        <v>114</v>
      </c>
      <c r="S83" s="10" t="s">
        <v>116</v>
      </c>
      <c r="T83" s="10" t="s">
        <v>114</v>
      </c>
      <c r="U83" s="10" t="s">
        <v>116</v>
      </c>
      <c r="V83" s="10" t="s">
        <v>167</v>
      </c>
      <c r="W83" s="10" t="s">
        <v>183</v>
      </c>
      <c r="X83" s="10"/>
      <c r="Y83" s="10"/>
      <c r="Z83" s="10"/>
      <c r="AA83" s="10" t="s">
        <v>197</v>
      </c>
      <c r="AB83" s="8" t="n">
        <f aca="true">IF($F83="","",TODAY()-$F83)</f>
        <v>203</v>
      </c>
      <c r="AC83" s="10" t="s">
        <v>184</v>
      </c>
      <c r="AD83" s="10" t="s">
        <v>211</v>
      </c>
      <c r="AE83" s="10"/>
      <c r="AF83" s="10"/>
      <c r="AG83" s="10"/>
      <c r="AH83" s="10"/>
      <c r="AI83" s="10"/>
      <c r="AJ83" s="10" t="s">
        <v>186</v>
      </c>
      <c r="AK83" s="10"/>
      <c r="AL83" s="10"/>
      <c r="AM83" s="10"/>
      <c r="AN83" s="8"/>
      <c r="AO83" s="10" t="s">
        <v>201</v>
      </c>
      <c r="AP83" s="10" t="s">
        <v>202</v>
      </c>
      <c r="AQ83" s="11" t="n">
        <v>46119</v>
      </c>
      <c r="AR83" s="13"/>
      <c r="AS83" s="13"/>
      <c r="AT83" s="13"/>
      <c r="AU83" s="13"/>
      <c r="AV83" s="13"/>
      <c r="AW83" s="13"/>
      <c r="AX83" s="13" t="s">
        <v>214</v>
      </c>
      <c r="AY83" s="7" t="s">
        <v>159</v>
      </c>
      <c r="AZ83" s="7"/>
      <c r="BA83" s="7" t="s">
        <v>40</v>
      </c>
      <c r="BB83" s="7" t="s">
        <v>372</v>
      </c>
      <c r="BC83" s="7"/>
      <c r="BD83" s="9" t="n">
        <v>46341</v>
      </c>
      <c r="BE83" s="7"/>
      <c r="BF83" s="14" t="str">
        <f aca="true">IF(TRIM($A83)="Finalized","Closed",IF($BD83="","No review date set",IF($BD83&lt;TODAY(),"OVERDUE",IF($BD83-TODAY()&lt;=7,"Due within 7 days","Scheduled"))))</f>
        <v>Scheduled</v>
      </c>
      <c r="BG83" s="14" t="n">
        <f aca="true">IF($K83="","",TODAY()-$K83)</f>
        <v>1</v>
      </c>
      <c r="BH83" s="15" t="str">
        <f aca="false">IFERROR(LEFT(IF($B83="","Notes, ","")&amp;IF($K83="","Latest Date Worked, ","")&amp;IF($AY83="","Last Action, ","")&amp;IF(AND(OR(TRIM($A83)="Denied",TRIM($A83)="Rejected"),$BA83=""),"Denial Reason, ","")&amp;IF(AND(TRIM($A83)="Denied",$BB83="",TRIM($BA83)&lt;&gt;"NO DENIAL"),"Denial Code, ","")&amp;IF(AND(TRIM($A83)&lt;&gt;"Finalized",$BD83=""),"Next Review Date, ","")&amp;IF(AND(TRIM($A83)&lt;&gt;"Finalized",$BE83=""),"Next Step, ","")&amp;IF(AND(TRIM($A83)="Finalized",$AV83="",$AR83="",$AT83="",$AX83="",$AW83=""),"CPT outcome, ",""),LEN(IF($B83="","Notes, ","")&amp;IF($K83="","Latest Date Worked, ","")&amp;IF($AY83="","Last Action, ","")&amp;IF(AND(OR(TRIM($A83)="Denied",TRIM($A83)="Rejected"),$BA83=""),"Denial Reason, ","")&amp;IF(AND(TRIM($A83)="Denied",$BB83="",TRIM($BA83)&lt;&gt;"NO DENIAL"),"Denial Code, ","")&amp;IF(AND(TRIM($A83)&lt;&gt;"Finalized",$BD83=""),"Next Review Date, ","")&amp;IF(AND(TRIM($A83)&lt;&gt;"Finalized",$BE83=""),"Next Step, ","")&amp;IF(AND(TRIM($A83)="Finalized",$AV83="",$AR83="",$AT83="",$AX83="",$AW83=""),"CPT outcome, ",""))-2),"")</f>
        <v>Next Step</v>
      </c>
      <c r="BI83" s="15" t="str">
        <f aca="false">IF($BB83="","",IFERROR(INDEX('Denial Codes'!$C:$C,MATCH(LEFT($BB83,FIND(" - ",$BB83&amp;" - ")+2)&amp;"*",'Denial Codes'!$A:$A,0)),""))</f>
        <v>Coding / billing error</v>
      </c>
      <c r="BJ83" s="15" t="str">
        <f aca="false">IF($BA83="","",IFERROR(INDEX(Lists!$B:$B,MATCH(TRIM($BA83),Lists!$A:$A,0))&amp;"",""))</f>
        <v>Fix the code, units, charge or other claim data and resubmit as a corrected claim.</v>
      </c>
    </row>
    <row r="84" customFormat="false" ht="15" hidden="false" customHeight="false" outlineLevel="0" collapsed="false">
      <c r="A84" s="7" t="s">
        <v>17</v>
      </c>
      <c r="B84" s="7" t="s">
        <v>593</v>
      </c>
      <c r="C84" s="8" t="n">
        <v>566720408</v>
      </c>
      <c r="D84" s="9" t="n">
        <v>46162</v>
      </c>
      <c r="E84" s="10" t="s">
        <v>379</v>
      </c>
      <c r="F84" s="11" t="n">
        <v>46113</v>
      </c>
      <c r="G84" s="10" t="s">
        <v>163</v>
      </c>
      <c r="H84" s="10" t="s">
        <v>163</v>
      </c>
      <c r="I84" s="10" t="s">
        <v>260</v>
      </c>
      <c r="J84" s="10" t="s">
        <v>209</v>
      </c>
      <c r="K84" s="9" t="n">
        <v>46231</v>
      </c>
      <c r="L84" s="12" t="n">
        <f aca="true">IF($O84="","",$O84-TODAY())</f>
        <v>-108</v>
      </c>
      <c r="M84" s="12" t="n">
        <f aca="true">IF(AND(TRIM($A84)="Finalized",$K84&lt;&gt;""),"",IF($F84="","",$F84+90-TODAY()))</f>
        <v>-108</v>
      </c>
      <c r="N84" s="12" t="n">
        <f aca="true">IF(AND(TRIM($A84)="Finalized",$K84&lt;&gt;""),"",IF($D84="","",$D84+365-TODAY()))</f>
        <v>216</v>
      </c>
      <c r="O84" s="11" t="n">
        <f aca="false">IF(AND(TRIM($A84)="Finalized",$K84&lt;&gt;""),"",DATE(2026,6,30))</f>
        <v>46203</v>
      </c>
      <c r="P84" s="10" t="s">
        <v>165</v>
      </c>
      <c r="Q84" s="10" t="s">
        <v>166</v>
      </c>
      <c r="R84" s="10" t="s">
        <v>165</v>
      </c>
      <c r="S84" s="10" t="s">
        <v>149</v>
      </c>
      <c r="T84" s="10" t="s">
        <v>114</v>
      </c>
      <c r="U84" s="10" t="s">
        <v>116</v>
      </c>
      <c r="V84" s="10" t="s">
        <v>221</v>
      </c>
      <c r="W84" s="10" t="s">
        <v>183</v>
      </c>
      <c r="X84" s="10"/>
      <c r="Y84" s="10"/>
      <c r="Z84" s="10"/>
      <c r="AA84" s="10" t="s">
        <v>197</v>
      </c>
      <c r="AB84" s="8" t="n">
        <f aca="true">IF($F84="","",TODAY()-$F84)</f>
        <v>198</v>
      </c>
      <c r="AC84" s="10" t="s">
        <v>184</v>
      </c>
      <c r="AD84" s="10" t="s">
        <v>211</v>
      </c>
      <c r="AE84" s="10"/>
      <c r="AF84" s="10"/>
      <c r="AG84" s="10"/>
      <c r="AH84" s="10"/>
      <c r="AI84" s="10"/>
      <c r="AJ84" s="10" t="s">
        <v>380</v>
      </c>
      <c r="AK84" s="10"/>
      <c r="AL84" s="10"/>
      <c r="AM84" s="10"/>
      <c r="AN84" s="8"/>
      <c r="AO84" s="10" t="s">
        <v>494</v>
      </c>
      <c r="AP84" s="10" t="s">
        <v>202</v>
      </c>
      <c r="AQ84" s="11" t="n">
        <v>46153</v>
      </c>
      <c r="AR84" s="13"/>
      <c r="AS84" s="13"/>
      <c r="AT84" s="13"/>
      <c r="AU84" s="13"/>
      <c r="AV84" s="13"/>
      <c r="AW84" s="13"/>
      <c r="AX84" s="13"/>
      <c r="AY84" s="7" t="s">
        <v>159</v>
      </c>
      <c r="AZ84" s="7"/>
      <c r="BA84" s="7"/>
      <c r="BB84" s="7"/>
      <c r="BC84" s="7"/>
      <c r="BD84" s="9" t="n">
        <v>46262</v>
      </c>
      <c r="BE84" s="7"/>
      <c r="BF84" s="14" t="str">
        <f aca="true">IF(TRIM($A84)="Finalized","Closed",IF($BD84="","No review date set",IF($BD84&lt;TODAY(),"OVERDUE",IF($BD84-TODAY()&lt;=7,"Due within 7 days","Scheduled"))))</f>
        <v>OVERDUE</v>
      </c>
      <c r="BG84" s="14" t="n">
        <f aca="true">IF($K84="","",TODAY()-$K84)</f>
        <v>80</v>
      </c>
      <c r="BH84" s="15" t="str">
        <f aca="false">IFERROR(LEFT(IF($B84="","Notes, ","")&amp;IF($K84="","Latest Date Worked, ","")&amp;IF($AY84="","Last Action, ","")&amp;IF(AND(OR(TRIM($A84)="Denied",TRIM($A84)="Rejected"),$BA84=""),"Denial Reason, ","")&amp;IF(AND(TRIM($A84)="Denied",$BB84="",TRIM($BA84)&lt;&gt;"NO DENIAL"),"Denial Code, ","")&amp;IF(AND(TRIM($A84)&lt;&gt;"Finalized",$BD84=""),"Next Review Date, ","")&amp;IF(AND(TRIM($A84)&lt;&gt;"Finalized",$BE84=""),"Next Step, ","")&amp;IF(AND(TRIM($A84)="Finalized",$AV84="",$AR84="",$AT84="",$AX84="",$AW84=""),"CPT outcome, ",""),LEN(IF($B84="","Notes, ","")&amp;IF($K84="","Latest Date Worked, ","")&amp;IF($AY84="","Last Action, ","")&amp;IF(AND(OR(TRIM($A84)="Denied",TRIM($A84)="Rejected"),$BA84=""),"Denial Reason, ","")&amp;IF(AND(TRIM($A84)="Denied",$BB84="",TRIM($BA84)&lt;&gt;"NO DENIAL"),"Denial Code, ","")&amp;IF(AND(TRIM($A84)&lt;&gt;"Finalized",$BD84=""),"Next Review Date, ","")&amp;IF(AND(TRIM($A84)&lt;&gt;"Finalized",$BE84=""),"Next Step, ","")&amp;IF(AND(TRIM($A84)="Finalized",$AV84="",$AR84="",$AT84="",$AX84="",$AW84=""),"CPT outcome, ",""))-2),"")</f>
        <v>Denial Reason, Denial Code, Next Step</v>
      </c>
      <c r="BI84" s="15" t="str">
        <f aca="false">IF($BB84="","",IFERROR(INDEX('Denial Codes'!$C:$C,MATCH(LEFT($BB84,FIND(" - ",$BB84&amp;" - ")+2)&amp;"*",'Denial Codes'!$A:$A,0)),""))</f>
        <v/>
      </c>
      <c r="BJ84" s="15" t="str">
        <f aca="false">IF($BA84="","",IFERROR(INDEX(Lists!$B:$B,MATCH(TRIM($BA84),Lists!$A:$A,0))&amp;"",""))</f>
        <v/>
      </c>
    </row>
    <row r="85" customFormat="false" ht="15" hidden="false" customHeight="false" outlineLevel="0" collapsed="false">
      <c r="A85" s="7" t="s">
        <v>17</v>
      </c>
      <c r="B85" s="7" t="s">
        <v>203</v>
      </c>
      <c r="C85" s="8" t="n">
        <v>556734047</v>
      </c>
      <c r="D85" s="9" t="n">
        <v>46218</v>
      </c>
      <c r="E85" s="10" t="s">
        <v>594</v>
      </c>
      <c r="F85" s="11" t="n">
        <v>46113</v>
      </c>
      <c r="G85" s="10" t="s">
        <v>208</v>
      </c>
      <c r="H85" s="10" t="s">
        <v>208</v>
      </c>
      <c r="I85" s="10" t="s">
        <v>129</v>
      </c>
      <c r="J85" s="10" t="s">
        <v>595</v>
      </c>
      <c r="K85" s="9" t="n">
        <v>46278</v>
      </c>
      <c r="L85" s="12" t="n">
        <f aca="true">IF($O85="","",$O85-TODAY())</f>
        <v>-108</v>
      </c>
      <c r="M85" s="12" t="n">
        <f aca="true">IF(AND(TRIM($A85)="Finalized",$K85&lt;&gt;""),"",IF($D85="","",$D85+180-TODAY()))</f>
        <v>87</v>
      </c>
      <c r="N85" s="12" t="n">
        <f aca="true">IF(AND(TRIM($A85)="Finalized",$K85&lt;&gt;""),"",IF($D85="","",$D85+365-TODAY()))</f>
        <v>272</v>
      </c>
      <c r="O85" s="11" t="n">
        <f aca="false">IF(AND(TRIM($A85)="Finalized",$K85&lt;&gt;""),"",DATE(2026,6,30))</f>
        <v>46203</v>
      </c>
      <c r="P85" s="10" t="s">
        <v>165</v>
      </c>
      <c r="Q85" s="10" t="s">
        <v>210</v>
      </c>
      <c r="R85" s="10" t="s">
        <v>147</v>
      </c>
      <c r="S85" s="10" t="s">
        <v>116</v>
      </c>
      <c r="T85" s="10" t="s">
        <v>114</v>
      </c>
      <c r="U85" s="10" t="s">
        <v>116</v>
      </c>
      <c r="V85" s="10" t="s">
        <v>221</v>
      </c>
      <c r="W85" s="10" t="s">
        <v>132</v>
      </c>
      <c r="X85" s="10"/>
      <c r="Y85" s="10"/>
      <c r="Z85" s="10"/>
      <c r="AA85" s="10" t="s">
        <v>197</v>
      </c>
      <c r="AB85" s="8" t="n">
        <f aca="true">IF($F85="","",TODAY()-$F85)</f>
        <v>198</v>
      </c>
      <c r="AC85" s="10" t="s">
        <v>246</v>
      </c>
      <c r="AD85" s="10" t="s">
        <v>169</v>
      </c>
      <c r="AE85" s="10"/>
      <c r="AF85" s="10"/>
      <c r="AG85" s="10"/>
      <c r="AH85" s="10"/>
      <c r="AI85" s="10"/>
      <c r="AJ85" s="10" t="s">
        <v>596</v>
      </c>
      <c r="AK85" s="10" t="s">
        <v>597</v>
      </c>
      <c r="AL85" s="10" t="s">
        <v>598</v>
      </c>
      <c r="AM85" s="10"/>
      <c r="AN85" s="8"/>
      <c r="AO85" s="10" t="s">
        <v>174</v>
      </c>
      <c r="AP85" s="10" t="s">
        <v>175</v>
      </c>
      <c r="AQ85" s="11" t="n">
        <v>46146</v>
      </c>
      <c r="AR85" s="13"/>
      <c r="AS85" s="13"/>
      <c r="AT85" s="13"/>
      <c r="AU85" s="13"/>
      <c r="AV85" s="13"/>
      <c r="AW85" s="13"/>
      <c r="AX85" s="13"/>
      <c r="AY85" s="7" t="s">
        <v>203</v>
      </c>
      <c r="AZ85" s="7"/>
      <c r="BA85" s="7" t="s">
        <v>36</v>
      </c>
      <c r="BB85" s="7" t="s">
        <v>204</v>
      </c>
      <c r="BC85" s="7" t="s">
        <v>599</v>
      </c>
      <c r="BD85" s="9" t="n">
        <v>46308</v>
      </c>
      <c r="BE85" s="7"/>
      <c r="BF85" s="14" t="str">
        <f aca="true">IF(TRIM($A85)="Finalized","Closed",IF($BD85="","No review date set",IF($BD85&lt;TODAY(),"OVERDUE",IF($BD85-TODAY()&lt;=7,"Due within 7 days","Scheduled"))))</f>
        <v>OVERDUE</v>
      </c>
      <c r="BG85" s="14" t="n">
        <f aca="true">IF($K85="","",TODAY()-$K85)</f>
        <v>33</v>
      </c>
      <c r="BH85" s="15" t="str">
        <f aca="false">IFERROR(LEFT(IF($B85="","Notes, ","")&amp;IF($K85="","Latest Date Worked, ","")&amp;IF($AY85="","Last Action, ","")&amp;IF(AND(OR(TRIM($A85)="Denied",TRIM($A85)="Rejected"),$BA85=""),"Denial Reason, ","")&amp;IF(AND(TRIM($A85)="Denied",$BB85="",TRIM($BA85)&lt;&gt;"NO DENIAL"),"Denial Code, ","")&amp;IF(AND(TRIM($A85)&lt;&gt;"Finalized",$BD85=""),"Next Review Date, ","")&amp;IF(AND(TRIM($A85)&lt;&gt;"Finalized",$BE85=""),"Next Step, ","")&amp;IF(AND(TRIM($A85)="Finalized",$AV85="",$AR85="",$AT85="",$AX85="",$AW85=""),"CPT outcome, ",""),LEN(IF($B85="","Notes, ","")&amp;IF($K85="","Latest Date Worked, ","")&amp;IF($AY85="","Last Action, ","")&amp;IF(AND(OR(TRIM($A85)="Denied",TRIM($A85)="Rejected"),$BA85=""),"Denial Reason, ","")&amp;IF(AND(TRIM($A85)="Denied",$BB85="",TRIM($BA85)&lt;&gt;"NO DENIAL"),"Denial Code, ","")&amp;IF(AND(TRIM($A85)&lt;&gt;"Finalized",$BD85=""),"Next Review Date, ","")&amp;IF(AND(TRIM($A85)&lt;&gt;"Finalized",$BE85=""),"Next Step, ","")&amp;IF(AND(TRIM($A85)="Finalized",$AV85="",$AR85="",$AT85="",$AX85="",$AW85=""),"CPT outcome, ",""))-2),"")</f>
        <v>Next Step</v>
      </c>
      <c r="BI85" s="15" t="str">
        <f aca="false">IF($BB85="","",IFERROR(INDEX('Denial Codes'!$C:$C,MATCH(LEFT($BB85,FIND(" - ",$BB85&amp;" - ")+2)&amp;"*",'Denial Codes'!$A:$A,0)),""))</f>
        <v>Medical records needed</v>
      </c>
      <c r="BJ85" s="15" t="str">
        <f aca="false">IF($BA85="","",IFERROR(INDEX(Lists!$B:$B,MATCH(TRIM($BA85),Lists!$A:$A,0))&amp;"",""))</f>
        <v>Upload the MR on the payer portal, note the PIQ/reference number and set a review date.</v>
      </c>
    </row>
    <row r="86" customFormat="false" ht="15" hidden="false" customHeight="false" outlineLevel="0" collapsed="false">
      <c r="A86" s="7" t="s">
        <v>17</v>
      </c>
      <c r="B86" s="7" t="s">
        <v>600</v>
      </c>
      <c r="C86" s="8" t="n">
        <v>558304247</v>
      </c>
      <c r="D86" s="9" t="n">
        <v>46216</v>
      </c>
      <c r="E86" s="10" t="s">
        <v>601</v>
      </c>
      <c r="F86" s="11" t="n">
        <v>46114</v>
      </c>
      <c r="G86" s="10" t="s">
        <v>208</v>
      </c>
      <c r="H86" s="10" t="s">
        <v>208</v>
      </c>
      <c r="I86" s="10" t="s">
        <v>145</v>
      </c>
      <c r="J86" s="10" t="s">
        <v>602</v>
      </c>
      <c r="K86" s="9" t="n">
        <v>46282</v>
      </c>
      <c r="L86" s="12" t="n">
        <f aca="true">IF($O86="","",$O86-TODAY())</f>
        <v>-107</v>
      </c>
      <c r="M86" s="12" t="n">
        <f aca="true">IF(AND(TRIM($A86)="Finalized",$K86&lt;&gt;""),"",IF($D86="","",$D86+180-TODAY()))</f>
        <v>85</v>
      </c>
      <c r="N86" s="12" t="n">
        <f aca="true">IF(AND(TRIM($A86)="Finalized",$K86&lt;&gt;""),"",IF($D86="","",$D86+365-TODAY()))</f>
        <v>270</v>
      </c>
      <c r="O86" s="11" t="n">
        <f aca="false">IF(AND(TRIM($A86)="Finalized",$K86&lt;&gt;""),"",DATE(2026,7,1))</f>
        <v>46204</v>
      </c>
      <c r="P86" s="10" t="s">
        <v>165</v>
      </c>
      <c r="Q86" s="10" t="s">
        <v>210</v>
      </c>
      <c r="R86" s="10" t="s">
        <v>147</v>
      </c>
      <c r="S86" s="10" t="s">
        <v>116</v>
      </c>
      <c r="T86" s="10" t="s">
        <v>114</v>
      </c>
      <c r="U86" s="10" t="s">
        <v>116</v>
      </c>
      <c r="V86" s="10" t="s">
        <v>221</v>
      </c>
      <c r="W86" s="10" t="s">
        <v>196</v>
      </c>
      <c r="X86" s="10"/>
      <c r="Y86" s="10"/>
      <c r="Z86" s="10"/>
      <c r="AA86" s="10" t="s">
        <v>197</v>
      </c>
      <c r="AB86" s="8" t="n">
        <f aca="true">IF($F86="","",TODAY()-$F86)</f>
        <v>197</v>
      </c>
      <c r="AC86" s="10" t="s">
        <v>487</v>
      </c>
      <c r="AD86" s="10" t="s">
        <v>198</v>
      </c>
      <c r="AE86" s="10"/>
      <c r="AF86" s="10"/>
      <c r="AG86" s="10"/>
      <c r="AH86" s="10"/>
      <c r="AI86" s="10"/>
      <c r="AJ86" s="10" t="s">
        <v>603</v>
      </c>
      <c r="AK86" s="10" t="s">
        <v>580</v>
      </c>
      <c r="AL86" s="10" t="s">
        <v>199</v>
      </c>
      <c r="AM86" s="10"/>
      <c r="AN86" s="8"/>
      <c r="AO86" s="10" t="s">
        <v>213</v>
      </c>
      <c r="AP86" s="10" t="s">
        <v>224</v>
      </c>
      <c r="AQ86" s="11" t="n">
        <v>46148</v>
      </c>
      <c r="AR86" s="13"/>
      <c r="AS86" s="13"/>
      <c r="AT86" s="13"/>
      <c r="AU86" s="13"/>
      <c r="AV86" s="13"/>
      <c r="AW86" s="13"/>
      <c r="AX86" s="13"/>
      <c r="AY86" s="7" t="s">
        <v>203</v>
      </c>
      <c r="AZ86" s="7"/>
      <c r="BA86" s="7" t="s">
        <v>36</v>
      </c>
      <c r="BB86" s="7" t="s">
        <v>204</v>
      </c>
      <c r="BC86" s="7" t="s">
        <v>604</v>
      </c>
      <c r="BD86" s="9" t="n">
        <v>46312</v>
      </c>
      <c r="BE86" s="7"/>
      <c r="BF86" s="14" t="str">
        <f aca="true">IF(TRIM($A86)="Finalized","Closed",IF($BD86="","No review date set",IF($BD86&lt;TODAY(),"OVERDUE",IF($BD86-TODAY()&lt;=7,"Due within 7 days","Scheduled"))))</f>
        <v>Due within 7 days</v>
      </c>
      <c r="BG86" s="14" t="n">
        <f aca="true">IF($K86="","",TODAY()-$K86)</f>
        <v>29</v>
      </c>
      <c r="BH86" s="15" t="str">
        <f aca="false">IFERROR(LEFT(IF($B86="","Notes, ","")&amp;IF($K86="","Latest Date Worked, ","")&amp;IF($AY86="","Last Action, ","")&amp;IF(AND(OR(TRIM($A86)="Denied",TRIM($A86)="Rejected"),$BA86=""),"Denial Reason, ","")&amp;IF(AND(TRIM($A86)="Denied",$BB86="",TRIM($BA86)&lt;&gt;"NO DENIAL"),"Denial Code, ","")&amp;IF(AND(TRIM($A86)&lt;&gt;"Finalized",$BD86=""),"Next Review Date, ","")&amp;IF(AND(TRIM($A86)&lt;&gt;"Finalized",$BE86=""),"Next Step, ","")&amp;IF(AND(TRIM($A86)="Finalized",$AV86="",$AR86="",$AT86="",$AX86="",$AW86=""),"CPT outcome, ",""),LEN(IF($B86="","Notes, ","")&amp;IF($K86="","Latest Date Worked, ","")&amp;IF($AY86="","Last Action, ","")&amp;IF(AND(OR(TRIM($A86)="Denied",TRIM($A86)="Rejected"),$BA86=""),"Denial Reason, ","")&amp;IF(AND(TRIM($A86)="Denied",$BB86="",TRIM($BA86)&lt;&gt;"NO DENIAL"),"Denial Code, ","")&amp;IF(AND(TRIM($A86)&lt;&gt;"Finalized",$BD86=""),"Next Review Date, ","")&amp;IF(AND(TRIM($A86)&lt;&gt;"Finalized",$BE86=""),"Next Step, ","")&amp;IF(AND(TRIM($A86)="Finalized",$AV86="",$AR86="",$AT86="",$AX86="",$AW86=""),"CPT outcome, ",""))-2),"")</f>
        <v>Next Step</v>
      </c>
      <c r="BI86" s="15" t="str">
        <f aca="false">IF($BB86="","",IFERROR(INDEX('Denial Codes'!$C:$C,MATCH(LEFT($BB86,FIND(" - ",$BB86&amp;" - ")+2)&amp;"*",'Denial Codes'!$A:$A,0)),""))</f>
        <v>Medical records needed</v>
      </c>
      <c r="BJ86" s="15" t="str">
        <f aca="false">IF($BA86="","",IFERROR(INDEX(Lists!$B:$B,MATCH(TRIM($BA86),Lists!$A:$A,0))&amp;"",""))</f>
        <v>Upload the MR on the payer portal, note the PIQ/reference number and set a review date.</v>
      </c>
    </row>
    <row r="87" customFormat="false" ht="15" hidden="false" customHeight="false" outlineLevel="0" collapsed="false">
      <c r="A87" s="7" t="s">
        <v>16</v>
      </c>
      <c r="B87" s="7" t="s">
        <v>605</v>
      </c>
      <c r="C87" s="8" t="n">
        <v>553787632</v>
      </c>
      <c r="D87" s="9" t="n">
        <v>46113</v>
      </c>
      <c r="E87" s="10" t="s">
        <v>606</v>
      </c>
      <c r="F87" s="11" t="n">
        <v>46085</v>
      </c>
      <c r="G87" s="10" t="s">
        <v>607</v>
      </c>
      <c r="H87" s="10" t="s">
        <v>607</v>
      </c>
      <c r="I87" s="10" t="s">
        <v>129</v>
      </c>
      <c r="J87" s="10" t="s">
        <v>608</v>
      </c>
      <c r="K87" s="9" t="n">
        <v>46282</v>
      </c>
      <c r="L87" s="12" t="str">
        <f aca="true">IF($O87="","",$O87-TODAY())</f>
        <v/>
      </c>
      <c r="M87" s="12" t="str">
        <f aca="true">IF(AND(TRIM($A87)="Finalized",$K87&lt;&gt;""),"",IF($D87="","",$D87+180-TODAY()))</f>
        <v/>
      </c>
      <c r="N87" s="12" t="str">
        <f aca="true">IF(AND(TRIM($A87)="Finalized",$K87&lt;&gt;""),"",IF($D87="","",$D87+180-TODAY()))</f>
        <v/>
      </c>
      <c r="O87" s="11" t="str">
        <f aca="false">IF(AND(TRIM($A87)="Finalized",$K87&lt;&gt;""),"",DATE(2026,7,2))</f>
        <v/>
      </c>
      <c r="P87" s="10" t="s">
        <v>117</v>
      </c>
      <c r="Q87" s="10" t="s">
        <v>609</v>
      </c>
      <c r="R87" s="10" t="s">
        <v>147</v>
      </c>
      <c r="S87" s="10" t="s">
        <v>116</v>
      </c>
      <c r="T87" s="10" t="s">
        <v>147</v>
      </c>
      <c r="U87" s="10" t="s">
        <v>116</v>
      </c>
      <c r="V87" s="10" t="s">
        <v>167</v>
      </c>
      <c r="W87" s="10" t="s">
        <v>196</v>
      </c>
      <c r="X87" s="10"/>
      <c r="Y87" s="10"/>
      <c r="Z87" s="10"/>
      <c r="AA87" s="10" t="s">
        <v>197</v>
      </c>
      <c r="AB87" s="8" t="n">
        <f aca="true">IF($F87="","",TODAY()-$F87)</f>
        <v>226</v>
      </c>
      <c r="AC87" s="10" t="s">
        <v>198</v>
      </c>
      <c r="AD87" s="10" t="s">
        <v>222</v>
      </c>
      <c r="AE87" s="10"/>
      <c r="AF87" s="10"/>
      <c r="AG87" s="10"/>
      <c r="AH87" s="10"/>
      <c r="AI87" s="10"/>
      <c r="AJ87" s="10" t="s">
        <v>223</v>
      </c>
      <c r="AK87" s="10" t="s">
        <v>350</v>
      </c>
      <c r="AL87" s="10"/>
      <c r="AM87" s="10"/>
      <c r="AN87" s="8"/>
      <c r="AO87" s="10" t="s">
        <v>255</v>
      </c>
      <c r="AP87" s="10" t="s">
        <v>268</v>
      </c>
      <c r="AQ87" s="11" t="n">
        <v>46106</v>
      </c>
      <c r="AR87" s="13"/>
      <c r="AS87" s="13"/>
      <c r="AT87" s="13"/>
      <c r="AU87" s="13"/>
      <c r="AV87" s="13" t="s">
        <v>610</v>
      </c>
      <c r="AW87" s="13"/>
      <c r="AX87" s="13" t="s">
        <v>610</v>
      </c>
      <c r="AY87" s="7" t="s">
        <v>363</v>
      </c>
      <c r="AZ87" s="7" t="s">
        <v>159</v>
      </c>
      <c r="BA87" s="7" t="s">
        <v>39</v>
      </c>
      <c r="BB87" s="7" t="s">
        <v>611</v>
      </c>
      <c r="BC87" s="7"/>
      <c r="BD87" s="9"/>
      <c r="BE87" s="7"/>
      <c r="BF87" s="14" t="str">
        <f aca="true">IF(TRIM($A87)="Finalized","Closed",IF($BD87="","No review date set",IF($BD87&lt;TODAY(),"OVERDUE",IF($BD87-TODAY()&lt;=7,"Due within 7 days","Scheduled"))))</f>
        <v>Closed</v>
      </c>
      <c r="BG87" s="14" t="n">
        <f aca="true">IF($K87="","",TODAY()-$K87)</f>
        <v>29</v>
      </c>
      <c r="BH87" s="15" t="str">
        <f aca="false">IFERROR(LEFT(IF($B87="","Notes, ","")&amp;IF($K87="","Latest Date Worked, ","")&amp;IF($AY87="","Last Action, ","")&amp;IF(AND(OR(TRIM($A87)="Denied",TRIM($A87)="Rejected"),$BA87=""),"Denial Reason, ","")&amp;IF(AND(TRIM($A87)="Denied",$BB87="",TRIM($BA87)&lt;&gt;"NO DENIAL"),"Denial Code, ","")&amp;IF(AND(TRIM($A87)&lt;&gt;"Finalized",$BD87=""),"Next Review Date, ","")&amp;IF(AND(TRIM($A87)&lt;&gt;"Finalized",$BE87=""),"Next Step, ","")&amp;IF(AND(TRIM($A87)="Finalized",$AV87="",$AR87="",$AT87="",$AX87="",$AW87=""),"CPT outcome, ",""),LEN(IF($B87="","Notes, ","")&amp;IF($K87="","Latest Date Worked, ","")&amp;IF($AY87="","Last Action, ","")&amp;IF(AND(OR(TRIM($A87)="Denied",TRIM($A87)="Rejected"),$BA87=""),"Denial Reason, ","")&amp;IF(AND(TRIM($A87)="Denied",$BB87="",TRIM($BA87)&lt;&gt;"NO DENIAL"),"Denial Code, ","")&amp;IF(AND(TRIM($A87)&lt;&gt;"Finalized",$BD87=""),"Next Review Date, ","")&amp;IF(AND(TRIM($A87)&lt;&gt;"Finalized",$BE87=""),"Next Step, ","")&amp;IF(AND(TRIM($A87)="Finalized",$AV87="",$AR87="",$AT87="",$AX87="",$AW87=""),"CPT outcome, ",""))-2),"")</f>
        <v/>
      </c>
      <c r="BI87" s="15" t="str">
        <f aca="false">IF($BB87="","",IFERROR(INDEX('Denial Codes'!$C:$C,MATCH(LEFT($BB87,FIND(" - ",$BB87&amp;" - ")+2)&amp;"*",'Denial Codes'!$A:$A,0)),""))</f>
        <v>Diagnosis issue</v>
      </c>
      <c r="BJ87" s="15" t="str">
        <f aca="false">IF($BA87="","",IFERROR(INDEX(Lists!$B:$B,MATCH(TRIM($BA87),Lists!$A:$A,0))&amp;"",""))</f>
        <v>Review the diagnosis codes and pointers with the chart; correct and resubmit.</v>
      </c>
    </row>
    <row r="88" customFormat="false" ht="15" hidden="false" customHeight="false" outlineLevel="0" collapsed="false">
      <c r="A88" s="7" t="s">
        <v>17</v>
      </c>
      <c r="B88" s="7" t="s">
        <v>612</v>
      </c>
      <c r="C88" s="8" t="n">
        <v>555586629</v>
      </c>
      <c r="D88" s="9" t="n">
        <v>46197</v>
      </c>
      <c r="E88" s="10" t="s">
        <v>613</v>
      </c>
      <c r="F88" s="11" t="n">
        <v>46118</v>
      </c>
      <c r="G88" s="10" t="s">
        <v>218</v>
      </c>
      <c r="H88" s="10" t="s">
        <v>218</v>
      </c>
      <c r="I88" s="10" t="s">
        <v>129</v>
      </c>
      <c r="J88" s="10" t="s">
        <v>450</v>
      </c>
      <c r="K88" s="9" t="n">
        <v>46300</v>
      </c>
      <c r="L88" s="12" t="n">
        <f aca="true">IF($O88="","",$O88-TODAY())</f>
        <v>-103</v>
      </c>
      <c r="M88" s="12" t="n">
        <f aca="true">IF(AND(TRIM($A88)="Finalized",$K88&lt;&gt;""),"",IF($F88="","",$F88+90-TODAY()))</f>
        <v>-103</v>
      </c>
      <c r="N88" s="12" t="n">
        <f aca="true">IF(AND(TRIM($A88)="Finalized",$K88&lt;&gt;""),"",IF($D88="","",$D88+180-TODAY()))</f>
        <v>66</v>
      </c>
      <c r="O88" s="11" t="n">
        <f aca="false">IF(AND(TRIM($A88)="Finalized",$K88&lt;&gt;""),"",DATE(2026,7,5))</f>
        <v>46208</v>
      </c>
      <c r="P88" s="10" t="s">
        <v>165</v>
      </c>
      <c r="Q88" s="10" t="s">
        <v>220</v>
      </c>
      <c r="R88" s="10" t="s">
        <v>165</v>
      </c>
      <c r="S88" s="10" t="s">
        <v>149</v>
      </c>
      <c r="T88" s="10" t="s">
        <v>147</v>
      </c>
      <c r="U88" s="10" t="s">
        <v>116</v>
      </c>
      <c r="V88" s="10" t="s">
        <v>221</v>
      </c>
      <c r="W88" s="10" t="s">
        <v>119</v>
      </c>
      <c r="X88" s="10" t="s">
        <v>304</v>
      </c>
      <c r="Y88" s="10"/>
      <c r="Z88" s="10"/>
      <c r="AA88" s="10" t="s">
        <v>197</v>
      </c>
      <c r="AB88" s="8" t="n">
        <f aca="true">IF($F88="","",TODAY()-$F88)</f>
        <v>193</v>
      </c>
      <c r="AC88" s="10" t="s">
        <v>451</v>
      </c>
      <c r="AD88" s="10"/>
      <c r="AE88" s="10"/>
      <c r="AF88" s="10"/>
      <c r="AG88" s="10"/>
      <c r="AH88" s="10"/>
      <c r="AI88" s="10"/>
      <c r="AJ88" s="10" t="s">
        <v>614</v>
      </c>
      <c r="AK88" s="10"/>
      <c r="AL88" s="10"/>
      <c r="AM88" s="10"/>
      <c r="AN88" s="8"/>
      <c r="AO88" s="10" t="s">
        <v>326</v>
      </c>
      <c r="AP88" s="10" t="s">
        <v>156</v>
      </c>
      <c r="AQ88" s="11" t="n">
        <v>46134</v>
      </c>
      <c r="AR88" s="13"/>
      <c r="AS88" s="13"/>
      <c r="AT88" s="13"/>
      <c r="AU88" s="13"/>
      <c r="AV88" s="13"/>
      <c r="AW88" s="13"/>
      <c r="AX88" s="13"/>
      <c r="AY88" s="7" t="s">
        <v>520</v>
      </c>
      <c r="AZ88" s="7"/>
      <c r="BA88" s="7"/>
      <c r="BB88" s="7"/>
      <c r="BC88" s="7"/>
      <c r="BD88" s="9" t="n">
        <v>46331</v>
      </c>
      <c r="BE88" s="7" t="s">
        <v>615</v>
      </c>
      <c r="BF88" s="14" t="str">
        <f aca="true">IF(TRIM($A88)="Finalized","Closed",IF($BD88="","No review date set",IF($BD88&lt;TODAY(),"OVERDUE",IF($BD88-TODAY()&lt;=7,"Due within 7 days","Scheduled"))))</f>
        <v>Scheduled</v>
      </c>
      <c r="BG88" s="14" t="n">
        <f aca="true">IF($K88="","",TODAY()-$K88)</f>
        <v>11</v>
      </c>
      <c r="BH88" s="15" t="str">
        <f aca="false">IFERROR(LEFT(IF($B88="","Notes, ","")&amp;IF($K88="","Latest Date Worked, ","")&amp;IF($AY88="","Last Action, ","")&amp;IF(AND(OR(TRIM($A88)="Denied",TRIM($A88)="Rejected"),$BA88=""),"Denial Reason, ","")&amp;IF(AND(TRIM($A88)="Denied",$BB88="",TRIM($BA88)&lt;&gt;"NO DENIAL"),"Denial Code, ","")&amp;IF(AND(TRIM($A88)&lt;&gt;"Finalized",$BD88=""),"Next Review Date, ","")&amp;IF(AND(TRIM($A88)&lt;&gt;"Finalized",$BE88=""),"Next Step, ","")&amp;IF(AND(TRIM($A88)="Finalized",$AV88="",$AR88="",$AT88="",$AX88="",$AW88=""),"CPT outcome, ",""),LEN(IF($B88="","Notes, ","")&amp;IF($K88="","Latest Date Worked, ","")&amp;IF($AY88="","Last Action, ","")&amp;IF(AND(OR(TRIM($A88)="Denied",TRIM($A88)="Rejected"),$BA88=""),"Denial Reason, ","")&amp;IF(AND(TRIM($A88)="Denied",$BB88="",TRIM($BA88)&lt;&gt;"NO DENIAL"),"Denial Code, ","")&amp;IF(AND(TRIM($A88)&lt;&gt;"Finalized",$BD88=""),"Next Review Date, ","")&amp;IF(AND(TRIM($A88)&lt;&gt;"Finalized",$BE88=""),"Next Step, ","")&amp;IF(AND(TRIM($A88)="Finalized",$AV88="",$AR88="",$AT88="",$AX88="",$AW88=""),"CPT outcome, ",""))-2),"")</f>
        <v>Denial Reason, Denial Code</v>
      </c>
      <c r="BI88" s="15" t="str">
        <f aca="false">IF($BB88="","",IFERROR(INDEX('Denial Codes'!$C:$C,MATCH(LEFT($BB88,FIND(" - ",$BB88&amp;" - ")+2)&amp;"*",'Denial Codes'!$A:$A,0)),""))</f>
        <v/>
      </c>
      <c r="BJ88" s="15" t="str">
        <f aca="false">IF($BA88="","",IFERROR(INDEX(Lists!$B:$B,MATCH(TRIM($BA88),Lists!$A:$A,0))&amp;"",""))</f>
        <v/>
      </c>
    </row>
    <row r="89" customFormat="false" ht="15" hidden="false" customHeight="false" outlineLevel="0" collapsed="false">
      <c r="A89" s="7" t="s">
        <v>18</v>
      </c>
      <c r="B89" s="7" t="s">
        <v>616</v>
      </c>
      <c r="C89" s="8" t="n">
        <v>558554119</v>
      </c>
      <c r="D89" s="9" t="n">
        <v>46165</v>
      </c>
      <c r="E89" s="10" t="s">
        <v>617</v>
      </c>
      <c r="F89" s="11" t="n">
        <v>46118</v>
      </c>
      <c r="G89" s="10" t="s">
        <v>347</v>
      </c>
      <c r="H89" s="10" t="s">
        <v>347</v>
      </c>
      <c r="I89" s="10" t="s">
        <v>129</v>
      </c>
      <c r="J89" s="10" t="s">
        <v>618</v>
      </c>
      <c r="K89" s="9"/>
      <c r="L89" s="12" t="n">
        <f aca="true">IF($O89="","",$O89-TODAY())</f>
        <v>-103</v>
      </c>
      <c r="M89" s="12" t="n">
        <f aca="true">IF(AND(TRIM($A89)="Finalized",$K89&lt;&gt;""),"",IF($F89="","",$F89+90-TODAY()))</f>
        <v>-103</v>
      </c>
      <c r="N89" s="12" t="n">
        <f aca="true">IF(AND(TRIM($A89)="Finalized",$K89&lt;&gt;""),"",IF($D89="","",$D89+540-TODAY()))</f>
        <v>394</v>
      </c>
      <c r="O89" s="11" t="n">
        <f aca="false">IF(AND(TRIM($A89)="Finalized",$K89&lt;&gt;""),"",DATE(2026,7,5))</f>
        <v>46208</v>
      </c>
      <c r="P89" s="10" t="s">
        <v>165</v>
      </c>
      <c r="Q89" s="10" t="s">
        <v>348</v>
      </c>
      <c r="R89" s="10" t="s">
        <v>165</v>
      </c>
      <c r="S89" s="10" t="s">
        <v>149</v>
      </c>
      <c r="T89" s="10" t="s">
        <v>349</v>
      </c>
      <c r="U89" s="10" t="s">
        <v>116</v>
      </c>
      <c r="V89" s="10" t="s">
        <v>221</v>
      </c>
      <c r="W89" s="10" t="s">
        <v>434</v>
      </c>
      <c r="X89" s="10" t="s">
        <v>619</v>
      </c>
      <c r="Y89" s="10" t="s">
        <v>620</v>
      </c>
      <c r="Z89" s="10" t="s">
        <v>621</v>
      </c>
      <c r="AA89" s="10" t="s">
        <v>197</v>
      </c>
      <c r="AB89" s="8" t="n">
        <f aca="true">IF($F89="","",TODAY()-$F89)</f>
        <v>193</v>
      </c>
      <c r="AC89" s="10" t="s">
        <v>442</v>
      </c>
      <c r="AD89" s="10" t="s">
        <v>439</v>
      </c>
      <c r="AE89" s="10" t="s">
        <v>438</v>
      </c>
      <c r="AF89" s="10"/>
      <c r="AG89" s="10"/>
      <c r="AH89" s="10"/>
      <c r="AI89" s="10"/>
      <c r="AJ89" s="10" t="s">
        <v>579</v>
      </c>
      <c r="AK89" s="10" t="s">
        <v>445</v>
      </c>
      <c r="AL89" s="10" t="s">
        <v>622</v>
      </c>
      <c r="AM89" s="10"/>
      <c r="AN89" s="8"/>
      <c r="AO89" s="10" t="s">
        <v>447</v>
      </c>
      <c r="AP89" s="10" t="s">
        <v>327</v>
      </c>
      <c r="AQ89" s="11" t="n">
        <v>46149</v>
      </c>
      <c r="AR89" s="13" t="s">
        <v>442</v>
      </c>
      <c r="AS89" s="13" t="s">
        <v>623</v>
      </c>
      <c r="AT89" s="13" t="s">
        <v>438</v>
      </c>
      <c r="AU89" s="13" t="s">
        <v>464</v>
      </c>
      <c r="AV89" s="13"/>
      <c r="AW89" s="13"/>
      <c r="AX89" s="13" t="s">
        <v>439</v>
      </c>
      <c r="AY89" s="7" t="s">
        <v>465</v>
      </c>
      <c r="AZ89" s="7"/>
      <c r="BA89" s="7" t="s">
        <v>34</v>
      </c>
      <c r="BB89" s="7" t="s">
        <v>624</v>
      </c>
      <c r="BC89" s="7"/>
      <c r="BD89" s="9"/>
      <c r="BE89" s="7"/>
      <c r="BF89" s="14" t="str">
        <f aca="true">IF(TRIM($A89)="Finalized","Closed",IF($BD89="","No review date set",IF($BD89&lt;TODAY(),"OVERDUE",IF($BD89-TODAY()&lt;=7,"Due within 7 days","Scheduled"))))</f>
        <v>No review date set</v>
      </c>
      <c r="BG89" s="14" t="str">
        <f aca="true">IF($K89="","",TODAY()-$K89)</f>
        <v/>
      </c>
      <c r="BH89" s="15" t="str">
        <f aca="false">IFERROR(LEFT(IF($B89="","Notes, ","")&amp;IF($K89="","Latest Date Worked, ","")&amp;IF($AY89="","Last Action, ","")&amp;IF(AND(OR(TRIM($A89)="Denied",TRIM($A89)="Rejected"),$BA89=""),"Denial Reason, ","")&amp;IF(AND(TRIM($A89)="Denied",$BB89="",TRIM($BA89)&lt;&gt;"NO DENIAL"),"Denial Code, ","")&amp;IF(AND(TRIM($A89)&lt;&gt;"Finalized",$BD89=""),"Next Review Date, ","")&amp;IF(AND(TRIM($A89)&lt;&gt;"Finalized",$BE89=""),"Next Step, ","")&amp;IF(AND(TRIM($A89)="Finalized",$AV89="",$AR89="",$AT89="",$AX89="",$AW89=""),"CPT outcome, ",""),LEN(IF($B89="","Notes, ","")&amp;IF($K89="","Latest Date Worked, ","")&amp;IF($AY89="","Last Action, ","")&amp;IF(AND(OR(TRIM($A89)="Denied",TRIM($A89)="Rejected"),$BA89=""),"Denial Reason, ","")&amp;IF(AND(TRIM($A89)="Denied",$BB89="",TRIM($BA89)&lt;&gt;"NO DENIAL"),"Denial Code, ","")&amp;IF(AND(TRIM($A89)&lt;&gt;"Finalized",$BD89=""),"Next Review Date, ","")&amp;IF(AND(TRIM($A89)&lt;&gt;"Finalized",$BE89=""),"Next Step, ","")&amp;IF(AND(TRIM($A89)="Finalized",$AV89="",$AR89="",$AT89="",$AX89="",$AW89=""),"CPT outcome, ",""))-2),"")</f>
        <v>Latest Date Worked, Next Review Date, Next Step</v>
      </c>
      <c r="BI89" s="15" t="str">
        <f aca="false">IF($BB89="","",IFERROR(INDEX('Denial Codes'!$C:$C,MATCH(LEFT($BB89,FIND(" - ",$BB89&amp;" - ")+2)&amp;"*",'Denial Codes'!$A:$A,0)),""))</f>
        <v>No authorization</v>
      </c>
      <c r="BJ89" s="15" t="str">
        <f aca="false">IF($BA89="","",IFERROR(INDEX(Lists!$B:$B,MATCH(TRIM($BA89),Lists!$A:$A,0))&amp;"",""))</f>
        <v>Check the portal for an auth; request a retro-auth or file an appeal with the auth number, then resubmit.</v>
      </c>
    </row>
    <row r="90" customFormat="false" ht="15" hidden="false" customHeight="false" outlineLevel="0" collapsed="false">
      <c r="A90" s="7" t="s">
        <v>18</v>
      </c>
      <c r="B90" s="7" t="s">
        <v>625</v>
      </c>
      <c r="C90" s="8" t="n">
        <v>559115526</v>
      </c>
      <c r="D90" s="9" t="n">
        <v>46162</v>
      </c>
      <c r="E90" s="10" t="s">
        <v>626</v>
      </c>
      <c r="F90" s="11" t="n">
        <v>46148</v>
      </c>
      <c r="G90" s="10" t="s">
        <v>627</v>
      </c>
      <c r="H90" s="10" t="s">
        <v>627</v>
      </c>
      <c r="I90" s="10" t="s">
        <v>129</v>
      </c>
      <c r="J90" s="10" t="s">
        <v>244</v>
      </c>
      <c r="K90" s="9"/>
      <c r="L90" s="12" t="n">
        <f aca="true">IF($O90="","",$O90-TODAY())</f>
        <v>-103</v>
      </c>
      <c r="M90" s="12" t="n">
        <f aca="true">IF(AND(TRIM($A90)="Finalized",$K90&lt;&gt;""),"",IF($D90="","",$D90+365-TODAY()))</f>
        <v>216</v>
      </c>
      <c r="N90" s="12" t="n">
        <f aca="true">IF(AND(TRIM($A90)="Finalized",$K90&lt;&gt;""),"",IF($D90="","",$D90+90-TODAY()))</f>
        <v>-59</v>
      </c>
      <c r="O90" s="11" t="n">
        <f aca="false">IF(AND(TRIM($A90)="Finalized",$K90&lt;&gt;""),"",DATE(2026,7,5))</f>
        <v>46208</v>
      </c>
      <c r="P90" s="10" t="s">
        <v>324</v>
      </c>
      <c r="Q90" s="10" t="s">
        <v>628</v>
      </c>
      <c r="R90" s="10" t="s">
        <v>114</v>
      </c>
      <c r="S90" s="10" t="s">
        <v>116</v>
      </c>
      <c r="T90" s="10" t="s">
        <v>165</v>
      </c>
      <c r="U90" s="10" t="s">
        <v>116</v>
      </c>
      <c r="V90" s="10" t="s">
        <v>266</v>
      </c>
      <c r="W90" s="10" t="s">
        <v>132</v>
      </c>
      <c r="X90" s="10"/>
      <c r="Y90" s="10"/>
      <c r="Z90" s="10"/>
      <c r="AA90" s="10" t="s">
        <v>197</v>
      </c>
      <c r="AB90" s="8" t="n">
        <f aca="true">IF($F90="","",TODAY()-$F90)</f>
        <v>163</v>
      </c>
      <c r="AC90" s="10" t="s">
        <v>246</v>
      </c>
      <c r="AD90" s="10"/>
      <c r="AE90" s="10"/>
      <c r="AF90" s="10"/>
      <c r="AG90" s="10"/>
      <c r="AH90" s="10"/>
      <c r="AI90" s="10"/>
      <c r="AJ90" s="10" t="s">
        <v>124</v>
      </c>
      <c r="AK90" s="10" t="s">
        <v>139</v>
      </c>
      <c r="AL90" s="10"/>
      <c r="AM90" s="10"/>
      <c r="AN90" s="8"/>
      <c r="AO90" s="10" t="s">
        <v>140</v>
      </c>
      <c r="AP90" s="10" t="s">
        <v>175</v>
      </c>
      <c r="AQ90" s="11" t="n">
        <v>46155</v>
      </c>
      <c r="AR90" s="13"/>
      <c r="AS90" s="13"/>
      <c r="AT90" s="13"/>
      <c r="AU90" s="13"/>
      <c r="AV90" s="13"/>
      <c r="AW90" s="13"/>
      <c r="AX90" s="13"/>
      <c r="AY90" s="7"/>
      <c r="AZ90" s="7"/>
      <c r="BA90" s="7" t="s">
        <v>37</v>
      </c>
      <c r="BB90" s="7"/>
      <c r="BC90" s="7"/>
      <c r="BD90" s="9"/>
      <c r="BE90" s="7" t="s">
        <v>629</v>
      </c>
      <c r="BF90" s="14" t="str">
        <f aca="true">IF(TRIM($A90)="Finalized","Closed",IF($BD90="","No review date set",IF($BD90&lt;TODAY(),"OVERDUE",IF($BD90-TODAY()&lt;=7,"Due within 7 days","Scheduled"))))</f>
        <v>No review date set</v>
      </c>
      <c r="BG90" s="14" t="str">
        <f aca="true">IF($K90="","",TODAY()-$K90)</f>
        <v/>
      </c>
      <c r="BH90" s="15" t="str">
        <f aca="false">IFERROR(LEFT(IF($B90="","Notes, ","")&amp;IF($K90="","Latest Date Worked, ","")&amp;IF($AY90="","Last Action, ","")&amp;IF(AND(OR(TRIM($A90)="Denied",TRIM($A90)="Rejected"),$BA90=""),"Denial Reason, ","")&amp;IF(AND(TRIM($A90)="Denied",$BB90="",TRIM($BA90)&lt;&gt;"NO DENIAL"),"Denial Code, ","")&amp;IF(AND(TRIM($A90)&lt;&gt;"Finalized",$BD90=""),"Next Review Date, ","")&amp;IF(AND(TRIM($A90)&lt;&gt;"Finalized",$BE90=""),"Next Step, ","")&amp;IF(AND(TRIM($A90)="Finalized",$AV90="",$AR90="",$AT90="",$AX90="",$AW90=""),"CPT outcome, ",""),LEN(IF($B90="","Notes, ","")&amp;IF($K90="","Latest Date Worked, ","")&amp;IF($AY90="","Last Action, ","")&amp;IF(AND(OR(TRIM($A90)="Denied",TRIM($A90)="Rejected"),$BA90=""),"Denial Reason, ","")&amp;IF(AND(TRIM($A90)="Denied",$BB90="",TRIM($BA90)&lt;&gt;"NO DENIAL"),"Denial Code, ","")&amp;IF(AND(TRIM($A90)&lt;&gt;"Finalized",$BD90=""),"Next Review Date, ","")&amp;IF(AND(TRIM($A90)&lt;&gt;"Finalized",$BE90=""),"Next Step, ","")&amp;IF(AND(TRIM($A90)="Finalized",$AV90="",$AR90="",$AT90="",$AX90="",$AW90=""),"CPT outcome, ",""))-2),"")</f>
        <v>Latest Date Worked, Last Action, Next Review Date</v>
      </c>
      <c r="BI90" s="15" t="str">
        <f aca="false">IF($BB90="","",IFERROR(INDEX('Denial Codes'!$C:$C,MATCH(LEFT($BB90,FIND(" - ",$BB90&amp;" - ")+2)&amp;"*",'Denial Codes'!$A:$A,0)),""))</f>
        <v/>
      </c>
      <c r="BJ90" s="15" t="str">
        <f aca="false">IF($BA90="","",IFERROR(INDEX(Lists!$B:$B,MATCH(TRIM($BA90),Lists!$A:$A,0))&amp;"",""))</f>
        <v>Check the NCCI pair; if the service was distinct, add 59/XU (or XS) and resubmit; otherwise adjust.</v>
      </c>
    </row>
    <row r="91" customFormat="false" ht="15" hidden="false" customHeight="false" outlineLevel="0" collapsed="false">
      <c r="A91" s="7" t="s">
        <v>17</v>
      </c>
      <c r="B91" s="7" t="s">
        <v>630</v>
      </c>
      <c r="C91" s="8" t="n">
        <v>572247724</v>
      </c>
      <c r="D91" s="9" t="n">
        <v>46295</v>
      </c>
      <c r="E91" s="10" t="s">
        <v>631</v>
      </c>
      <c r="F91" s="11" t="n">
        <v>46119</v>
      </c>
      <c r="G91" s="10" t="s">
        <v>163</v>
      </c>
      <c r="H91" s="10" t="s">
        <v>163</v>
      </c>
      <c r="I91" s="10" t="s">
        <v>129</v>
      </c>
      <c r="J91" s="10" t="s">
        <v>602</v>
      </c>
      <c r="K91" s="9" t="n">
        <v>46283</v>
      </c>
      <c r="L91" s="12" t="n">
        <f aca="true">IF($O91="","",$O91-TODAY())</f>
        <v>-102</v>
      </c>
      <c r="M91" s="12" t="n">
        <f aca="true">IF(AND(TRIM($A91)="Finalized",$K91&lt;&gt;""),"",IF($F91="","",$F91+90-TODAY()))</f>
        <v>-102</v>
      </c>
      <c r="N91" s="12" t="n">
        <f aca="true">IF(AND(TRIM($A91)="Finalized",$K91&lt;&gt;""),"",IF($D91="","",$D91+365-TODAY()))</f>
        <v>349</v>
      </c>
      <c r="O91" s="11" t="n">
        <f aca="false">IF(AND(TRIM($A91)="Finalized",$K91&lt;&gt;""),"",DATE(2026,7,6))</f>
        <v>46209</v>
      </c>
      <c r="P91" s="10" t="s">
        <v>165</v>
      </c>
      <c r="Q91" s="10" t="s">
        <v>166</v>
      </c>
      <c r="R91" s="10" t="s">
        <v>165</v>
      </c>
      <c r="S91" s="10" t="s">
        <v>149</v>
      </c>
      <c r="T91" s="10" t="s">
        <v>114</v>
      </c>
      <c r="U91" s="10" t="s">
        <v>116</v>
      </c>
      <c r="V91" s="10" t="s">
        <v>221</v>
      </c>
      <c r="W91" s="10" t="s">
        <v>196</v>
      </c>
      <c r="X91" s="10" t="s">
        <v>632</v>
      </c>
      <c r="Y91" s="10"/>
      <c r="Z91" s="10"/>
      <c r="AA91" s="10" t="s">
        <v>197</v>
      </c>
      <c r="AB91" s="8" t="n">
        <f aca="true">IF($F91="","",TODAY()-$F91)</f>
        <v>192</v>
      </c>
      <c r="AC91" s="10" t="s">
        <v>487</v>
      </c>
      <c r="AD91" s="10" t="s">
        <v>198</v>
      </c>
      <c r="AE91" s="10"/>
      <c r="AF91" s="10"/>
      <c r="AG91" s="10"/>
      <c r="AH91" s="10"/>
      <c r="AI91" s="10"/>
      <c r="AJ91" s="10" t="s">
        <v>633</v>
      </c>
      <c r="AK91" s="10" t="s">
        <v>267</v>
      </c>
      <c r="AL91" s="10"/>
      <c r="AM91" s="10"/>
      <c r="AN91" s="8"/>
      <c r="AO91" s="10" t="s">
        <v>201</v>
      </c>
      <c r="AP91" s="10" t="s">
        <v>202</v>
      </c>
      <c r="AQ91" s="11" t="n">
        <v>46140</v>
      </c>
      <c r="AR91" s="13"/>
      <c r="AS91" s="13"/>
      <c r="AT91" s="13"/>
      <c r="AU91" s="13"/>
      <c r="AV91" s="13"/>
      <c r="AW91" s="13"/>
      <c r="AX91" s="13" t="s">
        <v>489</v>
      </c>
      <c r="AY91" s="7" t="s">
        <v>159</v>
      </c>
      <c r="AZ91" s="7"/>
      <c r="BA91" s="7" t="s">
        <v>37</v>
      </c>
      <c r="BB91" s="7"/>
      <c r="BC91" s="7"/>
      <c r="BD91" s="9" t="n">
        <v>46313</v>
      </c>
      <c r="BE91" s="7"/>
      <c r="BF91" s="14" t="str">
        <f aca="true">IF(TRIM($A91)="Finalized","Closed",IF($BD91="","No review date set",IF($BD91&lt;TODAY(),"OVERDUE",IF($BD91-TODAY()&lt;=7,"Due within 7 days","Scheduled"))))</f>
        <v>Due within 7 days</v>
      </c>
      <c r="BG91" s="14" t="n">
        <f aca="true">IF($K91="","",TODAY()-$K91)</f>
        <v>28</v>
      </c>
      <c r="BH91" s="15" t="str">
        <f aca="false">IFERROR(LEFT(IF($B91="","Notes, ","")&amp;IF($K91="","Latest Date Worked, ","")&amp;IF($AY91="","Last Action, ","")&amp;IF(AND(OR(TRIM($A91)="Denied",TRIM($A91)="Rejected"),$BA91=""),"Denial Reason, ","")&amp;IF(AND(TRIM($A91)="Denied",$BB91="",TRIM($BA91)&lt;&gt;"NO DENIAL"),"Denial Code, ","")&amp;IF(AND(TRIM($A91)&lt;&gt;"Finalized",$BD91=""),"Next Review Date, ","")&amp;IF(AND(TRIM($A91)&lt;&gt;"Finalized",$BE91=""),"Next Step, ","")&amp;IF(AND(TRIM($A91)="Finalized",$AV91="",$AR91="",$AT91="",$AX91="",$AW91=""),"CPT outcome, ",""),LEN(IF($B91="","Notes, ","")&amp;IF($K91="","Latest Date Worked, ","")&amp;IF($AY91="","Last Action, ","")&amp;IF(AND(OR(TRIM($A91)="Denied",TRIM($A91)="Rejected"),$BA91=""),"Denial Reason, ","")&amp;IF(AND(TRIM($A91)="Denied",$BB91="",TRIM($BA91)&lt;&gt;"NO DENIAL"),"Denial Code, ","")&amp;IF(AND(TRIM($A91)&lt;&gt;"Finalized",$BD91=""),"Next Review Date, ","")&amp;IF(AND(TRIM($A91)&lt;&gt;"Finalized",$BE91=""),"Next Step, ","")&amp;IF(AND(TRIM($A91)="Finalized",$AV91="",$AR91="",$AT91="",$AX91="",$AW91=""),"CPT outcome, ",""))-2),"")</f>
        <v>Denial Code, Next Step</v>
      </c>
      <c r="BI91" s="15" t="str">
        <f aca="false">IF($BB91="","",IFERROR(INDEX('Denial Codes'!$C:$C,MATCH(LEFT($BB91,FIND(" - ",$BB91&amp;" - ")+2)&amp;"*",'Denial Codes'!$A:$A,0)),""))</f>
        <v/>
      </c>
      <c r="BJ91" s="15" t="str">
        <f aca="false">IF($BA91="","",IFERROR(INDEX(Lists!$B:$B,MATCH(TRIM($BA91),Lists!$A:$A,0))&amp;"",""))</f>
        <v>Check the NCCI pair; if the service was distinct, add 59/XU (or XS) and resubmit; otherwise adjust.</v>
      </c>
    </row>
    <row r="92" customFormat="false" ht="15" hidden="false" customHeight="false" outlineLevel="0" collapsed="false">
      <c r="A92" s="7" t="s">
        <v>17</v>
      </c>
      <c r="B92" s="7" t="s">
        <v>634</v>
      </c>
      <c r="C92" s="8" t="n">
        <v>558308311</v>
      </c>
      <c r="D92" s="9" t="n">
        <v>46184</v>
      </c>
      <c r="E92" s="10" t="s">
        <v>353</v>
      </c>
      <c r="F92" s="11" t="n">
        <v>46121</v>
      </c>
      <c r="G92" s="10" t="s">
        <v>180</v>
      </c>
      <c r="H92" s="10" t="s">
        <v>180</v>
      </c>
      <c r="I92" s="10" t="s">
        <v>129</v>
      </c>
      <c r="J92" s="10" t="s">
        <v>194</v>
      </c>
      <c r="K92" s="9" t="n">
        <v>46311</v>
      </c>
      <c r="L92" s="12" t="n">
        <f aca="true">IF($O92="","",$O92-TODAY())</f>
        <v>-100</v>
      </c>
      <c r="M92" s="12" t="n">
        <f aca="true">IF(AND(TRIM($A92)="Finalized",$K92&lt;&gt;""),"",IF($D92="","",$D92+180-TODAY()))</f>
        <v>53</v>
      </c>
      <c r="N92" s="12" t="n">
        <f aca="true">IF(AND(TRIM($A92)="Finalized",$K92&lt;&gt;""),"",IF($D92="","",$D92+365-TODAY()))</f>
        <v>238</v>
      </c>
      <c r="O92" s="11" t="n">
        <f aca="false">IF(AND(TRIM($A92)="Finalized",$K92&lt;&gt;""),"",DATE(2026,7,8))</f>
        <v>46211</v>
      </c>
      <c r="P92" s="10" t="s">
        <v>165</v>
      </c>
      <c r="Q92" s="10" t="s">
        <v>182</v>
      </c>
      <c r="R92" s="10" t="s">
        <v>147</v>
      </c>
      <c r="S92" s="10" t="s">
        <v>116</v>
      </c>
      <c r="T92" s="10" t="s">
        <v>114</v>
      </c>
      <c r="U92" s="10" t="s">
        <v>116</v>
      </c>
      <c r="V92" s="10" t="s">
        <v>221</v>
      </c>
      <c r="W92" s="10" t="s">
        <v>196</v>
      </c>
      <c r="X92" s="10"/>
      <c r="Y92" s="10"/>
      <c r="Z92" s="10"/>
      <c r="AA92" s="10" t="s">
        <v>197</v>
      </c>
      <c r="AB92" s="8" t="n">
        <f aca="true">IF($F92="","",TODAY()-$F92)</f>
        <v>190</v>
      </c>
      <c r="AC92" s="10" t="s">
        <v>198</v>
      </c>
      <c r="AD92" s="10"/>
      <c r="AE92" s="10"/>
      <c r="AF92" s="10"/>
      <c r="AG92" s="10"/>
      <c r="AH92" s="10"/>
      <c r="AI92" s="10"/>
      <c r="AJ92" s="10" t="s">
        <v>415</v>
      </c>
      <c r="AK92" s="10" t="s">
        <v>635</v>
      </c>
      <c r="AL92" s="10"/>
      <c r="AM92" s="10"/>
      <c r="AN92" s="8"/>
      <c r="AO92" s="10" t="s">
        <v>213</v>
      </c>
      <c r="AP92" s="10" t="s">
        <v>224</v>
      </c>
      <c r="AQ92" s="11" t="n">
        <v>46148</v>
      </c>
      <c r="AR92" s="13"/>
      <c r="AS92" s="13"/>
      <c r="AT92" s="13"/>
      <c r="AU92" s="13"/>
      <c r="AV92" s="13"/>
      <c r="AW92" s="13"/>
      <c r="AX92" s="13" t="n">
        <v>93971</v>
      </c>
      <c r="AY92" s="7" t="s">
        <v>159</v>
      </c>
      <c r="AZ92" s="7" t="s">
        <v>159</v>
      </c>
      <c r="BA92" s="7" t="s">
        <v>40</v>
      </c>
      <c r="BB92" s="7" t="s">
        <v>416</v>
      </c>
      <c r="BC92" s="7"/>
      <c r="BD92" s="9" t="n">
        <v>46342</v>
      </c>
      <c r="BE92" s="7"/>
      <c r="BF92" s="14" t="str">
        <f aca="true">IF(TRIM($A92)="Finalized","Closed",IF($BD92="","No review date set",IF($BD92&lt;TODAY(),"OVERDUE",IF($BD92-TODAY()&lt;=7,"Due within 7 days","Scheduled"))))</f>
        <v>Scheduled</v>
      </c>
      <c r="BG92" s="14" t="n">
        <f aca="true">IF($K92="","",TODAY()-$K92)</f>
        <v>0</v>
      </c>
      <c r="BH92" s="15" t="str">
        <f aca="false">IFERROR(LEFT(IF($B92="","Notes, ","")&amp;IF($K92="","Latest Date Worked, ","")&amp;IF($AY92="","Last Action, ","")&amp;IF(AND(OR(TRIM($A92)="Denied",TRIM($A92)="Rejected"),$BA92=""),"Denial Reason, ","")&amp;IF(AND(TRIM($A92)="Denied",$BB92="",TRIM($BA92)&lt;&gt;"NO DENIAL"),"Denial Code, ","")&amp;IF(AND(TRIM($A92)&lt;&gt;"Finalized",$BD92=""),"Next Review Date, ","")&amp;IF(AND(TRIM($A92)&lt;&gt;"Finalized",$BE92=""),"Next Step, ","")&amp;IF(AND(TRIM($A92)="Finalized",$AV92="",$AR92="",$AT92="",$AX92="",$AW92=""),"CPT outcome, ",""),LEN(IF($B92="","Notes, ","")&amp;IF($K92="","Latest Date Worked, ","")&amp;IF($AY92="","Last Action, ","")&amp;IF(AND(OR(TRIM($A92)="Denied",TRIM($A92)="Rejected"),$BA92=""),"Denial Reason, ","")&amp;IF(AND(TRIM($A92)="Denied",$BB92="",TRIM($BA92)&lt;&gt;"NO DENIAL"),"Denial Code, ","")&amp;IF(AND(TRIM($A92)&lt;&gt;"Finalized",$BD92=""),"Next Review Date, ","")&amp;IF(AND(TRIM($A92)&lt;&gt;"Finalized",$BE92=""),"Next Step, ","")&amp;IF(AND(TRIM($A92)="Finalized",$AV92="",$AR92="",$AT92="",$AX92="",$AW92=""),"CPT outcome, ",""))-2),"")</f>
        <v>Next Step</v>
      </c>
      <c r="BI92" s="15" t="str">
        <f aca="false">IF($BB92="","",IFERROR(INDEX('Denial Codes'!$C:$C,MATCH(LEFT($BB92,FIND(" - ",$BB92&amp;" - ")+2)&amp;"*",'Denial Codes'!$A:$A,0)),""))</f>
        <v>Medical necessity / frequency</v>
      </c>
      <c r="BJ92" s="15" t="str">
        <f aca="false">IF($BA92="","",IFERROR(INDEX(Lists!$B:$B,MATCH(TRIM($BA92),Lists!$A:$A,0))&amp;"",""))</f>
        <v>Fix the code, units, charge or other claim data and resubmit as a corrected claim.</v>
      </c>
    </row>
    <row r="93" customFormat="false" ht="15" hidden="false" customHeight="false" outlineLevel="0" collapsed="false">
      <c r="A93" s="7" t="s">
        <v>17</v>
      </c>
      <c r="B93" s="7" t="s">
        <v>203</v>
      </c>
      <c r="C93" s="8" t="n">
        <v>558638750</v>
      </c>
      <c r="D93" s="9" t="n">
        <v>46224</v>
      </c>
      <c r="E93" s="10" t="s">
        <v>636</v>
      </c>
      <c r="F93" s="11" t="n">
        <v>46121</v>
      </c>
      <c r="G93" s="10" t="s">
        <v>208</v>
      </c>
      <c r="H93" s="10" t="s">
        <v>208</v>
      </c>
      <c r="I93" s="10" t="s">
        <v>637</v>
      </c>
      <c r="J93" s="10" t="s">
        <v>638</v>
      </c>
      <c r="K93" s="9" t="n">
        <v>46278</v>
      </c>
      <c r="L93" s="12" t="n">
        <f aca="true">IF($O93="","",$O93-TODAY())</f>
        <v>-100</v>
      </c>
      <c r="M93" s="12" t="n">
        <f aca="true">IF(AND(TRIM($A93)="Finalized",$K93&lt;&gt;""),"",IF($D93="","",$D93+180-TODAY()))</f>
        <v>93</v>
      </c>
      <c r="N93" s="12" t="n">
        <f aca="true">IF(AND(TRIM($A93)="Finalized",$K93&lt;&gt;""),"",IF($D93="","",$D93+365-TODAY()))</f>
        <v>278</v>
      </c>
      <c r="O93" s="11" t="n">
        <f aca="false">IF(AND(TRIM($A93)="Finalized",$K93&lt;&gt;""),"",DATE(2026,7,8))</f>
        <v>46211</v>
      </c>
      <c r="P93" s="10" t="s">
        <v>165</v>
      </c>
      <c r="Q93" s="10" t="s">
        <v>210</v>
      </c>
      <c r="R93" s="10" t="s">
        <v>147</v>
      </c>
      <c r="S93" s="10" t="s">
        <v>116</v>
      </c>
      <c r="T93" s="10" t="s">
        <v>114</v>
      </c>
      <c r="U93" s="10" t="s">
        <v>116</v>
      </c>
      <c r="V93" s="10" t="s">
        <v>221</v>
      </c>
      <c r="W93" s="10" t="s">
        <v>196</v>
      </c>
      <c r="X93" s="10"/>
      <c r="Y93" s="10"/>
      <c r="Z93" s="10"/>
      <c r="AA93" s="10" t="s">
        <v>197</v>
      </c>
      <c r="AB93" s="8" t="n">
        <f aca="true">IF($F93="","",TODAY()-$F93)</f>
        <v>190</v>
      </c>
      <c r="AC93" s="10" t="s">
        <v>198</v>
      </c>
      <c r="AD93" s="10" t="s">
        <v>222</v>
      </c>
      <c r="AE93" s="10" t="s">
        <v>487</v>
      </c>
      <c r="AF93" s="10"/>
      <c r="AG93" s="10"/>
      <c r="AH93" s="10"/>
      <c r="AI93" s="10"/>
      <c r="AJ93" s="10" t="s">
        <v>223</v>
      </c>
      <c r="AK93" s="10"/>
      <c r="AL93" s="10"/>
      <c r="AM93" s="10"/>
      <c r="AN93" s="8"/>
      <c r="AO93" s="10" t="s">
        <v>213</v>
      </c>
      <c r="AP93" s="10" t="s">
        <v>224</v>
      </c>
      <c r="AQ93" s="11" t="n">
        <v>46150</v>
      </c>
      <c r="AR93" s="13"/>
      <c r="AS93" s="13"/>
      <c r="AT93" s="13"/>
      <c r="AU93" s="13"/>
      <c r="AV93" s="13"/>
      <c r="AW93" s="13"/>
      <c r="AX93" s="13"/>
      <c r="AY93" s="7" t="s">
        <v>203</v>
      </c>
      <c r="AZ93" s="7"/>
      <c r="BA93" s="7" t="s">
        <v>36</v>
      </c>
      <c r="BB93" s="7" t="s">
        <v>204</v>
      </c>
      <c r="BC93" s="7" t="s">
        <v>639</v>
      </c>
      <c r="BD93" s="9" t="n">
        <v>46308</v>
      </c>
      <c r="BE93" s="7"/>
      <c r="BF93" s="14" t="str">
        <f aca="true">IF(TRIM($A93)="Finalized","Closed",IF($BD93="","No review date set",IF($BD93&lt;TODAY(),"OVERDUE",IF($BD93-TODAY()&lt;=7,"Due within 7 days","Scheduled"))))</f>
        <v>OVERDUE</v>
      </c>
      <c r="BG93" s="14" t="n">
        <f aca="true">IF($K93="","",TODAY()-$K93)</f>
        <v>33</v>
      </c>
      <c r="BH93" s="15" t="str">
        <f aca="false">IFERROR(LEFT(IF($B93="","Notes, ","")&amp;IF($K93="","Latest Date Worked, ","")&amp;IF($AY93="","Last Action, ","")&amp;IF(AND(OR(TRIM($A93)="Denied",TRIM($A93)="Rejected"),$BA93=""),"Denial Reason, ","")&amp;IF(AND(TRIM($A93)="Denied",$BB93="",TRIM($BA93)&lt;&gt;"NO DENIAL"),"Denial Code, ","")&amp;IF(AND(TRIM($A93)&lt;&gt;"Finalized",$BD93=""),"Next Review Date, ","")&amp;IF(AND(TRIM($A93)&lt;&gt;"Finalized",$BE93=""),"Next Step, ","")&amp;IF(AND(TRIM($A93)="Finalized",$AV93="",$AR93="",$AT93="",$AX93="",$AW93=""),"CPT outcome, ",""),LEN(IF($B93="","Notes, ","")&amp;IF($K93="","Latest Date Worked, ","")&amp;IF($AY93="","Last Action, ","")&amp;IF(AND(OR(TRIM($A93)="Denied",TRIM($A93)="Rejected"),$BA93=""),"Denial Reason, ","")&amp;IF(AND(TRIM($A93)="Denied",$BB93="",TRIM($BA93)&lt;&gt;"NO DENIAL"),"Denial Code, ","")&amp;IF(AND(TRIM($A93)&lt;&gt;"Finalized",$BD93=""),"Next Review Date, ","")&amp;IF(AND(TRIM($A93)&lt;&gt;"Finalized",$BE93=""),"Next Step, ","")&amp;IF(AND(TRIM($A93)="Finalized",$AV93="",$AR93="",$AT93="",$AX93="",$AW93=""),"CPT outcome, ",""))-2),"")</f>
        <v>Next Step</v>
      </c>
      <c r="BI93" s="15" t="str">
        <f aca="false">IF($BB93="","",IFERROR(INDEX('Denial Codes'!$C:$C,MATCH(LEFT($BB93,FIND(" - ",$BB93&amp;" - ")+2)&amp;"*",'Denial Codes'!$A:$A,0)),""))</f>
        <v>Medical records needed</v>
      </c>
      <c r="BJ93" s="15" t="str">
        <f aca="false">IF($BA93="","",IFERROR(INDEX(Lists!$B:$B,MATCH(TRIM($BA93),Lists!$A:$A,0))&amp;"",""))</f>
        <v>Upload the MR on the payer portal, note the PIQ/reference number and set a review date.</v>
      </c>
    </row>
    <row r="94" customFormat="false" ht="15" hidden="false" customHeight="false" outlineLevel="0" collapsed="false">
      <c r="A94" s="7" t="s">
        <v>18</v>
      </c>
      <c r="B94" s="7" t="s">
        <v>640</v>
      </c>
      <c r="C94" s="8" t="n">
        <v>556770603</v>
      </c>
      <c r="D94" s="9" t="n">
        <v>46141</v>
      </c>
      <c r="E94" s="10" t="s">
        <v>641</v>
      </c>
      <c r="F94" s="11" t="n">
        <v>46121</v>
      </c>
      <c r="G94" s="10" t="s">
        <v>208</v>
      </c>
      <c r="H94" s="10" t="s">
        <v>208</v>
      </c>
      <c r="I94" s="10" t="s">
        <v>129</v>
      </c>
      <c r="J94" s="10" t="s">
        <v>272</v>
      </c>
      <c r="K94" s="9"/>
      <c r="L94" s="12" t="n">
        <f aca="true">IF($O94="","",$O94-TODAY())</f>
        <v>-100</v>
      </c>
      <c r="M94" s="12" t="n">
        <f aca="true">IF(AND(TRIM($A94)="Finalized",$K94&lt;&gt;""),"",IF($D94="","",$D94+180-TODAY()))</f>
        <v>10</v>
      </c>
      <c r="N94" s="12" t="n">
        <f aca="true">IF(AND(TRIM($A94)="Finalized",$K94&lt;&gt;""),"",IF($D94="","",$D94+365-TODAY()))</f>
        <v>195</v>
      </c>
      <c r="O94" s="11" t="n">
        <f aca="false">IF(AND(TRIM($A94)="Finalized",$K94&lt;&gt;""),"",DATE(2026,7,8))</f>
        <v>46211</v>
      </c>
      <c r="P94" s="10" t="s">
        <v>165</v>
      </c>
      <c r="Q94" s="10" t="s">
        <v>210</v>
      </c>
      <c r="R94" s="10" t="s">
        <v>147</v>
      </c>
      <c r="S94" s="10" t="s">
        <v>116</v>
      </c>
      <c r="T94" s="10" t="s">
        <v>114</v>
      </c>
      <c r="U94" s="10" t="s">
        <v>116</v>
      </c>
      <c r="V94" s="10" t="s">
        <v>221</v>
      </c>
      <c r="W94" s="10" t="s">
        <v>119</v>
      </c>
      <c r="X94" s="10" t="s">
        <v>120</v>
      </c>
      <c r="Y94" s="10"/>
      <c r="Z94" s="10"/>
      <c r="AA94" s="10" t="s">
        <v>121</v>
      </c>
      <c r="AB94" s="8" t="n">
        <f aca="true">IF($F94="","",TODAY()-$F94)</f>
        <v>190</v>
      </c>
      <c r="AC94" s="10" t="s">
        <v>273</v>
      </c>
      <c r="AD94" s="10"/>
      <c r="AE94" s="10"/>
      <c r="AF94" s="10"/>
      <c r="AG94" s="10"/>
      <c r="AH94" s="10"/>
      <c r="AI94" s="10"/>
      <c r="AJ94" s="10" t="s">
        <v>123</v>
      </c>
      <c r="AK94" s="10" t="s">
        <v>642</v>
      </c>
      <c r="AL94" s="10"/>
      <c r="AM94" s="10"/>
      <c r="AN94" s="8"/>
      <c r="AO94" s="10" t="s">
        <v>643</v>
      </c>
      <c r="AP94" s="10" t="s">
        <v>188</v>
      </c>
      <c r="AQ94" s="11" t="n">
        <v>46133</v>
      </c>
      <c r="AR94" s="13"/>
      <c r="AS94" s="13"/>
      <c r="AT94" s="13"/>
      <c r="AU94" s="13"/>
      <c r="AV94" s="13"/>
      <c r="AW94" s="13"/>
      <c r="AX94" s="13" t="s">
        <v>273</v>
      </c>
      <c r="AY94" s="7"/>
      <c r="AZ94" s="7"/>
      <c r="BA94" s="7" t="s">
        <v>44</v>
      </c>
      <c r="BB94" s="7"/>
      <c r="BC94" s="7"/>
      <c r="BD94" s="9"/>
      <c r="BE94" s="7" t="s">
        <v>644</v>
      </c>
      <c r="BF94" s="14" t="str">
        <f aca="true">IF(TRIM($A94)="Finalized","Closed",IF($BD94="","No review date set",IF($BD94&lt;TODAY(),"OVERDUE",IF($BD94-TODAY()&lt;=7,"Due within 7 days","Scheduled"))))</f>
        <v>No review date set</v>
      </c>
      <c r="BG94" s="14" t="str">
        <f aca="true">IF($K94="","",TODAY()-$K94)</f>
        <v/>
      </c>
      <c r="BH94" s="15" t="str">
        <f aca="false">IFERROR(LEFT(IF($B94="","Notes, ","")&amp;IF($K94="","Latest Date Worked, ","")&amp;IF($AY94="","Last Action, ","")&amp;IF(AND(OR(TRIM($A94)="Denied",TRIM($A94)="Rejected"),$BA94=""),"Denial Reason, ","")&amp;IF(AND(TRIM($A94)="Denied",$BB94="",TRIM($BA94)&lt;&gt;"NO DENIAL"),"Denial Code, ","")&amp;IF(AND(TRIM($A94)&lt;&gt;"Finalized",$BD94=""),"Next Review Date, ","")&amp;IF(AND(TRIM($A94)&lt;&gt;"Finalized",$BE94=""),"Next Step, ","")&amp;IF(AND(TRIM($A94)="Finalized",$AV94="",$AR94="",$AT94="",$AX94="",$AW94=""),"CPT outcome, ",""),LEN(IF($B94="","Notes, ","")&amp;IF($K94="","Latest Date Worked, ","")&amp;IF($AY94="","Last Action, ","")&amp;IF(AND(OR(TRIM($A94)="Denied",TRIM($A94)="Rejected"),$BA94=""),"Denial Reason, ","")&amp;IF(AND(TRIM($A94)="Denied",$BB94="",TRIM($BA94)&lt;&gt;"NO DENIAL"),"Denial Code, ","")&amp;IF(AND(TRIM($A94)&lt;&gt;"Finalized",$BD94=""),"Next Review Date, ","")&amp;IF(AND(TRIM($A94)&lt;&gt;"Finalized",$BE94=""),"Next Step, ","")&amp;IF(AND(TRIM($A94)="Finalized",$AV94="",$AR94="",$AT94="",$AX94="",$AW94=""),"CPT outcome, ",""))-2),"")</f>
        <v>Latest Date Worked, Last Action, Next Review Date</v>
      </c>
      <c r="BI94" s="15" t="str">
        <f aca="false">IF($BB94="","",IFERROR(INDEX('Denial Codes'!$C:$C,MATCH(LEFT($BB94,FIND(" - ",$BB94&amp;" - ")+2)&amp;"*",'Denial Codes'!$A:$A,0)),""))</f>
        <v/>
      </c>
      <c r="BJ94" s="15" t="str">
        <f aca="false">IF($BA94="","",IFERROR(INDEX(Lists!$B:$B,MATCH(TRIM($BA94),Lists!$A:$A,0))&amp;"",""))</f>
        <v>Bill the correct payer, delegated vendor or capitated group/IPA (e.g. Optum Behavioral, Preferred Homecare).</v>
      </c>
    </row>
    <row r="95" customFormat="false" ht="15" hidden="false" customHeight="false" outlineLevel="0" collapsed="false">
      <c r="A95" s="7" t="s">
        <v>18</v>
      </c>
      <c r="B95" s="7" t="s">
        <v>640</v>
      </c>
      <c r="C95" s="8" t="n">
        <v>556772233</v>
      </c>
      <c r="D95" s="9" t="n">
        <v>46141</v>
      </c>
      <c r="E95" s="10" t="s">
        <v>645</v>
      </c>
      <c r="F95" s="11" t="n">
        <v>46122</v>
      </c>
      <c r="G95" s="10" t="s">
        <v>208</v>
      </c>
      <c r="H95" s="10" t="s">
        <v>208</v>
      </c>
      <c r="I95" s="10" t="s">
        <v>145</v>
      </c>
      <c r="J95" s="10" t="s">
        <v>646</v>
      </c>
      <c r="K95" s="9"/>
      <c r="L95" s="12" t="n">
        <f aca="true">IF($O95="","",$O95-TODAY())</f>
        <v>-99</v>
      </c>
      <c r="M95" s="12" t="n">
        <f aca="true">IF(AND(TRIM($A95)="Finalized",$K95&lt;&gt;""),"",IF($D95="","",$D95+180-TODAY()))</f>
        <v>10</v>
      </c>
      <c r="N95" s="12" t="n">
        <f aca="true">IF(AND(TRIM($A95)="Finalized",$K95&lt;&gt;""),"",IF($D95="","",$D95+365-TODAY()))</f>
        <v>195</v>
      </c>
      <c r="O95" s="11" t="n">
        <f aca="false">IF(AND(TRIM($A95)="Finalized",$K95&lt;&gt;""),"",DATE(2026,7,9))</f>
        <v>46212</v>
      </c>
      <c r="P95" s="10" t="s">
        <v>165</v>
      </c>
      <c r="Q95" s="10" t="s">
        <v>210</v>
      </c>
      <c r="R95" s="10" t="s">
        <v>147</v>
      </c>
      <c r="S95" s="10" t="s">
        <v>116</v>
      </c>
      <c r="T95" s="10" t="s">
        <v>114</v>
      </c>
      <c r="U95" s="10" t="s">
        <v>116</v>
      </c>
      <c r="V95" s="10" t="s">
        <v>221</v>
      </c>
      <c r="W95" s="10" t="s">
        <v>119</v>
      </c>
      <c r="X95" s="10" t="s">
        <v>229</v>
      </c>
      <c r="Y95" s="10"/>
      <c r="Z95" s="10"/>
      <c r="AA95" s="10" t="s">
        <v>230</v>
      </c>
      <c r="AB95" s="8" t="n">
        <f aca="true">IF($F95="","",TODAY()-$F95)</f>
        <v>189</v>
      </c>
      <c r="AC95" s="10" t="s">
        <v>273</v>
      </c>
      <c r="AD95" s="10"/>
      <c r="AE95" s="10"/>
      <c r="AF95" s="10"/>
      <c r="AG95" s="10"/>
      <c r="AH95" s="10"/>
      <c r="AI95" s="10"/>
      <c r="AJ95" s="10" t="s">
        <v>123</v>
      </c>
      <c r="AK95" s="10"/>
      <c r="AL95" s="10"/>
      <c r="AM95" s="10"/>
      <c r="AN95" s="8"/>
      <c r="AO95" s="10" t="s">
        <v>569</v>
      </c>
      <c r="AP95" s="10" t="s">
        <v>188</v>
      </c>
      <c r="AQ95" s="11" t="n">
        <v>46133</v>
      </c>
      <c r="AR95" s="13"/>
      <c r="AS95" s="13"/>
      <c r="AT95" s="13"/>
      <c r="AU95" s="13"/>
      <c r="AV95" s="13"/>
      <c r="AW95" s="13"/>
      <c r="AX95" s="13" t="s">
        <v>273</v>
      </c>
      <c r="AY95" s="7"/>
      <c r="AZ95" s="7"/>
      <c r="BA95" s="7" t="s">
        <v>44</v>
      </c>
      <c r="BB95" s="7"/>
      <c r="BC95" s="7"/>
      <c r="BD95" s="9"/>
      <c r="BE95" s="7" t="s">
        <v>644</v>
      </c>
      <c r="BF95" s="14" t="str">
        <f aca="true">IF(TRIM($A95)="Finalized","Closed",IF($BD95="","No review date set",IF($BD95&lt;TODAY(),"OVERDUE",IF($BD95-TODAY()&lt;=7,"Due within 7 days","Scheduled"))))</f>
        <v>No review date set</v>
      </c>
      <c r="BG95" s="14" t="str">
        <f aca="true">IF($K95="","",TODAY()-$K95)</f>
        <v/>
      </c>
      <c r="BH95" s="15" t="str">
        <f aca="false">IFERROR(LEFT(IF($B95="","Notes, ","")&amp;IF($K95="","Latest Date Worked, ","")&amp;IF($AY95="","Last Action, ","")&amp;IF(AND(OR(TRIM($A95)="Denied",TRIM($A95)="Rejected"),$BA95=""),"Denial Reason, ","")&amp;IF(AND(TRIM($A95)="Denied",$BB95="",TRIM($BA95)&lt;&gt;"NO DENIAL"),"Denial Code, ","")&amp;IF(AND(TRIM($A95)&lt;&gt;"Finalized",$BD95=""),"Next Review Date, ","")&amp;IF(AND(TRIM($A95)&lt;&gt;"Finalized",$BE95=""),"Next Step, ","")&amp;IF(AND(TRIM($A95)="Finalized",$AV95="",$AR95="",$AT95="",$AX95="",$AW95=""),"CPT outcome, ",""),LEN(IF($B95="","Notes, ","")&amp;IF($K95="","Latest Date Worked, ","")&amp;IF($AY95="","Last Action, ","")&amp;IF(AND(OR(TRIM($A95)="Denied",TRIM($A95)="Rejected"),$BA95=""),"Denial Reason, ","")&amp;IF(AND(TRIM($A95)="Denied",$BB95="",TRIM($BA95)&lt;&gt;"NO DENIAL"),"Denial Code, ","")&amp;IF(AND(TRIM($A95)&lt;&gt;"Finalized",$BD95=""),"Next Review Date, ","")&amp;IF(AND(TRIM($A95)&lt;&gt;"Finalized",$BE95=""),"Next Step, ","")&amp;IF(AND(TRIM($A95)="Finalized",$AV95="",$AR95="",$AT95="",$AX95="",$AW95=""),"CPT outcome, ",""))-2),"")</f>
        <v>Latest Date Worked, Last Action, Next Review Date</v>
      </c>
      <c r="BI95" s="15" t="str">
        <f aca="false">IF($BB95="","",IFERROR(INDEX('Denial Codes'!$C:$C,MATCH(LEFT($BB95,FIND(" - ",$BB95&amp;" - ")+2)&amp;"*",'Denial Codes'!$A:$A,0)),""))</f>
        <v/>
      </c>
      <c r="BJ95" s="15" t="str">
        <f aca="false">IF($BA95="","",IFERROR(INDEX(Lists!$B:$B,MATCH(TRIM($BA95),Lists!$A:$A,0))&amp;"",""))</f>
        <v>Bill the correct payer, delegated vendor or capitated group/IPA (e.g. Optum Behavioral, Preferred Homecare).</v>
      </c>
    </row>
    <row r="96" customFormat="false" ht="15" hidden="false" customHeight="false" outlineLevel="0" collapsed="false">
      <c r="A96" s="7" t="s">
        <v>17</v>
      </c>
      <c r="B96" s="7" t="s">
        <v>647</v>
      </c>
      <c r="C96" s="8" t="n">
        <v>559115746</v>
      </c>
      <c r="D96" s="9" t="n">
        <v>46162</v>
      </c>
      <c r="E96" s="10" t="s">
        <v>626</v>
      </c>
      <c r="F96" s="11" t="n">
        <v>46153</v>
      </c>
      <c r="G96" s="10" t="s">
        <v>627</v>
      </c>
      <c r="H96" s="10" t="s">
        <v>627</v>
      </c>
      <c r="I96" s="10" t="s">
        <v>129</v>
      </c>
      <c r="J96" s="10" t="s">
        <v>261</v>
      </c>
      <c r="K96" s="9" t="n">
        <v>46255</v>
      </c>
      <c r="L96" s="12" t="n">
        <f aca="true">IF($O96="","",$O96-TODAY())</f>
        <v>-98</v>
      </c>
      <c r="M96" s="12" t="n">
        <f aca="true">IF(AND(TRIM($A96)="Finalized",$K96&lt;&gt;""),"",IF($D96="","",$D96+365-TODAY()))</f>
        <v>216</v>
      </c>
      <c r="N96" s="12" t="n">
        <f aca="true">IF(AND(TRIM($A96)="Finalized",$K96&lt;&gt;""),"",IF($D96="","",$D96+90-TODAY()))</f>
        <v>-59</v>
      </c>
      <c r="O96" s="11" t="n">
        <f aca="false">IF(AND(TRIM($A96)="Finalized",$K96&lt;&gt;""),"",DATE(2026,7,10))</f>
        <v>46213</v>
      </c>
      <c r="P96" s="10" t="s">
        <v>324</v>
      </c>
      <c r="Q96" s="10" t="s">
        <v>628</v>
      </c>
      <c r="R96" s="10" t="s">
        <v>114</v>
      </c>
      <c r="S96" s="10" t="s">
        <v>116</v>
      </c>
      <c r="T96" s="10" t="s">
        <v>165</v>
      </c>
      <c r="U96" s="10" t="s">
        <v>116</v>
      </c>
      <c r="V96" s="10" t="s">
        <v>266</v>
      </c>
      <c r="W96" s="10" t="s">
        <v>119</v>
      </c>
      <c r="X96" s="10" t="s">
        <v>120</v>
      </c>
      <c r="Y96" s="10"/>
      <c r="Z96" s="10"/>
      <c r="AA96" s="10" t="s">
        <v>230</v>
      </c>
      <c r="AB96" s="8" t="n">
        <f aca="true">IF($F96="","",TODAY()-$F96)</f>
        <v>158</v>
      </c>
      <c r="AC96" s="10" t="s">
        <v>122</v>
      </c>
      <c r="AD96" s="10"/>
      <c r="AE96" s="10"/>
      <c r="AF96" s="10"/>
      <c r="AG96" s="10"/>
      <c r="AH96" s="10"/>
      <c r="AI96" s="10"/>
      <c r="AJ96" s="10" t="s">
        <v>123</v>
      </c>
      <c r="AK96" s="10"/>
      <c r="AL96" s="10"/>
      <c r="AM96" s="10"/>
      <c r="AN96" s="8"/>
      <c r="AO96" s="10" t="s">
        <v>262</v>
      </c>
      <c r="AP96" s="10" t="s">
        <v>648</v>
      </c>
      <c r="AQ96" s="11" t="n">
        <v>46155</v>
      </c>
      <c r="AR96" s="13"/>
      <c r="AS96" s="13"/>
      <c r="AT96" s="13"/>
      <c r="AU96" s="13"/>
      <c r="AV96" s="13"/>
      <c r="AW96" s="13"/>
      <c r="AX96" s="13"/>
      <c r="AY96" s="7" t="s">
        <v>411</v>
      </c>
      <c r="AZ96" s="7" t="s">
        <v>328</v>
      </c>
      <c r="BA96" s="7" t="s">
        <v>37</v>
      </c>
      <c r="BB96" s="7"/>
      <c r="BC96" s="7" t="s">
        <v>649</v>
      </c>
      <c r="BD96" s="9" t="n">
        <v>46286</v>
      </c>
      <c r="BE96" s="7"/>
      <c r="BF96" s="14" t="str">
        <f aca="true">IF(TRIM($A96)="Finalized","Closed",IF($BD96="","No review date set",IF($BD96&lt;TODAY(),"OVERDUE",IF($BD96-TODAY()&lt;=7,"Due within 7 days","Scheduled"))))</f>
        <v>OVERDUE</v>
      </c>
      <c r="BG96" s="14" t="n">
        <f aca="true">IF($K96="","",TODAY()-$K96)</f>
        <v>56</v>
      </c>
      <c r="BH96" s="15" t="str">
        <f aca="false">IFERROR(LEFT(IF($B96="","Notes, ","")&amp;IF($K96="","Latest Date Worked, ","")&amp;IF($AY96="","Last Action, ","")&amp;IF(AND(OR(TRIM($A96)="Denied",TRIM($A96)="Rejected"),$BA96=""),"Denial Reason, ","")&amp;IF(AND(TRIM($A96)="Denied",$BB96="",TRIM($BA96)&lt;&gt;"NO DENIAL"),"Denial Code, ","")&amp;IF(AND(TRIM($A96)&lt;&gt;"Finalized",$BD96=""),"Next Review Date, ","")&amp;IF(AND(TRIM($A96)&lt;&gt;"Finalized",$BE96=""),"Next Step, ","")&amp;IF(AND(TRIM($A96)="Finalized",$AV96="",$AR96="",$AT96="",$AX96="",$AW96=""),"CPT outcome, ",""),LEN(IF($B96="","Notes, ","")&amp;IF($K96="","Latest Date Worked, ","")&amp;IF($AY96="","Last Action, ","")&amp;IF(AND(OR(TRIM($A96)="Denied",TRIM($A96)="Rejected"),$BA96=""),"Denial Reason, ","")&amp;IF(AND(TRIM($A96)="Denied",$BB96="",TRIM($BA96)&lt;&gt;"NO DENIAL"),"Denial Code, ","")&amp;IF(AND(TRIM($A96)&lt;&gt;"Finalized",$BD96=""),"Next Review Date, ","")&amp;IF(AND(TRIM($A96)&lt;&gt;"Finalized",$BE96=""),"Next Step, ","")&amp;IF(AND(TRIM($A96)="Finalized",$AV96="",$AR96="",$AT96="",$AX96="",$AW96=""),"CPT outcome, ",""))-2),"")</f>
        <v>Denial Code, Next Step</v>
      </c>
      <c r="BI96" s="15" t="str">
        <f aca="false">IF($BB96="","",IFERROR(INDEX('Denial Codes'!$C:$C,MATCH(LEFT($BB96,FIND(" - ",$BB96&amp;" - ")+2)&amp;"*",'Denial Codes'!$A:$A,0)),""))</f>
        <v/>
      </c>
      <c r="BJ96" s="15" t="str">
        <f aca="false">IF($BA96="","",IFERROR(INDEX(Lists!$B:$B,MATCH(TRIM($BA96),Lists!$A:$A,0))&amp;"",""))</f>
        <v>Check the NCCI pair; if the service was distinct, add 59/XU (or XS) and resubmit; otherwise adjust.</v>
      </c>
    </row>
    <row r="97" customFormat="false" ht="15" hidden="false" customHeight="false" outlineLevel="0" collapsed="false">
      <c r="A97" s="7" t="s">
        <v>18</v>
      </c>
      <c r="B97" s="7" t="s">
        <v>650</v>
      </c>
      <c r="C97" s="8" t="n">
        <v>556801807</v>
      </c>
      <c r="D97" s="9" t="n">
        <v>46141</v>
      </c>
      <c r="E97" s="10" t="s">
        <v>455</v>
      </c>
      <c r="F97" s="11" t="n">
        <v>46125</v>
      </c>
      <c r="G97" s="10" t="s">
        <v>163</v>
      </c>
      <c r="H97" s="10" t="s">
        <v>163</v>
      </c>
      <c r="I97" s="10" t="s">
        <v>129</v>
      </c>
      <c r="J97" s="10" t="s">
        <v>272</v>
      </c>
      <c r="K97" s="9"/>
      <c r="L97" s="12" t="n">
        <f aca="true">IF($O97="","",$O97-TODAY())</f>
        <v>-96</v>
      </c>
      <c r="M97" s="12" t="n">
        <f aca="true">IF(AND(TRIM($A97)="Finalized",$K97&lt;&gt;""),"",IF($F97="","",$F97+90-TODAY()))</f>
        <v>-96</v>
      </c>
      <c r="N97" s="12" t="n">
        <f aca="true">IF(AND(TRIM($A97)="Finalized",$K97&lt;&gt;""),"",IF($D97="","",$D97+365-TODAY()))</f>
        <v>195</v>
      </c>
      <c r="O97" s="11" t="n">
        <f aca="false">IF(AND(TRIM($A97)="Finalized",$K97&lt;&gt;""),"",DATE(2026,7,12))</f>
        <v>46215</v>
      </c>
      <c r="P97" s="10" t="s">
        <v>165</v>
      </c>
      <c r="Q97" s="10" t="s">
        <v>166</v>
      </c>
      <c r="R97" s="10" t="s">
        <v>165</v>
      </c>
      <c r="S97" s="10" t="s">
        <v>149</v>
      </c>
      <c r="T97" s="10" t="s">
        <v>114</v>
      </c>
      <c r="U97" s="10" t="s">
        <v>116</v>
      </c>
      <c r="V97" s="10" t="s">
        <v>221</v>
      </c>
      <c r="W97" s="10" t="s">
        <v>119</v>
      </c>
      <c r="X97" s="10" t="s">
        <v>120</v>
      </c>
      <c r="Y97" s="10"/>
      <c r="Z97" s="10"/>
      <c r="AA97" s="10" t="s">
        <v>121</v>
      </c>
      <c r="AB97" s="8" t="n">
        <f aca="true">IF($F97="","",TODAY()-$F97)</f>
        <v>186</v>
      </c>
      <c r="AC97" s="10" t="s">
        <v>273</v>
      </c>
      <c r="AD97" s="10"/>
      <c r="AE97" s="10"/>
      <c r="AF97" s="10"/>
      <c r="AG97" s="10"/>
      <c r="AH97" s="10"/>
      <c r="AI97" s="10"/>
      <c r="AJ97" s="10" t="s">
        <v>123</v>
      </c>
      <c r="AK97" s="10" t="s">
        <v>651</v>
      </c>
      <c r="AL97" s="10"/>
      <c r="AM97" s="10"/>
      <c r="AN97" s="8"/>
      <c r="AO97" s="10" t="s">
        <v>344</v>
      </c>
      <c r="AP97" s="10" t="s">
        <v>268</v>
      </c>
      <c r="AQ97" s="11" t="n">
        <v>46134</v>
      </c>
      <c r="AR97" s="13"/>
      <c r="AS97" s="13"/>
      <c r="AT97" s="13"/>
      <c r="AU97" s="13"/>
      <c r="AV97" s="13"/>
      <c r="AW97" s="13"/>
      <c r="AX97" s="13"/>
      <c r="AY97" s="7"/>
      <c r="AZ97" s="7"/>
      <c r="BA97" s="7" t="s">
        <v>47</v>
      </c>
      <c r="BB97" s="7"/>
      <c r="BC97" s="7"/>
      <c r="BD97" s="9"/>
      <c r="BE97" s="7" t="s">
        <v>652</v>
      </c>
      <c r="BF97" s="14" t="str">
        <f aca="true">IF(TRIM($A97)="Finalized","Closed",IF($BD97="","No review date set",IF($BD97&lt;TODAY(),"OVERDUE",IF($BD97-TODAY()&lt;=7,"Due within 7 days","Scheduled"))))</f>
        <v>No review date set</v>
      </c>
      <c r="BG97" s="14" t="str">
        <f aca="true">IF($K97="","",TODAY()-$K97)</f>
        <v/>
      </c>
      <c r="BH97" s="15" t="str">
        <f aca="false">IFERROR(LEFT(IF($B97="","Notes, ","")&amp;IF($K97="","Latest Date Worked, ","")&amp;IF($AY97="","Last Action, ","")&amp;IF(AND(OR(TRIM($A97)="Denied",TRIM($A97)="Rejected"),$BA97=""),"Denial Reason, ","")&amp;IF(AND(TRIM($A97)="Denied",$BB97="",TRIM($BA97)&lt;&gt;"NO DENIAL"),"Denial Code, ","")&amp;IF(AND(TRIM($A97)&lt;&gt;"Finalized",$BD97=""),"Next Review Date, ","")&amp;IF(AND(TRIM($A97)&lt;&gt;"Finalized",$BE97=""),"Next Step, ","")&amp;IF(AND(TRIM($A97)="Finalized",$AV97="",$AR97="",$AT97="",$AX97="",$AW97=""),"CPT outcome, ",""),LEN(IF($B97="","Notes, ","")&amp;IF($K97="","Latest Date Worked, ","")&amp;IF($AY97="","Last Action, ","")&amp;IF(AND(OR(TRIM($A97)="Denied",TRIM($A97)="Rejected"),$BA97=""),"Denial Reason, ","")&amp;IF(AND(TRIM($A97)="Denied",$BB97="",TRIM($BA97)&lt;&gt;"NO DENIAL"),"Denial Code, ","")&amp;IF(AND(TRIM($A97)&lt;&gt;"Finalized",$BD97=""),"Next Review Date, ","")&amp;IF(AND(TRIM($A97)&lt;&gt;"Finalized",$BE97=""),"Next Step, ","")&amp;IF(AND(TRIM($A97)="Finalized",$AV97="",$AR97="",$AT97="",$AX97="",$AW97=""),"CPT outcome, ",""))-2),"")</f>
        <v>Latest Date Worked, Last Action, Next Review Date</v>
      </c>
      <c r="BI97" s="15" t="str">
        <f aca="false">IF($BB97="","",IFERROR(INDEX('Denial Codes'!$C:$C,MATCH(LEFT($BB97,FIND(" - ",$BB97&amp;" - ")+2)&amp;"*",'Denial Codes'!$A:$A,0)),""))</f>
        <v/>
      </c>
      <c r="BJ97" s="15" t="str">
        <f aca="false">IF($BA97="","",IFERROR(INDEX(Lists!$B:$B,MATCH(TRIM($BA97),Lists!$A:$A,0))&amp;"",""))</f>
        <v>Check provider enrollment, NPI/TIN and network status; appeal once credentialing is confirmed.</v>
      </c>
    </row>
    <row r="98" customFormat="false" ht="15" hidden="false" customHeight="false" outlineLevel="0" collapsed="false">
      <c r="A98" s="7" t="s">
        <v>18</v>
      </c>
      <c r="B98" s="7"/>
      <c r="C98" s="8" t="n">
        <v>558686340</v>
      </c>
      <c r="D98" s="9" t="n">
        <v>46162</v>
      </c>
      <c r="E98" s="10" t="s">
        <v>653</v>
      </c>
      <c r="F98" s="11" t="n">
        <v>46125</v>
      </c>
      <c r="G98" s="10" t="s">
        <v>218</v>
      </c>
      <c r="H98" s="10" t="s">
        <v>218</v>
      </c>
      <c r="I98" s="10" t="s">
        <v>129</v>
      </c>
      <c r="J98" s="10" t="s">
        <v>654</v>
      </c>
      <c r="K98" s="9"/>
      <c r="L98" s="12" t="n">
        <f aca="true">IF($O98="","",$O98-TODAY())</f>
        <v>-96</v>
      </c>
      <c r="M98" s="12" t="n">
        <f aca="true">IF(AND(TRIM($A98)="Finalized",$K98&lt;&gt;""),"",IF($F98="","",$F98+90-TODAY()))</f>
        <v>-96</v>
      </c>
      <c r="N98" s="12" t="n">
        <f aca="true">IF(AND(TRIM($A98)="Finalized",$K98&lt;&gt;""),"",IF($D98="","",$D98+180-TODAY()))</f>
        <v>31</v>
      </c>
      <c r="O98" s="11" t="n">
        <f aca="false">IF(AND(TRIM($A98)="Finalized",$K98&lt;&gt;""),"",DATE(2026,7,12))</f>
        <v>46215</v>
      </c>
      <c r="P98" s="10" t="s">
        <v>165</v>
      </c>
      <c r="Q98" s="10" t="s">
        <v>220</v>
      </c>
      <c r="R98" s="10" t="s">
        <v>165</v>
      </c>
      <c r="S98" s="10" t="s">
        <v>149</v>
      </c>
      <c r="T98" s="10" t="s">
        <v>147</v>
      </c>
      <c r="U98" s="10" t="s">
        <v>116</v>
      </c>
      <c r="V98" s="10" t="s">
        <v>221</v>
      </c>
      <c r="W98" s="10" t="s">
        <v>434</v>
      </c>
      <c r="X98" s="10" t="s">
        <v>655</v>
      </c>
      <c r="Y98" s="10" t="s">
        <v>621</v>
      </c>
      <c r="Z98" s="10"/>
      <c r="AA98" s="10" t="s">
        <v>656</v>
      </c>
      <c r="AB98" s="8" t="n">
        <f aca="true">IF($F98="","",TODAY()-$F98)</f>
        <v>186</v>
      </c>
      <c r="AC98" s="10" t="s">
        <v>439</v>
      </c>
      <c r="AD98" s="10" t="s">
        <v>657</v>
      </c>
      <c r="AE98" s="10" t="s">
        <v>442</v>
      </c>
      <c r="AF98" s="10" t="s">
        <v>438</v>
      </c>
      <c r="AG98" s="10"/>
      <c r="AH98" s="10"/>
      <c r="AI98" s="10"/>
      <c r="AJ98" s="10" t="s">
        <v>579</v>
      </c>
      <c r="AK98" s="10" t="s">
        <v>445</v>
      </c>
      <c r="AL98" s="10" t="s">
        <v>622</v>
      </c>
      <c r="AM98" s="10"/>
      <c r="AN98" s="8"/>
      <c r="AO98" s="10" t="s">
        <v>447</v>
      </c>
      <c r="AP98" s="10" t="s">
        <v>188</v>
      </c>
      <c r="AQ98" s="11" t="n">
        <v>46152</v>
      </c>
      <c r="AR98" s="13"/>
      <c r="AS98" s="13"/>
      <c r="AT98" s="13"/>
      <c r="AU98" s="13"/>
      <c r="AV98" s="13"/>
      <c r="AW98" s="13"/>
      <c r="AX98" s="13" t="s">
        <v>658</v>
      </c>
      <c r="AY98" s="7"/>
      <c r="AZ98" s="7"/>
      <c r="BA98" s="7" t="s">
        <v>43</v>
      </c>
      <c r="BB98" s="7"/>
      <c r="BC98" s="7"/>
      <c r="BD98" s="9"/>
      <c r="BE98" s="7"/>
      <c r="BF98" s="14" t="str">
        <f aca="true">IF(TRIM($A98)="Finalized","Closed",IF($BD98="","No review date set",IF($BD98&lt;TODAY(),"OVERDUE",IF($BD98-TODAY()&lt;=7,"Due within 7 days","Scheduled"))))</f>
        <v>No review date set</v>
      </c>
      <c r="BG98" s="14" t="str">
        <f aca="true">IF($K98="","",TODAY()-$K98)</f>
        <v/>
      </c>
      <c r="BH98" s="15" t="str">
        <f aca="false">IFERROR(LEFT(IF($B98="","Notes, ","")&amp;IF($K98="","Latest Date Worked, ","")&amp;IF($AY98="","Last Action, ","")&amp;IF(AND(OR(TRIM($A98)="Denied",TRIM($A98)="Rejected"),$BA98=""),"Denial Reason, ","")&amp;IF(AND(TRIM($A98)="Denied",$BB98="",TRIM($BA98)&lt;&gt;"NO DENIAL"),"Denial Code, ","")&amp;IF(AND(TRIM($A98)&lt;&gt;"Finalized",$BD98=""),"Next Review Date, ","")&amp;IF(AND(TRIM($A98)&lt;&gt;"Finalized",$BE98=""),"Next Step, ","")&amp;IF(AND(TRIM($A98)="Finalized",$AV98="",$AR98="",$AT98="",$AX98="",$AW98=""),"CPT outcome, ",""),LEN(IF($B98="","Notes, ","")&amp;IF($K98="","Latest Date Worked, ","")&amp;IF($AY98="","Last Action, ","")&amp;IF(AND(OR(TRIM($A98)="Denied",TRIM($A98)="Rejected"),$BA98=""),"Denial Reason, ","")&amp;IF(AND(TRIM($A98)="Denied",$BB98="",TRIM($BA98)&lt;&gt;"NO DENIAL"),"Denial Code, ","")&amp;IF(AND(TRIM($A98)&lt;&gt;"Finalized",$BD98=""),"Next Review Date, ","")&amp;IF(AND(TRIM($A98)&lt;&gt;"Finalized",$BE98=""),"Next Step, ","")&amp;IF(AND(TRIM($A98)="Finalized",$AV98="",$AR98="",$AT98="",$AX98="",$AW98=""),"CPT outcome, ",""))-2),"")</f>
        <v>Notes, Latest Date Worked, Last Action, Next Review Date, Next Step</v>
      </c>
      <c r="BI98" s="15" t="str">
        <f aca="false">IF($BB98="","",IFERROR(INDEX('Denial Codes'!$C:$C,MATCH(LEFT($BB98,FIND(" - ",$BB98&amp;" - ")+2)&amp;"*",'Denial Codes'!$A:$A,0)),""))</f>
        <v/>
      </c>
      <c r="BJ98" s="15" t="str">
        <f aca="false">IF($BA98="","",IFERROR(INDEX(Lists!$B:$B,MATCH(TRIM($BA98),Lists!$A:$A,0))&amp;"",""))</f>
        <v>Appeal with medical records and a letter of medical necessity; check LCD/MUE limits.</v>
      </c>
    </row>
    <row r="99" customFormat="false" ht="15" hidden="false" customHeight="false" outlineLevel="0" collapsed="false">
      <c r="A99" s="7" t="s">
        <v>16</v>
      </c>
      <c r="B99" s="7" t="s">
        <v>367</v>
      </c>
      <c r="C99" s="8" t="n">
        <v>556413148</v>
      </c>
      <c r="D99" s="9" t="n">
        <v>46262</v>
      </c>
      <c r="E99" s="10" t="s">
        <v>529</v>
      </c>
      <c r="F99" s="11" t="n">
        <v>46127</v>
      </c>
      <c r="G99" s="10" t="s">
        <v>369</v>
      </c>
      <c r="H99" s="10" t="s">
        <v>369</v>
      </c>
      <c r="I99" s="10" t="s">
        <v>129</v>
      </c>
      <c r="J99" s="10" t="s">
        <v>428</v>
      </c>
      <c r="K99" s="9" t="n">
        <v>46257</v>
      </c>
      <c r="L99" s="12" t="str">
        <f aca="true">IF($O99="","",$O99-TODAY())</f>
        <v/>
      </c>
      <c r="M99" s="12" t="str">
        <f aca="true">IF(AND(TRIM($A99)="Finalized",$K99&lt;&gt;""),"",IF($D99="","",$D99+365-TODAY()))</f>
        <v/>
      </c>
      <c r="N99" s="12" t="str">
        <f aca="true">IF(AND(TRIM($A99)="Finalized",$K99&lt;&gt;""),"",IF($D99="","",$D99+365-TODAY()))</f>
        <v/>
      </c>
      <c r="O99" s="11" t="str">
        <f aca="false">IF(AND(TRIM($A99)="Finalized",$K99&lt;&gt;""),"",DATE(2026,7,14))</f>
        <v/>
      </c>
      <c r="P99" s="10" t="s">
        <v>165</v>
      </c>
      <c r="Q99" s="10" t="s">
        <v>371</v>
      </c>
      <c r="R99" s="10" t="s">
        <v>114</v>
      </c>
      <c r="S99" s="10" t="s">
        <v>116</v>
      </c>
      <c r="T99" s="10" t="s">
        <v>114</v>
      </c>
      <c r="U99" s="10" t="s">
        <v>116</v>
      </c>
      <c r="V99" s="10" t="s">
        <v>221</v>
      </c>
      <c r="W99" s="10" t="s">
        <v>183</v>
      </c>
      <c r="X99" s="10"/>
      <c r="Y99" s="10"/>
      <c r="Z99" s="10"/>
      <c r="AA99" s="10" t="s">
        <v>430</v>
      </c>
      <c r="AB99" s="8" t="n">
        <f aca="true">IF($F99="","",TODAY()-$F99)</f>
        <v>184</v>
      </c>
      <c r="AC99" s="10" t="s">
        <v>184</v>
      </c>
      <c r="AD99" s="10" t="s">
        <v>211</v>
      </c>
      <c r="AE99" s="10"/>
      <c r="AF99" s="10"/>
      <c r="AG99" s="10"/>
      <c r="AH99" s="10"/>
      <c r="AI99" s="10"/>
      <c r="AJ99" s="10" t="s">
        <v>186</v>
      </c>
      <c r="AK99" s="10"/>
      <c r="AL99" s="10"/>
      <c r="AM99" s="10"/>
      <c r="AN99" s="8"/>
      <c r="AO99" s="10" t="s">
        <v>359</v>
      </c>
      <c r="AP99" s="10" t="s">
        <v>188</v>
      </c>
      <c r="AQ99" s="11" t="n">
        <v>46153</v>
      </c>
      <c r="AR99" s="13"/>
      <c r="AS99" s="13"/>
      <c r="AT99" s="13" t="s">
        <v>659</v>
      </c>
      <c r="AU99" s="13" t="s">
        <v>559</v>
      </c>
      <c r="AV99" s="13"/>
      <c r="AW99" s="13"/>
      <c r="AX99" s="13"/>
      <c r="AY99" s="7" t="s">
        <v>465</v>
      </c>
      <c r="AZ99" s="7" t="s">
        <v>159</v>
      </c>
      <c r="BA99" s="7" t="s">
        <v>35</v>
      </c>
      <c r="BB99" s="7" t="s">
        <v>559</v>
      </c>
      <c r="BC99" s="7"/>
      <c r="BD99" s="9"/>
      <c r="BE99" s="7"/>
      <c r="BF99" s="14" t="str">
        <f aca="true">IF(TRIM($A99)="Finalized","Closed",IF($BD99="","No review date set",IF($BD99&lt;TODAY(),"OVERDUE",IF($BD99-TODAY()&lt;=7,"Due within 7 days","Scheduled"))))</f>
        <v>Closed</v>
      </c>
      <c r="BG99" s="14" t="n">
        <f aca="true">IF($K99="","",TODAY()-$K99)</f>
        <v>54</v>
      </c>
      <c r="BH99" s="15" t="str">
        <f aca="false">IFERROR(LEFT(IF($B99="","Notes, ","")&amp;IF($K99="","Latest Date Worked, ","")&amp;IF($AY99="","Last Action, ","")&amp;IF(AND(OR(TRIM($A99)="Denied",TRIM($A99)="Rejected"),$BA99=""),"Denial Reason, ","")&amp;IF(AND(TRIM($A99)="Denied",$BB99="",TRIM($BA99)&lt;&gt;"NO DENIAL"),"Denial Code, ","")&amp;IF(AND(TRIM($A99)&lt;&gt;"Finalized",$BD99=""),"Next Review Date, ","")&amp;IF(AND(TRIM($A99)&lt;&gt;"Finalized",$BE99=""),"Next Step, ","")&amp;IF(AND(TRIM($A99)="Finalized",$AV99="",$AR99="",$AT99="",$AX99="",$AW99=""),"CPT outcome, ",""),LEN(IF($B99="","Notes, ","")&amp;IF($K99="","Latest Date Worked, ","")&amp;IF($AY99="","Last Action, ","")&amp;IF(AND(OR(TRIM($A99)="Denied",TRIM($A99)="Rejected"),$BA99=""),"Denial Reason, ","")&amp;IF(AND(TRIM($A99)="Denied",$BB99="",TRIM($BA99)&lt;&gt;"NO DENIAL"),"Denial Code, ","")&amp;IF(AND(TRIM($A99)&lt;&gt;"Finalized",$BD99=""),"Next Review Date, ","")&amp;IF(AND(TRIM($A99)&lt;&gt;"Finalized",$BE99=""),"Next Step, ","")&amp;IF(AND(TRIM($A99)="Finalized",$AV99="",$AR99="",$AT99="",$AX99="",$AW99=""),"CPT outcome, ",""))-2),"")</f>
        <v/>
      </c>
      <c r="BI99" s="15" t="str">
        <f aca="false">IF($BB99="","",IFERROR(INDEX('Denial Codes'!$C:$C,MATCH(LEFT($BB99,FIND(" - ",$BB99&amp;" - ")+2)&amp;"*",'Denial Codes'!$A:$A,0)),""))</f>
        <v>Timely filing</v>
      </c>
      <c r="BJ99" s="15" t="str">
        <f aca="false">IF($BA99="","",IFERROR(INDEX(Lists!$B:$B,MATCH(TRIM($BA99),Lists!$A:$A,0))&amp;"",""))</f>
        <v>Find proof of timely filing (clearinghouse acceptance or earlier submission) and appeal with it; if none, adjust the balance.</v>
      </c>
    </row>
    <row r="100" customFormat="false" ht="15" hidden="false" customHeight="false" outlineLevel="0" collapsed="false">
      <c r="A100" s="7" t="s">
        <v>17</v>
      </c>
      <c r="B100" s="7" t="s">
        <v>660</v>
      </c>
      <c r="C100" s="8" t="n">
        <v>569505824</v>
      </c>
      <c r="D100" s="9" t="n">
        <v>46254</v>
      </c>
      <c r="E100" s="10" t="s">
        <v>661</v>
      </c>
      <c r="F100" s="11" t="n">
        <v>46127</v>
      </c>
      <c r="G100" s="10" t="s">
        <v>460</v>
      </c>
      <c r="H100" s="10" t="s">
        <v>460</v>
      </c>
      <c r="I100" s="10" t="s">
        <v>129</v>
      </c>
      <c r="J100" s="10" t="s">
        <v>662</v>
      </c>
      <c r="K100" s="9" t="n">
        <v>46278</v>
      </c>
      <c r="L100" s="12" t="n">
        <f aca="true">IF($O100="","",$O100-TODAY())</f>
        <v>-94</v>
      </c>
      <c r="M100" s="12" t="n">
        <f aca="true">IF(AND(TRIM($A100)="Finalized",$K100&lt;&gt;""),"",IF($D100="","",$D100+180-TODAY()))</f>
        <v>123</v>
      </c>
      <c r="N100" s="12" t="n">
        <f aca="true">IF(AND(TRIM($A100)="Finalized",$K100&lt;&gt;""),"",IF($D100="","",$D100+365-TODAY()))</f>
        <v>308</v>
      </c>
      <c r="O100" s="11" t="n">
        <f aca="false">IF(AND(TRIM($A100)="Finalized",$K100&lt;&gt;""),"",DATE(2026,7,14))</f>
        <v>46217</v>
      </c>
      <c r="P100" s="10" t="s">
        <v>165</v>
      </c>
      <c r="Q100" s="10" t="s">
        <v>462</v>
      </c>
      <c r="R100" s="10" t="s">
        <v>147</v>
      </c>
      <c r="S100" s="10" t="s">
        <v>116</v>
      </c>
      <c r="T100" s="10" t="s">
        <v>114</v>
      </c>
      <c r="U100" s="10" t="s">
        <v>116</v>
      </c>
      <c r="V100" s="10" t="s">
        <v>221</v>
      </c>
      <c r="W100" s="10" t="s">
        <v>132</v>
      </c>
      <c r="X100" s="10" t="s">
        <v>134</v>
      </c>
      <c r="Y100" s="10"/>
      <c r="Z100" s="10"/>
      <c r="AA100" s="10" t="s">
        <v>197</v>
      </c>
      <c r="AB100" s="8" t="n">
        <f aca="true">IF($F100="","",TODAY()-$F100)</f>
        <v>184</v>
      </c>
      <c r="AC100" s="10" t="s">
        <v>136</v>
      </c>
      <c r="AD100" s="10" t="s">
        <v>137</v>
      </c>
      <c r="AE100" s="10" t="s">
        <v>524</v>
      </c>
      <c r="AF100" s="10" t="s">
        <v>137</v>
      </c>
      <c r="AG100" s="10"/>
      <c r="AH100" s="10"/>
      <c r="AI100" s="10"/>
      <c r="AJ100" s="10" t="s">
        <v>525</v>
      </c>
      <c r="AK100" s="10" t="s">
        <v>170</v>
      </c>
      <c r="AL100" s="10" t="s">
        <v>291</v>
      </c>
      <c r="AM100" s="10"/>
      <c r="AN100" s="8"/>
      <c r="AO100" s="10" t="s">
        <v>174</v>
      </c>
      <c r="AP100" s="10" t="s">
        <v>175</v>
      </c>
      <c r="AQ100" s="11" t="n">
        <v>46197</v>
      </c>
      <c r="AR100" s="13"/>
      <c r="AS100" s="13"/>
      <c r="AT100" s="13"/>
      <c r="AU100" s="13"/>
      <c r="AV100" s="13"/>
      <c r="AW100" s="13"/>
      <c r="AX100" s="13" t="s">
        <v>663</v>
      </c>
      <c r="AY100" s="7" t="s">
        <v>203</v>
      </c>
      <c r="AZ100" s="7" t="s">
        <v>159</v>
      </c>
      <c r="BA100" s="7" t="s">
        <v>37</v>
      </c>
      <c r="BB100" s="7" t="s">
        <v>204</v>
      </c>
      <c r="BC100" s="7" t="s">
        <v>664</v>
      </c>
      <c r="BD100" s="9" t="n">
        <v>46308</v>
      </c>
      <c r="BE100" s="7"/>
      <c r="BF100" s="14" t="str">
        <f aca="true">IF(TRIM($A100)="Finalized","Closed",IF($BD100="","No review date set",IF($BD100&lt;TODAY(),"OVERDUE",IF($BD100-TODAY()&lt;=7,"Due within 7 days","Scheduled"))))</f>
        <v>OVERDUE</v>
      </c>
      <c r="BG100" s="14" t="n">
        <f aca="true">IF($K100="","",TODAY()-$K100)</f>
        <v>33</v>
      </c>
      <c r="BH100" s="15" t="str">
        <f aca="false">IFERROR(LEFT(IF($B100="","Notes, ","")&amp;IF($K100="","Latest Date Worked, ","")&amp;IF($AY100="","Last Action, ","")&amp;IF(AND(OR(TRIM($A100)="Denied",TRIM($A100)="Rejected"),$BA100=""),"Denial Reason, ","")&amp;IF(AND(TRIM($A100)="Denied",$BB100="",TRIM($BA100)&lt;&gt;"NO DENIAL"),"Denial Code, ","")&amp;IF(AND(TRIM($A100)&lt;&gt;"Finalized",$BD100=""),"Next Review Date, ","")&amp;IF(AND(TRIM($A100)&lt;&gt;"Finalized",$BE100=""),"Next Step, ","")&amp;IF(AND(TRIM($A100)="Finalized",$AV100="",$AR100="",$AT100="",$AX100="",$AW100=""),"CPT outcome, ",""),LEN(IF($B100="","Notes, ","")&amp;IF($K100="","Latest Date Worked, ","")&amp;IF($AY100="","Last Action, ","")&amp;IF(AND(OR(TRIM($A100)="Denied",TRIM($A100)="Rejected"),$BA100=""),"Denial Reason, ","")&amp;IF(AND(TRIM($A100)="Denied",$BB100="",TRIM($BA100)&lt;&gt;"NO DENIAL"),"Denial Code, ","")&amp;IF(AND(TRIM($A100)&lt;&gt;"Finalized",$BD100=""),"Next Review Date, ","")&amp;IF(AND(TRIM($A100)&lt;&gt;"Finalized",$BE100=""),"Next Step, ","")&amp;IF(AND(TRIM($A100)="Finalized",$AV100="",$AR100="",$AT100="",$AX100="",$AW100=""),"CPT outcome, ",""))-2),"")</f>
        <v>Next Step</v>
      </c>
      <c r="BI100" s="15" t="str">
        <f aca="false">IF($BB100="","",IFERROR(INDEX('Denial Codes'!$C:$C,MATCH(LEFT($BB100,FIND(" - ",$BB100&amp;" - ")+2)&amp;"*",'Denial Codes'!$A:$A,0)),""))</f>
        <v>Medical records needed</v>
      </c>
      <c r="BJ100" s="15" t="str">
        <f aca="false">IF($BA100="","",IFERROR(INDEX(Lists!$B:$B,MATCH(TRIM($BA100),Lists!$A:$A,0))&amp;"",""))</f>
        <v>Check the NCCI pair; if the service was distinct, add 59/XU (or XS) and resubmit; otherwise adjust.</v>
      </c>
    </row>
    <row r="101" customFormat="false" ht="15" hidden="false" customHeight="false" outlineLevel="0" collapsed="false">
      <c r="A101" s="7" t="s">
        <v>17</v>
      </c>
      <c r="B101" s="7" t="s">
        <v>665</v>
      </c>
      <c r="C101" s="8" t="n">
        <v>561043971</v>
      </c>
      <c r="D101" s="9" t="n">
        <v>46156</v>
      </c>
      <c r="E101" s="10" t="s">
        <v>666</v>
      </c>
      <c r="F101" s="11" t="n">
        <v>46128</v>
      </c>
      <c r="G101" s="10" t="s">
        <v>208</v>
      </c>
      <c r="H101" s="10" t="s">
        <v>208</v>
      </c>
      <c r="I101" s="10" t="s">
        <v>129</v>
      </c>
      <c r="J101" s="10" t="s">
        <v>583</v>
      </c>
      <c r="K101" s="9" t="n">
        <v>46285</v>
      </c>
      <c r="L101" s="12" t="n">
        <f aca="true">IF($O101="","",$O101-TODAY())</f>
        <v>-93</v>
      </c>
      <c r="M101" s="12" t="n">
        <f aca="true">IF(AND(TRIM($A101)="Finalized",$K101&lt;&gt;""),"",IF($D101="","",$D101+180-TODAY()))</f>
        <v>25</v>
      </c>
      <c r="N101" s="12" t="n">
        <f aca="true">IF(AND(TRIM($A101)="Finalized",$K101&lt;&gt;""),"",IF($D101="","",$D101+365-TODAY()))</f>
        <v>210</v>
      </c>
      <c r="O101" s="11" t="n">
        <f aca="false">IF(AND(TRIM($A101)="Finalized",$K101&lt;&gt;""),"",DATE(2026,7,15))</f>
        <v>46218</v>
      </c>
      <c r="P101" s="10" t="s">
        <v>165</v>
      </c>
      <c r="Q101" s="10" t="s">
        <v>210</v>
      </c>
      <c r="R101" s="10" t="s">
        <v>147</v>
      </c>
      <c r="S101" s="10" t="s">
        <v>116</v>
      </c>
      <c r="T101" s="10" t="s">
        <v>114</v>
      </c>
      <c r="U101" s="10" t="s">
        <v>116</v>
      </c>
      <c r="V101" s="10" t="s">
        <v>221</v>
      </c>
      <c r="W101" s="10" t="s">
        <v>119</v>
      </c>
      <c r="X101" s="10" t="s">
        <v>151</v>
      </c>
      <c r="Y101" s="10"/>
      <c r="Z101" s="10"/>
      <c r="AA101" s="10" t="s">
        <v>197</v>
      </c>
      <c r="AB101" s="8" t="n">
        <f aca="true">IF($F101="","",TODAY()-$F101)</f>
        <v>183</v>
      </c>
      <c r="AC101" s="10" t="s">
        <v>584</v>
      </c>
      <c r="AD101" s="10"/>
      <c r="AE101" s="10"/>
      <c r="AF101" s="10"/>
      <c r="AG101" s="10"/>
      <c r="AH101" s="10"/>
      <c r="AI101" s="10"/>
      <c r="AJ101" s="10" t="s">
        <v>139</v>
      </c>
      <c r="AK101" s="10"/>
      <c r="AL101" s="10"/>
      <c r="AM101" s="10"/>
      <c r="AN101" s="8"/>
      <c r="AO101" s="10" t="s">
        <v>546</v>
      </c>
      <c r="AP101" s="10" t="s">
        <v>188</v>
      </c>
      <c r="AQ101" s="11" t="n">
        <v>46143</v>
      </c>
      <c r="AR101" s="13"/>
      <c r="AS101" s="13"/>
      <c r="AT101" s="13"/>
      <c r="AU101" s="13"/>
      <c r="AV101" s="13"/>
      <c r="AW101" s="13"/>
      <c r="AX101" s="13"/>
      <c r="AY101" s="7" t="s">
        <v>203</v>
      </c>
      <c r="AZ101" s="7" t="s">
        <v>203</v>
      </c>
      <c r="BA101" s="7" t="s">
        <v>36</v>
      </c>
      <c r="BB101" s="7" t="s">
        <v>204</v>
      </c>
      <c r="BC101" s="7" t="s">
        <v>667</v>
      </c>
      <c r="BD101" s="9" t="n">
        <v>46315</v>
      </c>
      <c r="BE101" s="7"/>
      <c r="BF101" s="14" t="str">
        <f aca="true">IF(TRIM($A101)="Finalized","Closed",IF($BD101="","No review date set",IF($BD101&lt;TODAY(),"OVERDUE",IF($BD101-TODAY()&lt;=7,"Due within 7 days","Scheduled"))))</f>
        <v>Due within 7 days</v>
      </c>
      <c r="BG101" s="14" t="n">
        <f aca="true">IF($K101="","",TODAY()-$K101)</f>
        <v>26</v>
      </c>
      <c r="BH101" s="15" t="str">
        <f aca="false">IFERROR(LEFT(IF($B101="","Notes, ","")&amp;IF($K101="","Latest Date Worked, ","")&amp;IF($AY101="","Last Action, ","")&amp;IF(AND(OR(TRIM($A101)="Denied",TRIM($A101)="Rejected"),$BA101=""),"Denial Reason, ","")&amp;IF(AND(TRIM($A101)="Denied",$BB101="",TRIM($BA101)&lt;&gt;"NO DENIAL"),"Denial Code, ","")&amp;IF(AND(TRIM($A101)&lt;&gt;"Finalized",$BD101=""),"Next Review Date, ","")&amp;IF(AND(TRIM($A101)&lt;&gt;"Finalized",$BE101=""),"Next Step, ","")&amp;IF(AND(TRIM($A101)="Finalized",$AV101="",$AR101="",$AT101="",$AX101="",$AW101=""),"CPT outcome, ",""),LEN(IF($B101="","Notes, ","")&amp;IF($K101="","Latest Date Worked, ","")&amp;IF($AY101="","Last Action, ","")&amp;IF(AND(OR(TRIM($A101)="Denied",TRIM($A101)="Rejected"),$BA101=""),"Denial Reason, ","")&amp;IF(AND(TRIM($A101)="Denied",$BB101="",TRIM($BA101)&lt;&gt;"NO DENIAL"),"Denial Code, ","")&amp;IF(AND(TRIM($A101)&lt;&gt;"Finalized",$BD101=""),"Next Review Date, ","")&amp;IF(AND(TRIM($A101)&lt;&gt;"Finalized",$BE101=""),"Next Step, ","")&amp;IF(AND(TRIM($A101)="Finalized",$AV101="",$AR101="",$AT101="",$AX101="",$AW101=""),"CPT outcome, ",""))-2),"")</f>
        <v>Next Step</v>
      </c>
      <c r="BI101" s="15" t="str">
        <f aca="false">IF($BB101="","",IFERROR(INDEX('Denial Codes'!$C:$C,MATCH(LEFT($BB101,FIND(" - ",$BB101&amp;" - ")+2)&amp;"*",'Denial Codes'!$A:$A,0)),""))</f>
        <v>Medical records needed</v>
      </c>
      <c r="BJ101" s="15" t="str">
        <f aca="false">IF($BA101="","",IFERROR(INDEX(Lists!$B:$B,MATCH(TRIM($BA101),Lists!$A:$A,0))&amp;"",""))</f>
        <v>Upload the MR on the payer portal, note the PIQ/reference number and set a review date.</v>
      </c>
    </row>
    <row r="102" customFormat="false" ht="15" hidden="false" customHeight="false" outlineLevel="0" collapsed="false">
      <c r="A102" s="7" t="s">
        <v>18</v>
      </c>
      <c r="B102" s="7" t="s">
        <v>640</v>
      </c>
      <c r="C102" s="8" t="n">
        <v>565388312</v>
      </c>
      <c r="D102" s="9" t="n">
        <v>46143</v>
      </c>
      <c r="E102" s="10" t="s">
        <v>668</v>
      </c>
      <c r="F102" s="11" t="n">
        <v>46128</v>
      </c>
      <c r="G102" s="10" t="s">
        <v>208</v>
      </c>
      <c r="H102" s="10" t="s">
        <v>208</v>
      </c>
      <c r="I102" s="10" t="s">
        <v>129</v>
      </c>
      <c r="J102" s="10" t="s">
        <v>461</v>
      </c>
      <c r="K102" s="9"/>
      <c r="L102" s="12" t="n">
        <f aca="true">IF($O102="","",$O102-TODAY())</f>
        <v>-93</v>
      </c>
      <c r="M102" s="12" t="n">
        <f aca="true">IF(AND(TRIM($A102)="Finalized",$K102&lt;&gt;""),"",IF($D102="","",$D102+180-TODAY()))</f>
        <v>12</v>
      </c>
      <c r="N102" s="12" t="n">
        <f aca="true">IF(AND(TRIM($A102)="Finalized",$K102&lt;&gt;""),"",IF($D102="","",$D102+365-TODAY()))</f>
        <v>197</v>
      </c>
      <c r="O102" s="11" t="n">
        <f aca="false">IF(AND(TRIM($A102)="Finalized",$K102&lt;&gt;""),"",DATE(2026,7,15))</f>
        <v>46218</v>
      </c>
      <c r="P102" s="10" t="s">
        <v>165</v>
      </c>
      <c r="Q102" s="10" t="s">
        <v>210</v>
      </c>
      <c r="R102" s="10" t="s">
        <v>147</v>
      </c>
      <c r="S102" s="10" t="s">
        <v>116</v>
      </c>
      <c r="T102" s="10" t="s">
        <v>114</v>
      </c>
      <c r="U102" s="10" t="s">
        <v>116</v>
      </c>
      <c r="V102" s="10" t="s">
        <v>221</v>
      </c>
      <c r="W102" s="10" t="s">
        <v>119</v>
      </c>
      <c r="X102" s="10" t="s">
        <v>120</v>
      </c>
      <c r="Y102" s="10"/>
      <c r="Z102" s="10"/>
      <c r="AA102" s="10" t="s">
        <v>230</v>
      </c>
      <c r="AB102" s="8" t="n">
        <f aca="true">IF($F102="","",TODAY()-$F102)</f>
        <v>183</v>
      </c>
      <c r="AC102" s="10" t="s">
        <v>273</v>
      </c>
      <c r="AD102" s="10"/>
      <c r="AE102" s="10"/>
      <c r="AF102" s="10"/>
      <c r="AG102" s="10"/>
      <c r="AH102" s="10"/>
      <c r="AI102" s="10"/>
      <c r="AJ102" s="10" t="s">
        <v>123</v>
      </c>
      <c r="AK102" s="10" t="s">
        <v>139</v>
      </c>
      <c r="AL102" s="10"/>
      <c r="AM102" s="10"/>
      <c r="AN102" s="8"/>
      <c r="AO102" s="10" t="s">
        <v>669</v>
      </c>
      <c r="AP102" s="10" t="s">
        <v>188</v>
      </c>
      <c r="AQ102" s="11" t="n">
        <v>46134</v>
      </c>
      <c r="AR102" s="13"/>
      <c r="AS102" s="13"/>
      <c r="AT102" s="13"/>
      <c r="AU102" s="13"/>
      <c r="AV102" s="13"/>
      <c r="AW102" s="13"/>
      <c r="AX102" s="13" t="s">
        <v>273</v>
      </c>
      <c r="AY102" s="7"/>
      <c r="AZ102" s="7"/>
      <c r="BA102" s="7" t="s">
        <v>44</v>
      </c>
      <c r="BB102" s="7"/>
      <c r="BC102" s="7"/>
      <c r="BD102" s="9"/>
      <c r="BE102" s="7" t="s">
        <v>644</v>
      </c>
      <c r="BF102" s="14" t="str">
        <f aca="true">IF(TRIM($A102)="Finalized","Closed",IF($BD102="","No review date set",IF($BD102&lt;TODAY(),"OVERDUE",IF($BD102-TODAY()&lt;=7,"Due within 7 days","Scheduled"))))</f>
        <v>No review date set</v>
      </c>
      <c r="BG102" s="14" t="str">
        <f aca="true">IF($K102="","",TODAY()-$K102)</f>
        <v/>
      </c>
      <c r="BH102" s="15" t="str">
        <f aca="false">IFERROR(LEFT(IF($B102="","Notes, ","")&amp;IF($K102="","Latest Date Worked, ","")&amp;IF($AY102="","Last Action, ","")&amp;IF(AND(OR(TRIM($A102)="Denied",TRIM($A102)="Rejected"),$BA102=""),"Denial Reason, ","")&amp;IF(AND(TRIM($A102)="Denied",$BB102="",TRIM($BA102)&lt;&gt;"NO DENIAL"),"Denial Code, ","")&amp;IF(AND(TRIM($A102)&lt;&gt;"Finalized",$BD102=""),"Next Review Date, ","")&amp;IF(AND(TRIM($A102)&lt;&gt;"Finalized",$BE102=""),"Next Step, ","")&amp;IF(AND(TRIM($A102)="Finalized",$AV102="",$AR102="",$AT102="",$AX102="",$AW102=""),"CPT outcome, ",""),LEN(IF($B102="","Notes, ","")&amp;IF($K102="","Latest Date Worked, ","")&amp;IF($AY102="","Last Action, ","")&amp;IF(AND(OR(TRIM($A102)="Denied",TRIM($A102)="Rejected"),$BA102=""),"Denial Reason, ","")&amp;IF(AND(TRIM($A102)="Denied",$BB102="",TRIM($BA102)&lt;&gt;"NO DENIAL"),"Denial Code, ","")&amp;IF(AND(TRIM($A102)&lt;&gt;"Finalized",$BD102=""),"Next Review Date, ","")&amp;IF(AND(TRIM($A102)&lt;&gt;"Finalized",$BE102=""),"Next Step, ","")&amp;IF(AND(TRIM($A102)="Finalized",$AV102="",$AR102="",$AT102="",$AX102="",$AW102=""),"CPT outcome, ",""))-2),"")</f>
        <v>Latest Date Worked, Last Action, Next Review Date</v>
      </c>
      <c r="BI102" s="15" t="str">
        <f aca="false">IF($BB102="","",IFERROR(INDEX('Denial Codes'!$C:$C,MATCH(LEFT($BB102,FIND(" - ",$BB102&amp;" - ")+2)&amp;"*",'Denial Codes'!$A:$A,0)),""))</f>
        <v/>
      </c>
      <c r="BJ102" s="15" t="str">
        <f aca="false">IF($BA102="","",IFERROR(INDEX(Lists!$B:$B,MATCH(TRIM($BA102),Lists!$A:$A,0))&amp;"",""))</f>
        <v>Bill the correct payer, delegated vendor or capitated group/IPA (e.g. Optum Behavioral, Preferred Homecare).</v>
      </c>
    </row>
    <row r="103" customFormat="false" ht="15" hidden="false" customHeight="false" outlineLevel="0" collapsed="false">
      <c r="A103" s="7" t="s">
        <v>19</v>
      </c>
      <c r="B103" s="7" t="s">
        <v>670</v>
      </c>
      <c r="C103" s="8" t="n">
        <v>573878565</v>
      </c>
      <c r="D103" s="9" t="n">
        <v>46184</v>
      </c>
      <c r="E103" s="10" t="s">
        <v>671</v>
      </c>
      <c r="F103" s="11" t="n">
        <v>46100</v>
      </c>
      <c r="G103" s="10" t="s">
        <v>163</v>
      </c>
      <c r="H103" s="10" t="s">
        <v>163</v>
      </c>
      <c r="I103" s="10" t="s">
        <v>672</v>
      </c>
      <c r="J103" s="10" t="s">
        <v>400</v>
      </c>
      <c r="K103" s="9" t="n">
        <v>46300</v>
      </c>
      <c r="L103" s="12" t="n">
        <f aca="true">IF($O103="","",$O103-TODAY())</f>
        <v>-121</v>
      </c>
      <c r="M103" s="12" t="n">
        <f aca="true">IF(AND(TRIM($A103)="Finalized",$K103&lt;&gt;""),"",IF($F103="","",$F103+90-TODAY()))</f>
        <v>-121</v>
      </c>
      <c r="N103" s="12" t="n">
        <f aca="true">IF(AND(TRIM($A103)="Finalized",$K103&lt;&gt;""),"",IF($D103="","",$D103+365-TODAY()))</f>
        <v>238</v>
      </c>
      <c r="O103" s="11" t="n">
        <f aca="false">IF(AND(TRIM($A103)="Finalized",$K103&lt;&gt;""),"",DATE(2026,6,17))</f>
        <v>46190</v>
      </c>
      <c r="P103" s="10" t="s">
        <v>165</v>
      </c>
      <c r="Q103" s="10" t="s">
        <v>166</v>
      </c>
      <c r="R103" s="10" t="s">
        <v>165</v>
      </c>
      <c r="S103" s="10" t="s">
        <v>149</v>
      </c>
      <c r="T103" s="10" t="s">
        <v>114</v>
      </c>
      <c r="U103" s="10" t="s">
        <v>116</v>
      </c>
      <c r="V103" s="10" t="s">
        <v>167</v>
      </c>
      <c r="W103" s="10" t="s">
        <v>183</v>
      </c>
      <c r="X103" s="10"/>
      <c r="Y103" s="10"/>
      <c r="Z103" s="10"/>
      <c r="AA103" s="10" t="s">
        <v>197</v>
      </c>
      <c r="AB103" s="8" t="n">
        <f aca="true">IF($F103="","",TODAY()-$F103)</f>
        <v>211</v>
      </c>
      <c r="AC103" s="10" t="s">
        <v>185</v>
      </c>
      <c r="AD103" s="10" t="s">
        <v>184</v>
      </c>
      <c r="AE103" s="10"/>
      <c r="AF103" s="10"/>
      <c r="AG103" s="10"/>
      <c r="AH103" s="10"/>
      <c r="AI103" s="10"/>
      <c r="AJ103" s="10" t="s">
        <v>212</v>
      </c>
      <c r="AK103" s="10"/>
      <c r="AL103" s="10"/>
      <c r="AM103" s="10"/>
      <c r="AN103" s="8"/>
      <c r="AO103" s="10" t="s">
        <v>359</v>
      </c>
      <c r="AP103" s="10" t="s">
        <v>188</v>
      </c>
      <c r="AQ103" s="11" t="n">
        <v>46119</v>
      </c>
      <c r="AR103" s="13"/>
      <c r="AS103" s="13"/>
      <c r="AT103" s="13"/>
      <c r="AU103" s="13"/>
      <c r="AV103" s="13"/>
      <c r="AW103" s="13"/>
      <c r="AX103" s="13" t="s">
        <v>185</v>
      </c>
      <c r="AY103" s="7" t="s">
        <v>159</v>
      </c>
      <c r="AZ103" s="7" t="s">
        <v>159</v>
      </c>
      <c r="BA103" s="7" t="s">
        <v>37</v>
      </c>
      <c r="BB103" s="7"/>
      <c r="BC103" s="7"/>
      <c r="BD103" s="9" t="n">
        <v>46331</v>
      </c>
      <c r="BE103" s="7"/>
      <c r="BF103" s="14" t="str">
        <f aca="true">IF(TRIM($A103)="Finalized","Closed",IF($BD103="","No review date set",IF($BD103&lt;TODAY(),"OVERDUE",IF($BD103-TODAY()&lt;=7,"Due within 7 days","Scheduled"))))</f>
        <v>Scheduled</v>
      </c>
      <c r="BG103" s="14" t="n">
        <f aca="true">IF($K103="","",TODAY()-$K103)</f>
        <v>11</v>
      </c>
      <c r="BH103" s="15" t="str">
        <f aca="false">IFERROR(LEFT(IF($B103="","Notes, ","")&amp;IF($K103="","Latest Date Worked, ","")&amp;IF($AY103="","Last Action, ","")&amp;IF(AND(OR(TRIM($A103)="Denied",TRIM($A103)="Rejected"),$BA103=""),"Denial Reason, ","")&amp;IF(AND(TRIM($A103)="Denied",$BB103="",TRIM($BA103)&lt;&gt;"NO DENIAL"),"Denial Code, ","")&amp;IF(AND(TRIM($A103)&lt;&gt;"Finalized",$BD103=""),"Next Review Date, ","")&amp;IF(AND(TRIM($A103)&lt;&gt;"Finalized",$BE103=""),"Next Step, ","")&amp;IF(AND(TRIM($A103)="Finalized",$AV103="",$AR103="",$AT103="",$AX103="",$AW103=""),"CPT outcome, ",""),LEN(IF($B103="","Notes, ","")&amp;IF($K103="","Latest Date Worked, ","")&amp;IF($AY103="","Last Action, ","")&amp;IF(AND(OR(TRIM($A103)="Denied",TRIM($A103)="Rejected"),$BA103=""),"Denial Reason, ","")&amp;IF(AND(TRIM($A103)="Denied",$BB103="",TRIM($BA103)&lt;&gt;"NO DENIAL"),"Denial Code, ","")&amp;IF(AND(TRIM($A103)&lt;&gt;"Finalized",$BD103=""),"Next Review Date, ","")&amp;IF(AND(TRIM($A103)&lt;&gt;"Finalized",$BE103=""),"Next Step, ","")&amp;IF(AND(TRIM($A103)="Finalized",$AV103="",$AR103="",$AT103="",$AX103="",$AW103=""),"CPT outcome, ",""))-2),"")</f>
        <v>Next Step</v>
      </c>
      <c r="BI103" s="15" t="str">
        <f aca="false">IF($BB103="","",IFERROR(INDEX('Denial Codes'!$C:$C,MATCH(LEFT($BB103,FIND(" - ",$BB103&amp;" - ")+2)&amp;"*",'Denial Codes'!$A:$A,0)),""))</f>
        <v/>
      </c>
      <c r="BJ103" s="15" t="str">
        <f aca="false">IF($BA103="","",IFERROR(INDEX(Lists!$B:$B,MATCH(TRIM($BA103),Lists!$A:$A,0))&amp;"",""))</f>
        <v>Check the NCCI pair; if the service was distinct, add 59/XU (or XS) and resubmit; otherwise adjust.</v>
      </c>
    </row>
    <row r="104" customFormat="false" ht="15" hidden="false" customHeight="false" outlineLevel="0" collapsed="false">
      <c r="A104" s="7" t="s">
        <v>19</v>
      </c>
      <c r="B104" s="7" t="s">
        <v>673</v>
      </c>
      <c r="C104" s="8" t="n">
        <v>559861642</v>
      </c>
      <c r="D104" s="9" t="n">
        <v>46217</v>
      </c>
      <c r="E104" s="10" t="s">
        <v>674</v>
      </c>
      <c r="F104" s="11" t="n">
        <v>46161</v>
      </c>
      <c r="G104" s="10" t="s">
        <v>323</v>
      </c>
      <c r="H104" s="10" t="s">
        <v>323</v>
      </c>
      <c r="I104" s="10" t="s">
        <v>129</v>
      </c>
      <c r="J104" s="10" t="s">
        <v>181</v>
      </c>
      <c r="K104" s="9" t="n">
        <v>46247</v>
      </c>
      <c r="L104" s="12" t="n">
        <f aca="true">IF($O104="","",$O104-TODAY())</f>
        <v>-90</v>
      </c>
      <c r="M104" s="12" t="n">
        <f aca="true">IF(AND(TRIM($A104)="Finalized",$K104&lt;&gt;""),"",IF($D104="","",$D104+365-TODAY()))</f>
        <v>271</v>
      </c>
      <c r="N104" s="12" t="n">
        <f aca="true">IF(AND(TRIM($A104)="Finalized",$K104&lt;&gt;""),"",IF($D104="","",$D104+365-TODAY()))</f>
        <v>271</v>
      </c>
      <c r="O104" s="11" t="n">
        <f aca="false">IF(AND(TRIM($A104)="Finalized",$K104&lt;&gt;""),"",DATE(2026,7,18))</f>
        <v>46221</v>
      </c>
      <c r="P104" s="10" t="s">
        <v>324</v>
      </c>
      <c r="Q104" s="10" t="s">
        <v>325</v>
      </c>
      <c r="R104" s="10" t="s">
        <v>114</v>
      </c>
      <c r="S104" s="10" t="s">
        <v>116</v>
      </c>
      <c r="T104" s="10" t="s">
        <v>114</v>
      </c>
      <c r="U104" s="10" t="s">
        <v>116</v>
      </c>
      <c r="V104" s="10" t="s">
        <v>266</v>
      </c>
      <c r="W104" s="10" t="s">
        <v>183</v>
      </c>
      <c r="X104" s="10"/>
      <c r="Y104" s="10"/>
      <c r="Z104" s="10"/>
      <c r="AA104" s="10" t="s">
        <v>197</v>
      </c>
      <c r="AB104" s="8" t="n">
        <f aca="true">IF($F104="","",TODAY()-$F104)</f>
        <v>150</v>
      </c>
      <c r="AC104" s="10" t="s">
        <v>184</v>
      </c>
      <c r="AD104" s="10" t="s">
        <v>185</v>
      </c>
      <c r="AE104" s="10"/>
      <c r="AF104" s="10"/>
      <c r="AG104" s="10"/>
      <c r="AH104" s="10"/>
      <c r="AI104" s="10"/>
      <c r="AJ104" s="10" t="s">
        <v>340</v>
      </c>
      <c r="AK104" s="10"/>
      <c r="AL104" s="10"/>
      <c r="AM104" s="10"/>
      <c r="AN104" s="8"/>
      <c r="AO104" s="10" t="s">
        <v>344</v>
      </c>
      <c r="AP104" s="10" t="s">
        <v>308</v>
      </c>
      <c r="AQ104" s="11" t="n">
        <v>46181</v>
      </c>
      <c r="AR104" s="13"/>
      <c r="AS104" s="13"/>
      <c r="AT104" s="13"/>
      <c r="AU104" s="13"/>
      <c r="AV104" s="13"/>
      <c r="AW104" s="13"/>
      <c r="AX104" s="13"/>
      <c r="AY104" s="7"/>
      <c r="AZ104" s="7"/>
      <c r="BA104" s="7" t="s">
        <v>36</v>
      </c>
      <c r="BB104" s="7"/>
      <c r="BC104" s="7"/>
      <c r="BD104" s="9" t="n">
        <v>46278</v>
      </c>
      <c r="BE104" s="7" t="s">
        <v>675</v>
      </c>
      <c r="BF104" s="14" t="str">
        <f aca="true">IF(TRIM($A104)="Finalized","Closed",IF($BD104="","No review date set",IF($BD104&lt;TODAY(),"OVERDUE",IF($BD104-TODAY()&lt;=7,"Due within 7 days","Scheduled"))))</f>
        <v>OVERDUE</v>
      </c>
      <c r="BG104" s="14" t="n">
        <f aca="true">IF($K104="","",TODAY()-$K104)</f>
        <v>64</v>
      </c>
      <c r="BH104" s="15" t="str">
        <f aca="false">IFERROR(LEFT(IF($B104="","Notes, ","")&amp;IF($K104="","Latest Date Worked, ","")&amp;IF($AY104="","Last Action, ","")&amp;IF(AND(OR(TRIM($A104)="Denied",TRIM($A104)="Rejected"),$BA104=""),"Denial Reason, ","")&amp;IF(AND(TRIM($A104)="Denied",$BB104="",TRIM($BA104)&lt;&gt;"NO DENIAL"),"Denial Code, ","")&amp;IF(AND(TRIM($A104)&lt;&gt;"Finalized",$BD104=""),"Next Review Date, ","")&amp;IF(AND(TRIM($A104)&lt;&gt;"Finalized",$BE104=""),"Next Step, ","")&amp;IF(AND(TRIM($A104)="Finalized",$AV104="",$AR104="",$AT104="",$AX104="",$AW104=""),"CPT outcome, ",""),LEN(IF($B104="","Notes, ","")&amp;IF($K104="","Latest Date Worked, ","")&amp;IF($AY104="","Last Action, ","")&amp;IF(AND(OR(TRIM($A104)="Denied",TRIM($A104)="Rejected"),$BA104=""),"Denial Reason, ","")&amp;IF(AND(TRIM($A104)="Denied",$BB104="",TRIM($BA104)&lt;&gt;"NO DENIAL"),"Denial Code, ","")&amp;IF(AND(TRIM($A104)&lt;&gt;"Finalized",$BD104=""),"Next Review Date, ","")&amp;IF(AND(TRIM($A104)&lt;&gt;"Finalized",$BE104=""),"Next Step, ","")&amp;IF(AND(TRIM($A104)="Finalized",$AV104="",$AR104="",$AT104="",$AX104="",$AW104=""),"CPT outcome, ",""))-2),"")</f>
        <v>Last Action</v>
      </c>
      <c r="BI104" s="15" t="str">
        <f aca="false">IF($BB104="","",IFERROR(INDEX('Denial Codes'!$C:$C,MATCH(LEFT($BB104,FIND(" - ",$BB104&amp;" - ")+2)&amp;"*",'Denial Codes'!$A:$A,0)),""))</f>
        <v/>
      </c>
      <c r="BJ104" s="15" t="str">
        <f aca="false">IF($BA104="","",IFERROR(INDEX(Lists!$B:$B,MATCH(TRIM($BA104),Lists!$A:$A,0))&amp;"",""))</f>
        <v>Upload the MR on the payer portal, note the PIQ/reference number and set a review date.</v>
      </c>
    </row>
    <row r="105" customFormat="false" ht="15" hidden="false" customHeight="false" outlineLevel="0" collapsed="false">
      <c r="A105" s="7" t="s">
        <v>16</v>
      </c>
      <c r="B105" s="7" t="s">
        <v>676</v>
      </c>
      <c r="C105" s="8" t="n">
        <v>553378154</v>
      </c>
      <c r="D105" s="9" t="n">
        <v>46163</v>
      </c>
      <c r="E105" s="10" t="s">
        <v>677</v>
      </c>
      <c r="F105" s="11" t="n">
        <v>46101</v>
      </c>
      <c r="G105" s="10" t="s">
        <v>111</v>
      </c>
      <c r="H105" s="10" t="s">
        <v>111</v>
      </c>
      <c r="I105" s="10" t="s">
        <v>129</v>
      </c>
      <c r="J105" s="10" t="s">
        <v>244</v>
      </c>
      <c r="K105" s="9" t="n">
        <v>46268</v>
      </c>
      <c r="L105" s="12" t="str">
        <f aca="true">IF($O105="","",$O105-TODAY())</f>
        <v/>
      </c>
      <c r="M105" s="12" t="str">
        <f aca="true">IF(AND(TRIM($A105)="Finalized",$K105&lt;&gt;""),"",IF($D105="","",$D105+180-TODAY()))</f>
        <v/>
      </c>
      <c r="N105" s="12" t="str">
        <f aca="true">IF(AND(TRIM($A105)="Finalized",$K105&lt;&gt;""),"",IF($D105="","",$D105+180-TODAY()))</f>
        <v/>
      </c>
      <c r="O105" s="11" t="str">
        <f aca="false">IF(AND(TRIM($A105)="Finalized",$K105&lt;&gt;""),"",DATE(2026,7,18))</f>
        <v/>
      </c>
      <c r="P105" s="10" t="s">
        <v>117</v>
      </c>
      <c r="Q105" s="10" t="s">
        <v>609</v>
      </c>
      <c r="R105" s="10" t="s">
        <v>147</v>
      </c>
      <c r="S105" s="10" t="s">
        <v>116</v>
      </c>
      <c r="T105" s="10" t="s">
        <v>147</v>
      </c>
      <c r="U105" s="10" t="s">
        <v>116</v>
      </c>
      <c r="V105" s="10" t="s">
        <v>167</v>
      </c>
      <c r="W105" s="10" t="s">
        <v>132</v>
      </c>
      <c r="X105" s="10"/>
      <c r="Y105" s="10"/>
      <c r="Z105" s="10"/>
      <c r="AA105" s="10" t="s">
        <v>197</v>
      </c>
      <c r="AB105" s="8" t="n">
        <f aca="true">IF($F105="","",TODAY()-$F105)</f>
        <v>210</v>
      </c>
      <c r="AC105" s="10" t="s">
        <v>246</v>
      </c>
      <c r="AD105" s="10"/>
      <c r="AE105" s="10"/>
      <c r="AF105" s="10"/>
      <c r="AG105" s="10"/>
      <c r="AH105" s="10"/>
      <c r="AI105" s="10"/>
      <c r="AJ105" s="10" t="s">
        <v>124</v>
      </c>
      <c r="AK105" s="10"/>
      <c r="AL105" s="10"/>
      <c r="AM105" s="10"/>
      <c r="AN105" s="8"/>
      <c r="AO105" s="10" t="s">
        <v>201</v>
      </c>
      <c r="AP105" s="10" t="s">
        <v>327</v>
      </c>
      <c r="AQ105" s="11" t="n">
        <v>46105</v>
      </c>
      <c r="AR105" s="13"/>
      <c r="AS105" s="13"/>
      <c r="AT105" s="13"/>
      <c r="AU105" s="13"/>
      <c r="AV105" s="13" t="s">
        <v>246</v>
      </c>
      <c r="AW105" s="13"/>
      <c r="AX105" s="13"/>
      <c r="AY105" s="7" t="s">
        <v>363</v>
      </c>
      <c r="AZ105" s="7"/>
      <c r="BA105" s="7"/>
      <c r="BB105" s="7"/>
      <c r="BC105" s="7"/>
      <c r="BD105" s="9"/>
      <c r="BE105" s="7"/>
      <c r="BF105" s="14" t="str">
        <f aca="true">IF(TRIM($A105)="Finalized","Closed",IF($BD105="","No review date set",IF($BD105&lt;TODAY(),"OVERDUE",IF($BD105-TODAY()&lt;=7,"Due within 7 days","Scheduled"))))</f>
        <v>Closed</v>
      </c>
      <c r="BG105" s="14" t="n">
        <f aca="true">IF($K105="","",TODAY()-$K105)</f>
        <v>43</v>
      </c>
      <c r="BH105" s="15" t="str">
        <f aca="false">IFERROR(LEFT(IF($B105="","Notes, ","")&amp;IF($K105="","Latest Date Worked, ","")&amp;IF($AY105="","Last Action, ","")&amp;IF(AND(OR(TRIM($A105)="Denied",TRIM($A105)="Rejected"),$BA105=""),"Denial Reason, ","")&amp;IF(AND(TRIM($A105)="Denied",$BB105="",TRIM($BA105)&lt;&gt;"NO DENIAL"),"Denial Code, ","")&amp;IF(AND(TRIM($A105)&lt;&gt;"Finalized",$BD105=""),"Next Review Date, ","")&amp;IF(AND(TRIM($A105)&lt;&gt;"Finalized",$BE105=""),"Next Step, ","")&amp;IF(AND(TRIM($A105)="Finalized",$AV105="",$AR105="",$AT105="",$AX105="",$AW105=""),"CPT outcome, ",""),LEN(IF($B105="","Notes, ","")&amp;IF($K105="","Latest Date Worked, ","")&amp;IF($AY105="","Last Action, ","")&amp;IF(AND(OR(TRIM($A105)="Denied",TRIM($A105)="Rejected"),$BA105=""),"Denial Reason, ","")&amp;IF(AND(TRIM($A105)="Denied",$BB105="",TRIM($BA105)&lt;&gt;"NO DENIAL"),"Denial Code, ","")&amp;IF(AND(TRIM($A105)&lt;&gt;"Finalized",$BD105=""),"Next Review Date, ","")&amp;IF(AND(TRIM($A105)&lt;&gt;"Finalized",$BE105=""),"Next Step, ","")&amp;IF(AND(TRIM($A105)="Finalized",$AV105="",$AR105="",$AT105="",$AX105="",$AW105=""),"CPT outcome, ",""))-2),"")</f>
        <v/>
      </c>
      <c r="BI105" s="15" t="str">
        <f aca="false">IF($BB105="","",IFERROR(INDEX('Denial Codes'!$C:$C,MATCH(LEFT($BB105,FIND(" - ",$BB105&amp;" - ")+2)&amp;"*",'Denial Codes'!$A:$A,0)),""))</f>
        <v/>
      </c>
      <c r="BJ105" s="15" t="str">
        <f aca="false">IF($BA105="","",IFERROR(INDEX(Lists!$B:$B,MATCH(TRIM($BA105),Lists!$A:$A,0))&amp;"",""))</f>
        <v/>
      </c>
    </row>
    <row r="106" customFormat="false" ht="15" hidden="false" customHeight="false" outlineLevel="0" collapsed="false">
      <c r="A106" s="7" t="s">
        <v>17</v>
      </c>
      <c r="B106" s="7" t="s">
        <v>678</v>
      </c>
      <c r="C106" s="8" t="n">
        <v>556564886</v>
      </c>
      <c r="D106" s="9" t="n">
        <v>46157</v>
      </c>
      <c r="E106" s="10" t="s">
        <v>455</v>
      </c>
      <c r="F106" s="11" t="n">
        <v>46132</v>
      </c>
      <c r="G106" s="10" t="s">
        <v>163</v>
      </c>
      <c r="H106" s="10" t="s">
        <v>163</v>
      </c>
      <c r="I106" s="10" t="s">
        <v>129</v>
      </c>
      <c r="J106" s="10" t="s">
        <v>209</v>
      </c>
      <c r="K106" s="9" t="n">
        <v>46276</v>
      </c>
      <c r="L106" s="12" t="n">
        <f aca="true">IF($O106="","",$O106-TODAY())</f>
        <v>-89</v>
      </c>
      <c r="M106" s="12" t="n">
        <f aca="true">IF(AND(TRIM($A106)="Finalized",$K106&lt;&gt;""),"",IF($F106="","",$F106+90-TODAY()))</f>
        <v>-89</v>
      </c>
      <c r="N106" s="12" t="n">
        <f aca="true">IF(AND(TRIM($A106)="Finalized",$K106&lt;&gt;""),"",IF($D106="","",$D106+365-TODAY()))</f>
        <v>211</v>
      </c>
      <c r="O106" s="11" t="n">
        <f aca="false">IF(AND(TRIM($A106)="Finalized",$K106&lt;&gt;""),"",DATE(2026,7,19))</f>
        <v>46222</v>
      </c>
      <c r="P106" s="10" t="s">
        <v>165</v>
      </c>
      <c r="Q106" s="10" t="s">
        <v>166</v>
      </c>
      <c r="R106" s="10" t="s">
        <v>165</v>
      </c>
      <c r="S106" s="10" t="s">
        <v>149</v>
      </c>
      <c r="T106" s="10" t="s">
        <v>114</v>
      </c>
      <c r="U106" s="10" t="s">
        <v>116</v>
      </c>
      <c r="V106" s="10" t="s">
        <v>221</v>
      </c>
      <c r="W106" s="10" t="s">
        <v>183</v>
      </c>
      <c r="X106" s="10"/>
      <c r="Y106" s="10"/>
      <c r="Z106" s="10"/>
      <c r="AA106" s="10" t="s">
        <v>197</v>
      </c>
      <c r="AB106" s="8" t="n">
        <f aca="true">IF($F106="","",TODAY()-$F106)</f>
        <v>179</v>
      </c>
      <c r="AC106" s="10" t="s">
        <v>184</v>
      </c>
      <c r="AD106" s="10" t="s">
        <v>211</v>
      </c>
      <c r="AE106" s="10"/>
      <c r="AF106" s="10"/>
      <c r="AG106" s="10"/>
      <c r="AH106" s="10"/>
      <c r="AI106" s="10"/>
      <c r="AJ106" s="10" t="s">
        <v>212</v>
      </c>
      <c r="AK106" s="10"/>
      <c r="AL106" s="10"/>
      <c r="AM106" s="10"/>
      <c r="AN106" s="8"/>
      <c r="AO106" s="10" t="s">
        <v>344</v>
      </c>
      <c r="AP106" s="10" t="s">
        <v>308</v>
      </c>
      <c r="AQ106" s="11" t="n">
        <v>46153</v>
      </c>
      <c r="AR106" s="13"/>
      <c r="AS106" s="13"/>
      <c r="AT106" s="13"/>
      <c r="AU106" s="13"/>
      <c r="AV106" s="13"/>
      <c r="AW106" s="13"/>
      <c r="AX106" s="13"/>
      <c r="AY106" s="7"/>
      <c r="AZ106" s="7"/>
      <c r="BA106" s="7" t="s">
        <v>41</v>
      </c>
      <c r="BB106" s="7"/>
      <c r="BC106" s="7"/>
      <c r="BD106" s="9" t="n">
        <v>46306</v>
      </c>
      <c r="BE106" s="7" t="s">
        <v>679</v>
      </c>
      <c r="BF106" s="14" t="str">
        <f aca="true">IF(TRIM($A106)="Finalized","Closed",IF($BD106="","No review date set",IF($BD106&lt;TODAY(),"OVERDUE",IF($BD106-TODAY()&lt;=7,"Due within 7 days","Scheduled"))))</f>
        <v>OVERDUE</v>
      </c>
      <c r="BG106" s="14" t="n">
        <f aca="true">IF($K106="","",TODAY()-$K106)</f>
        <v>35</v>
      </c>
      <c r="BH106" s="15" t="str">
        <f aca="false">IFERROR(LEFT(IF($B106="","Notes, ","")&amp;IF($K106="","Latest Date Worked, ","")&amp;IF($AY106="","Last Action, ","")&amp;IF(AND(OR(TRIM($A106)="Denied",TRIM($A106)="Rejected"),$BA106=""),"Denial Reason, ","")&amp;IF(AND(TRIM($A106)="Denied",$BB106="",TRIM($BA106)&lt;&gt;"NO DENIAL"),"Denial Code, ","")&amp;IF(AND(TRIM($A106)&lt;&gt;"Finalized",$BD106=""),"Next Review Date, ","")&amp;IF(AND(TRIM($A106)&lt;&gt;"Finalized",$BE106=""),"Next Step, ","")&amp;IF(AND(TRIM($A106)="Finalized",$AV106="",$AR106="",$AT106="",$AX106="",$AW106=""),"CPT outcome, ",""),LEN(IF($B106="","Notes, ","")&amp;IF($K106="","Latest Date Worked, ","")&amp;IF($AY106="","Last Action, ","")&amp;IF(AND(OR(TRIM($A106)="Denied",TRIM($A106)="Rejected"),$BA106=""),"Denial Reason, ","")&amp;IF(AND(TRIM($A106)="Denied",$BB106="",TRIM($BA106)&lt;&gt;"NO DENIAL"),"Denial Code, ","")&amp;IF(AND(TRIM($A106)&lt;&gt;"Finalized",$BD106=""),"Next Review Date, ","")&amp;IF(AND(TRIM($A106)&lt;&gt;"Finalized",$BE106=""),"Next Step, ","")&amp;IF(AND(TRIM($A106)="Finalized",$AV106="",$AR106="",$AT106="",$AX106="",$AW106=""),"CPT outcome, ",""))-2),"")</f>
        <v>Last Action, Denial Code</v>
      </c>
      <c r="BI106" s="15" t="str">
        <f aca="false">IF($BB106="","",IFERROR(INDEX('Denial Codes'!$C:$C,MATCH(LEFT($BB106,FIND(" - ",$BB106&amp;" - ")+2)&amp;"*",'Denial Codes'!$A:$A,0)),""))</f>
        <v/>
      </c>
      <c r="BJ106" s="15" t="str">
        <f aca="false">IF($BA106="","",IFERROR(INDEX(Lists!$B:$B,MATCH(TRIM($BA106),Lists!$A:$A,0))&amp;"",""))</f>
        <v>Confirm benefits; bill the patient if an ABN/waiver is on file, otherwise appeal or adjust.</v>
      </c>
    </row>
    <row r="107" customFormat="false" ht="15" hidden="false" customHeight="false" outlineLevel="0" collapsed="false">
      <c r="A107" s="7" t="s">
        <v>17</v>
      </c>
      <c r="B107" s="7" t="s">
        <v>680</v>
      </c>
      <c r="C107" s="8" t="n">
        <v>558686710</v>
      </c>
      <c r="D107" s="9" t="n">
        <v>46162</v>
      </c>
      <c r="E107" s="10" t="s">
        <v>681</v>
      </c>
      <c r="F107" s="11" t="n">
        <v>46132</v>
      </c>
      <c r="G107" s="10" t="s">
        <v>163</v>
      </c>
      <c r="H107" s="10" t="s">
        <v>163</v>
      </c>
      <c r="I107" s="10" t="s">
        <v>163</v>
      </c>
      <c r="J107" s="10" t="s">
        <v>682</v>
      </c>
      <c r="K107" s="9" t="n">
        <v>46278</v>
      </c>
      <c r="L107" s="12" t="n">
        <f aca="true">IF($O107="","",$O107-TODAY())</f>
        <v>-89</v>
      </c>
      <c r="M107" s="12" t="n">
        <f aca="true">IF(AND(TRIM($A107)="Finalized",$K107&lt;&gt;""),"",IF($F107="","",$F107+90-TODAY()))</f>
        <v>-89</v>
      </c>
      <c r="N107" s="12" t="n">
        <f aca="true">IF(AND(TRIM($A107)="Finalized",$K107&lt;&gt;""),"",IF($D107="","",$D107+365-TODAY()))</f>
        <v>216</v>
      </c>
      <c r="O107" s="11" t="n">
        <f aca="false">IF(AND(TRIM($A107)="Finalized",$K107&lt;&gt;""),"",DATE(2026,7,19))</f>
        <v>46222</v>
      </c>
      <c r="P107" s="10" t="s">
        <v>165</v>
      </c>
      <c r="Q107" s="10" t="s">
        <v>166</v>
      </c>
      <c r="R107" s="10" t="s">
        <v>165</v>
      </c>
      <c r="S107" s="10" t="s">
        <v>149</v>
      </c>
      <c r="T107" s="10" t="s">
        <v>114</v>
      </c>
      <c r="U107" s="10" t="s">
        <v>116</v>
      </c>
      <c r="V107" s="10" t="s">
        <v>221</v>
      </c>
      <c r="W107" s="10" t="s">
        <v>434</v>
      </c>
      <c r="X107" s="10" t="s">
        <v>478</v>
      </c>
      <c r="Y107" s="10" t="s">
        <v>620</v>
      </c>
      <c r="Z107" s="10" t="s">
        <v>621</v>
      </c>
      <c r="AA107" s="10" t="s">
        <v>683</v>
      </c>
      <c r="AB107" s="8" t="n">
        <f aca="true">IF($F107="","",TODAY()-$F107)</f>
        <v>179</v>
      </c>
      <c r="AC107" s="10" t="s">
        <v>441</v>
      </c>
      <c r="AD107" s="10" t="s">
        <v>438</v>
      </c>
      <c r="AE107" s="10" t="s">
        <v>657</v>
      </c>
      <c r="AF107" s="10" t="s">
        <v>442</v>
      </c>
      <c r="AG107" s="10" t="s">
        <v>440</v>
      </c>
      <c r="AH107" s="10" t="s">
        <v>443</v>
      </c>
      <c r="AI107" s="10" t="s">
        <v>439</v>
      </c>
      <c r="AJ107" s="10" t="s">
        <v>579</v>
      </c>
      <c r="AK107" s="10" t="s">
        <v>445</v>
      </c>
      <c r="AL107" s="10" t="s">
        <v>622</v>
      </c>
      <c r="AM107" s="10"/>
      <c r="AN107" s="8" t="n">
        <v>561534376</v>
      </c>
      <c r="AO107" s="10" t="s">
        <v>447</v>
      </c>
      <c r="AP107" s="10" t="s">
        <v>327</v>
      </c>
      <c r="AQ107" s="11" t="n">
        <v>46152</v>
      </c>
      <c r="AR107" s="13"/>
      <c r="AS107" s="13"/>
      <c r="AT107" s="13"/>
      <c r="AU107" s="13"/>
      <c r="AV107" s="13" t="s">
        <v>684</v>
      </c>
      <c r="AW107" s="13"/>
      <c r="AX107" s="13" t="s">
        <v>684</v>
      </c>
      <c r="AY107" s="7" t="s">
        <v>159</v>
      </c>
      <c r="AZ107" s="7"/>
      <c r="BA107" s="7" t="s">
        <v>45</v>
      </c>
      <c r="BB107" s="7"/>
      <c r="BC107" s="7"/>
      <c r="BD107" s="9" t="n">
        <v>46308</v>
      </c>
      <c r="BE107" s="7"/>
      <c r="BF107" s="14" t="str">
        <f aca="true">IF(TRIM($A107)="Finalized","Closed",IF($BD107="","No review date set",IF($BD107&lt;TODAY(),"OVERDUE",IF($BD107-TODAY()&lt;=7,"Due within 7 days","Scheduled"))))</f>
        <v>OVERDUE</v>
      </c>
      <c r="BG107" s="14" t="n">
        <f aca="true">IF($K107="","",TODAY()-$K107)</f>
        <v>33</v>
      </c>
      <c r="BH107" s="15" t="str">
        <f aca="false">IFERROR(LEFT(IF($B107="","Notes, ","")&amp;IF($K107="","Latest Date Worked, ","")&amp;IF($AY107="","Last Action, ","")&amp;IF(AND(OR(TRIM($A107)="Denied",TRIM($A107)="Rejected"),$BA107=""),"Denial Reason, ","")&amp;IF(AND(TRIM($A107)="Denied",$BB107="",TRIM($BA107)&lt;&gt;"NO DENIAL"),"Denial Code, ","")&amp;IF(AND(TRIM($A107)&lt;&gt;"Finalized",$BD107=""),"Next Review Date, ","")&amp;IF(AND(TRIM($A107)&lt;&gt;"Finalized",$BE107=""),"Next Step, ","")&amp;IF(AND(TRIM($A107)="Finalized",$AV107="",$AR107="",$AT107="",$AX107="",$AW107=""),"CPT outcome, ",""),LEN(IF($B107="","Notes, ","")&amp;IF($K107="","Latest Date Worked, ","")&amp;IF($AY107="","Last Action, ","")&amp;IF(AND(OR(TRIM($A107)="Denied",TRIM($A107)="Rejected"),$BA107=""),"Denial Reason, ","")&amp;IF(AND(TRIM($A107)="Denied",$BB107="",TRIM($BA107)&lt;&gt;"NO DENIAL"),"Denial Code, ","")&amp;IF(AND(TRIM($A107)&lt;&gt;"Finalized",$BD107=""),"Next Review Date, ","")&amp;IF(AND(TRIM($A107)&lt;&gt;"Finalized",$BE107=""),"Next Step, ","")&amp;IF(AND(TRIM($A107)="Finalized",$AV107="",$AR107="",$AT107="",$AX107="",$AW107=""),"CPT outcome, ",""))-2),"")</f>
        <v>Denial Code, Next Step</v>
      </c>
      <c r="BI107" s="15" t="str">
        <f aca="false">IF($BB107="","",IFERROR(INDEX('Denial Codes'!$C:$C,MATCH(LEFT($BB107,FIND(" - ",$BB107&amp;" - ")+2)&amp;"*",'Denial Codes'!$A:$A,0)),""))</f>
        <v/>
      </c>
      <c r="BJ107" s="15" t="str">
        <f aca="false">IF($BA107="","",IFERROR(INDEX(Lists!$B:$B,MATCH(TRIM($BA107),Lists!$A:$A,0))&amp;"",""))</f>
        <v>Get the other insurance and primary EOB, update COB with the payer and bill primary first.</v>
      </c>
    </row>
    <row r="108" customFormat="false" ht="15" hidden="false" customHeight="false" outlineLevel="0" collapsed="false">
      <c r="A108" s="7" t="s">
        <v>18</v>
      </c>
      <c r="B108" s="7" t="s">
        <v>640</v>
      </c>
      <c r="C108" s="8" t="n">
        <v>556833981</v>
      </c>
      <c r="D108" s="9" t="n">
        <v>46141</v>
      </c>
      <c r="E108" s="10" t="s">
        <v>685</v>
      </c>
      <c r="F108" s="11" t="n">
        <v>46132</v>
      </c>
      <c r="G108" s="10" t="s">
        <v>208</v>
      </c>
      <c r="H108" s="10" t="s">
        <v>208</v>
      </c>
      <c r="I108" s="10" t="s">
        <v>129</v>
      </c>
      <c r="J108" s="10" t="s">
        <v>272</v>
      </c>
      <c r="K108" s="9"/>
      <c r="L108" s="12" t="n">
        <f aca="true">IF($O108="","",$O108-TODAY())</f>
        <v>-89</v>
      </c>
      <c r="M108" s="12" t="n">
        <f aca="true">IF(AND(TRIM($A108)="Finalized",$K108&lt;&gt;""),"",IF($D108="","",$D108+180-TODAY()))</f>
        <v>10</v>
      </c>
      <c r="N108" s="12" t="n">
        <f aca="true">IF(AND(TRIM($A108)="Finalized",$K108&lt;&gt;""),"",IF($D108="","",$D108+365-TODAY()))</f>
        <v>195</v>
      </c>
      <c r="O108" s="11" t="n">
        <f aca="false">IF(AND(TRIM($A108)="Finalized",$K108&lt;&gt;""),"",DATE(2026,7,19))</f>
        <v>46222</v>
      </c>
      <c r="P108" s="10" t="s">
        <v>165</v>
      </c>
      <c r="Q108" s="10" t="s">
        <v>210</v>
      </c>
      <c r="R108" s="10" t="s">
        <v>147</v>
      </c>
      <c r="S108" s="10" t="s">
        <v>116</v>
      </c>
      <c r="T108" s="10" t="s">
        <v>114</v>
      </c>
      <c r="U108" s="10" t="s">
        <v>116</v>
      </c>
      <c r="V108" s="10" t="s">
        <v>221</v>
      </c>
      <c r="W108" s="10" t="s">
        <v>119</v>
      </c>
      <c r="X108" s="10" t="s">
        <v>120</v>
      </c>
      <c r="Y108" s="10"/>
      <c r="Z108" s="10"/>
      <c r="AA108" s="10" t="s">
        <v>121</v>
      </c>
      <c r="AB108" s="8" t="n">
        <f aca="true">IF($F108="","",TODAY()-$F108)</f>
        <v>179</v>
      </c>
      <c r="AC108" s="10" t="s">
        <v>273</v>
      </c>
      <c r="AD108" s="10"/>
      <c r="AE108" s="10"/>
      <c r="AF108" s="10"/>
      <c r="AG108" s="10"/>
      <c r="AH108" s="10"/>
      <c r="AI108" s="10"/>
      <c r="AJ108" s="10" t="s">
        <v>123</v>
      </c>
      <c r="AK108" s="10" t="s">
        <v>686</v>
      </c>
      <c r="AL108" s="10"/>
      <c r="AM108" s="10"/>
      <c r="AN108" s="8"/>
      <c r="AO108" s="10" t="s">
        <v>569</v>
      </c>
      <c r="AP108" s="10" t="s">
        <v>188</v>
      </c>
      <c r="AQ108" s="11" t="n">
        <v>46134</v>
      </c>
      <c r="AR108" s="13"/>
      <c r="AS108" s="13"/>
      <c r="AT108" s="13"/>
      <c r="AU108" s="13"/>
      <c r="AV108" s="13"/>
      <c r="AW108" s="13"/>
      <c r="AX108" s="13" t="s">
        <v>273</v>
      </c>
      <c r="AY108" s="7"/>
      <c r="AZ108" s="7"/>
      <c r="BA108" s="7" t="s">
        <v>44</v>
      </c>
      <c r="BB108" s="7"/>
      <c r="BC108" s="7"/>
      <c r="BD108" s="9"/>
      <c r="BE108" s="7" t="s">
        <v>644</v>
      </c>
      <c r="BF108" s="14" t="str">
        <f aca="true">IF(TRIM($A108)="Finalized","Closed",IF($BD108="","No review date set",IF($BD108&lt;TODAY(),"OVERDUE",IF($BD108-TODAY()&lt;=7,"Due within 7 days","Scheduled"))))</f>
        <v>No review date set</v>
      </c>
      <c r="BG108" s="14" t="str">
        <f aca="true">IF($K108="","",TODAY()-$K108)</f>
        <v/>
      </c>
      <c r="BH108" s="15" t="str">
        <f aca="false">IFERROR(LEFT(IF($B108="","Notes, ","")&amp;IF($K108="","Latest Date Worked, ","")&amp;IF($AY108="","Last Action, ","")&amp;IF(AND(OR(TRIM($A108)="Denied",TRIM($A108)="Rejected"),$BA108=""),"Denial Reason, ","")&amp;IF(AND(TRIM($A108)="Denied",$BB108="",TRIM($BA108)&lt;&gt;"NO DENIAL"),"Denial Code, ","")&amp;IF(AND(TRIM($A108)&lt;&gt;"Finalized",$BD108=""),"Next Review Date, ","")&amp;IF(AND(TRIM($A108)&lt;&gt;"Finalized",$BE108=""),"Next Step, ","")&amp;IF(AND(TRIM($A108)="Finalized",$AV108="",$AR108="",$AT108="",$AX108="",$AW108=""),"CPT outcome, ",""),LEN(IF($B108="","Notes, ","")&amp;IF($K108="","Latest Date Worked, ","")&amp;IF($AY108="","Last Action, ","")&amp;IF(AND(OR(TRIM($A108)="Denied",TRIM($A108)="Rejected"),$BA108=""),"Denial Reason, ","")&amp;IF(AND(TRIM($A108)="Denied",$BB108="",TRIM($BA108)&lt;&gt;"NO DENIAL"),"Denial Code, ","")&amp;IF(AND(TRIM($A108)&lt;&gt;"Finalized",$BD108=""),"Next Review Date, ","")&amp;IF(AND(TRIM($A108)&lt;&gt;"Finalized",$BE108=""),"Next Step, ","")&amp;IF(AND(TRIM($A108)="Finalized",$AV108="",$AR108="",$AT108="",$AX108="",$AW108=""),"CPT outcome, ",""))-2),"")</f>
        <v>Latest Date Worked, Last Action, Next Review Date</v>
      </c>
      <c r="BI108" s="15" t="str">
        <f aca="false">IF($BB108="","",IFERROR(INDEX('Denial Codes'!$C:$C,MATCH(LEFT($BB108,FIND(" - ",$BB108&amp;" - ")+2)&amp;"*",'Denial Codes'!$A:$A,0)),""))</f>
        <v/>
      </c>
      <c r="BJ108" s="15" t="str">
        <f aca="false">IF($BA108="","",IFERROR(INDEX(Lists!$B:$B,MATCH(TRIM($BA108),Lists!$A:$A,0))&amp;"",""))</f>
        <v>Bill the correct payer, delegated vendor or capitated group/IPA (e.g. Optum Behavioral, Preferred Homecare).</v>
      </c>
    </row>
    <row r="109" customFormat="false" ht="15" hidden="false" customHeight="false" outlineLevel="0" collapsed="false">
      <c r="A109" s="7" t="s">
        <v>17</v>
      </c>
      <c r="B109" s="7" t="s">
        <v>367</v>
      </c>
      <c r="C109" s="8" t="n">
        <v>570349832</v>
      </c>
      <c r="D109" s="9" t="n">
        <v>46268</v>
      </c>
      <c r="E109" s="10" t="s">
        <v>560</v>
      </c>
      <c r="F109" s="11" t="n">
        <v>46134</v>
      </c>
      <c r="G109" s="10" t="s">
        <v>369</v>
      </c>
      <c r="H109" s="10" t="s">
        <v>369</v>
      </c>
      <c r="I109" s="10" t="s">
        <v>129</v>
      </c>
      <c r="J109" s="10" t="s">
        <v>209</v>
      </c>
      <c r="K109" s="9" t="n">
        <v>46265</v>
      </c>
      <c r="L109" s="12" t="n">
        <f aca="true">IF($O109="","",$O109-TODAY())</f>
        <v>-87</v>
      </c>
      <c r="M109" s="12" t="n">
        <f aca="true">IF(AND(TRIM($A109)="Finalized",$K109&lt;&gt;""),"",IF($D109="","",$D109+365-TODAY()))</f>
        <v>322</v>
      </c>
      <c r="N109" s="12" t="n">
        <f aca="true">IF(AND(TRIM($A109)="Finalized",$K109&lt;&gt;""),"",IF($D109="","",$D109+365-TODAY()))</f>
        <v>322</v>
      </c>
      <c r="O109" s="11" t="n">
        <f aca="false">IF(AND(TRIM($A109)="Finalized",$K109&lt;&gt;""),"",DATE(2026,7,21))</f>
        <v>46224</v>
      </c>
      <c r="P109" s="10" t="s">
        <v>165</v>
      </c>
      <c r="Q109" s="10" t="s">
        <v>371</v>
      </c>
      <c r="R109" s="10" t="s">
        <v>114</v>
      </c>
      <c r="S109" s="10" t="s">
        <v>116</v>
      </c>
      <c r="T109" s="10" t="s">
        <v>114</v>
      </c>
      <c r="U109" s="10" t="s">
        <v>116</v>
      </c>
      <c r="V109" s="10" t="s">
        <v>221</v>
      </c>
      <c r="W109" s="10" t="s">
        <v>183</v>
      </c>
      <c r="X109" s="10"/>
      <c r="Y109" s="10"/>
      <c r="Z109" s="10"/>
      <c r="AA109" s="10" t="s">
        <v>197</v>
      </c>
      <c r="AB109" s="8" t="n">
        <f aca="true">IF($F109="","",TODAY()-$F109)</f>
        <v>177</v>
      </c>
      <c r="AC109" s="10" t="s">
        <v>184</v>
      </c>
      <c r="AD109" s="10" t="s">
        <v>211</v>
      </c>
      <c r="AE109" s="10"/>
      <c r="AF109" s="10"/>
      <c r="AG109" s="10"/>
      <c r="AH109" s="10"/>
      <c r="AI109" s="10"/>
      <c r="AJ109" s="10" t="s">
        <v>687</v>
      </c>
      <c r="AK109" s="10" t="s">
        <v>385</v>
      </c>
      <c r="AL109" s="10"/>
      <c r="AM109" s="10"/>
      <c r="AN109" s="8"/>
      <c r="AO109" s="10" t="s">
        <v>213</v>
      </c>
      <c r="AP109" s="10" t="s">
        <v>202</v>
      </c>
      <c r="AQ109" s="11" t="n">
        <v>46153</v>
      </c>
      <c r="AR109" s="13"/>
      <c r="AS109" s="13"/>
      <c r="AT109" s="13"/>
      <c r="AU109" s="13"/>
      <c r="AV109" s="13" t="s">
        <v>184</v>
      </c>
      <c r="AW109" s="13"/>
      <c r="AX109" s="13" t="s">
        <v>214</v>
      </c>
      <c r="AY109" s="7" t="s">
        <v>159</v>
      </c>
      <c r="AZ109" s="7"/>
      <c r="BA109" s="7" t="s">
        <v>40</v>
      </c>
      <c r="BB109" s="7" t="s">
        <v>372</v>
      </c>
      <c r="BC109" s="7"/>
      <c r="BD109" s="9" t="n">
        <v>46295</v>
      </c>
      <c r="BE109" s="7"/>
      <c r="BF109" s="14" t="str">
        <f aca="true">IF(TRIM($A109)="Finalized","Closed",IF($BD109="","No review date set",IF($BD109&lt;TODAY(),"OVERDUE",IF($BD109-TODAY()&lt;=7,"Due within 7 days","Scheduled"))))</f>
        <v>OVERDUE</v>
      </c>
      <c r="BG109" s="14" t="n">
        <f aca="true">IF($K109="","",TODAY()-$K109)</f>
        <v>46</v>
      </c>
      <c r="BH109" s="15" t="str">
        <f aca="false">IFERROR(LEFT(IF($B109="","Notes, ","")&amp;IF($K109="","Latest Date Worked, ","")&amp;IF($AY109="","Last Action, ","")&amp;IF(AND(OR(TRIM($A109)="Denied",TRIM($A109)="Rejected"),$BA109=""),"Denial Reason, ","")&amp;IF(AND(TRIM($A109)="Denied",$BB109="",TRIM($BA109)&lt;&gt;"NO DENIAL"),"Denial Code, ","")&amp;IF(AND(TRIM($A109)&lt;&gt;"Finalized",$BD109=""),"Next Review Date, ","")&amp;IF(AND(TRIM($A109)&lt;&gt;"Finalized",$BE109=""),"Next Step, ","")&amp;IF(AND(TRIM($A109)="Finalized",$AV109="",$AR109="",$AT109="",$AX109="",$AW109=""),"CPT outcome, ",""),LEN(IF($B109="","Notes, ","")&amp;IF($K109="","Latest Date Worked, ","")&amp;IF($AY109="","Last Action, ","")&amp;IF(AND(OR(TRIM($A109)="Denied",TRIM($A109)="Rejected"),$BA109=""),"Denial Reason, ","")&amp;IF(AND(TRIM($A109)="Denied",$BB109="",TRIM($BA109)&lt;&gt;"NO DENIAL"),"Denial Code, ","")&amp;IF(AND(TRIM($A109)&lt;&gt;"Finalized",$BD109=""),"Next Review Date, ","")&amp;IF(AND(TRIM($A109)&lt;&gt;"Finalized",$BE109=""),"Next Step, ","")&amp;IF(AND(TRIM($A109)="Finalized",$AV109="",$AR109="",$AT109="",$AX109="",$AW109=""),"CPT outcome, ",""))-2),"")</f>
        <v>Next Step</v>
      </c>
      <c r="BI109" s="15" t="str">
        <f aca="false">IF($BB109="","",IFERROR(INDEX('Denial Codes'!$C:$C,MATCH(LEFT($BB109,FIND(" - ",$BB109&amp;" - ")+2)&amp;"*",'Denial Codes'!$A:$A,0)),""))</f>
        <v>Coding / billing error</v>
      </c>
      <c r="BJ109" s="15" t="str">
        <f aca="false">IF($BA109="","",IFERROR(INDEX(Lists!$B:$B,MATCH(TRIM($BA109),Lists!$A:$A,0))&amp;"",""))</f>
        <v>Fix the code, units, charge or other claim data and resubmit as a corrected claim.</v>
      </c>
    </row>
    <row r="110" customFormat="false" ht="15" hidden="false" customHeight="false" outlineLevel="0" collapsed="false">
      <c r="A110" s="7" t="s">
        <v>17</v>
      </c>
      <c r="B110" s="7" t="s">
        <v>688</v>
      </c>
      <c r="C110" s="8" t="n">
        <v>563133469</v>
      </c>
      <c r="D110" s="9" t="n">
        <v>46202</v>
      </c>
      <c r="E110" s="10" t="s">
        <v>689</v>
      </c>
      <c r="F110" s="11" t="n">
        <v>46135</v>
      </c>
      <c r="G110" s="10" t="s">
        <v>333</v>
      </c>
      <c r="H110" s="10" t="s">
        <v>333</v>
      </c>
      <c r="I110" s="10" t="s">
        <v>129</v>
      </c>
      <c r="J110" s="10" t="s">
        <v>690</v>
      </c>
      <c r="K110" s="9" t="n">
        <v>46279</v>
      </c>
      <c r="L110" s="12" t="n">
        <f aca="true">IF($O110="","",$O110-TODAY())</f>
        <v>-86</v>
      </c>
      <c r="M110" s="12" t="n">
        <f aca="true">IF(AND(TRIM($A110)="Finalized",$K110&lt;&gt;""),"",IF($F110="","",$F110+90-TODAY()))</f>
        <v>-86</v>
      </c>
      <c r="N110" s="12" t="n">
        <f aca="true">IF(AND(TRIM($A110)="Finalized",$K110&lt;&gt;""),"",IF($D110="","",$D110+60-TODAY()))</f>
        <v>-49</v>
      </c>
      <c r="O110" s="11" t="n">
        <f aca="false">IF(AND(TRIM($A110)="Finalized",$K110&lt;&gt;""),"",DATE(2026,7,22))</f>
        <v>46225</v>
      </c>
      <c r="P110" s="10" t="s">
        <v>165</v>
      </c>
      <c r="Q110" s="10" t="s">
        <v>334</v>
      </c>
      <c r="R110" s="10" t="s">
        <v>165</v>
      </c>
      <c r="S110" s="10" t="s">
        <v>149</v>
      </c>
      <c r="T110" s="10" t="s">
        <v>324</v>
      </c>
      <c r="U110" s="10" t="s">
        <v>116</v>
      </c>
      <c r="V110" s="10" t="s">
        <v>221</v>
      </c>
      <c r="W110" s="10" t="s">
        <v>132</v>
      </c>
      <c r="X110" s="10" t="s">
        <v>134</v>
      </c>
      <c r="Y110" s="10"/>
      <c r="Z110" s="10"/>
      <c r="AA110" s="10" t="s">
        <v>197</v>
      </c>
      <c r="AB110" s="8" t="n">
        <f aca="true">IF($F110="","",TODAY()-$F110)</f>
        <v>176</v>
      </c>
      <c r="AC110" s="10" t="s">
        <v>524</v>
      </c>
      <c r="AD110" s="10" t="s">
        <v>137</v>
      </c>
      <c r="AE110" s="10" t="s">
        <v>136</v>
      </c>
      <c r="AF110" s="10" t="s">
        <v>137</v>
      </c>
      <c r="AG110" s="10"/>
      <c r="AH110" s="10"/>
      <c r="AI110" s="10"/>
      <c r="AJ110" s="10" t="s">
        <v>139</v>
      </c>
      <c r="AK110" s="10" t="s">
        <v>306</v>
      </c>
      <c r="AL110" s="10"/>
      <c r="AM110" s="10"/>
      <c r="AN110" s="8"/>
      <c r="AO110" s="10" t="s">
        <v>140</v>
      </c>
      <c r="AP110" s="10" t="s">
        <v>141</v>
      </c>
      <c r="AQ110" s="11" t="n">
        <v>46147</v>
      </c>
      <c r="AR110" s="13"/>
      <c r="AS110" s="13"/>
      <c r="AT110" s="13"/>
      <c r="AU110" s="13"/>
      <c r="AV110" s="13"/>
      <c r="AW110" s="13"/>
      <c r="AX110" s="13"/>
      <c r="AY110" s="7" t="s">
        <v>203</v>
      </c>
      <c r="AZ110" s="7"/>
      <c r="BA110" s="7" t="s">
        <v>41</v>
      </c>
      <c r="BB110" s="7" t="s">
        <v>204</v>
      </c>
      <c r="BC110" s="7" t="s">
        <v>691</v>
      </c>
      <c r="BD110" s="9" t="n">
        <v>46309</v>
      </c>
      <c r="BE110" s="7"/>
      <c r="BF110" s="14" t="str">
        <f aca="true">IF(TRIM($A110)="Finalized","Closed",IF($BD110="","No review date set",IF($BD110&lt;TODAY(),"OVERDUE",IF($BD110-TODAY()&lt;=7,"Due within 7 days","Scheduled"))))</f>
        <v>OVERDUE</v>
      </c>
      <c r="BG110" s="14" t="n">
        <f aca="true">IF($K110="","",TODAY()-$K110)</f>
        <v>32</v>
      </c>
      <c r="BH110" s="15" t="str">
        <f aca="false">IFERROR(LEFT(IF($B110="","Notes, ","")&amp;IF($K110="","Latest Date Worked, ","")&amp;IF($AY110="","Last Action, ","")&amp;IF(AND(OR(TRIM($A110)="Denied",TRIM($A110)="Rejected"),$BA110=""),"Denial Reason, ","")&amp;IF(AND(TRIM($A110)="Denied",$BB110="",TRIM($BA110)&lt;&gt;"NO DENIAL"),"Denial Code, ","")&amp;IF(AND(TRIM($A110)&lt;&gt;"Finalized",$BD110=""),"Next Review Date, ","")&amp;IF(AND(TRIM($A110)&lt;&gt;"Finalized",$BE110=""),"Next Step, ","")&amp;IF(AND(TRIM($A110)="Finalized",$AV110="",$AR110="",$AT110="",$AX110="",$AW110=""),"CPT outcome, ",""),LEN(IF($B110="","Notes, ","")&amp;IF($K110="","Latest Date Worked, ","")&amp;IF($AY110="","Last Action, ","")&amp;IF(AND(OR(TRIM($A110)="Denied",TRIM($A110)="Rejected"),$BA110=""),"Denial Reason, ","")&amp;IF(AND(TRIM($A110)="Denied",$BB110="",TRIM($BA110)&lt;&gt;"NO DENIAL"),"Denial Code, ","")&amp;IF(AND(TRIM($A110)&lt;&gt;"Finalized",$BD110=""),"Next Review Date, ","")&amp;IF(AND(TRIM($A110)&lt;&gt;"Finalized",$BE110=""),"Next Step, ","")&amp;IF(AND(TRIM($A110)="Finalized",$AV110="",$AR110="",$AT110="",$AX110="",$AW110=""),"CPT outcome, ",""))-2),"")</f>
        <v>Next Step</v>
      </c>
      <c r="BI110" s="15" t="str">
        <f aca="false">IF($BB110="","",IFERROR(INDEX('Denial Codes'!$C:$C,MATCH(LEFT($BB110,FIND(" - ",$BB110&amp;" - ")+2)&amp;"*",'Denial Codes'!$A:$A,0)),""))</f>
        <v>Medical records needed</v>
      </c>
      <c r="BJ110" s="15" t="str">
        <f aca="false">IF($BA110="","",IFERROR(INDEX(Lists!$B:$B,MATCH(TRIM($BA110),Lists!$A:$A,0))&amp;"",""))</f>
        <v>Confirm benefits; bill the patient if an ABN/waiver is on file, otherwise appeal or adjust.</v>
      </c>
    </row>
    <row r="111" customFormat="false" ht="15" hidden="false" customHeight="false" outlineLevel="0" collapsed="false">
      <c r="A111" s="7" t="s">
        <v>21</v>
      </c>
      <c r="B111" s="7" t="s">
        <v>692</v>
      </c>
      <c r="C111" s="8" t="n">
        <v>570556425</v>
      </c>
      <c r="D111" s="9" t="n">
        <v>46230</v>
      </c>
      <c r="E111" s="10" t="s">
        <v>693</v>
      </c>
      <c r="F111" s="11" t="n">
        <v>46045</v>
      </c>
      <c r="G111" s="10" t="s">
        <v>163</v>
      </c>
      <c r="H111" s="10" t="s">
        <v>163</v>
      </c>
      <c r="I111" s="10" t="s">
        <v>129</v>
      </c>
      <c r="J111" s="10" t="s">
        <v>400</v>
      </c>
      <c r="K111" s="9" t="n">
        <v>46289</v>
      </c>
      <c r="L111" s="12" t="n">
        <f aca="true">IF($O111="","",$O111-TODAY())</f>
        <v>-176</v>
      </c>
      <c r="M111" s="12" t="n">
        <f aca="true">IF(AND(TRIM($A111)="Finalized",$K111&lt;&gt;""),"",IF($F111="","",$F111+90-TODAY()))</f>
        <v>-176</v>
      </c>
      <c r="N111" s="12" t="n">
        <f aca="true">IF(AND(TRIM($A111)="Finalized",$K111&lt;&gt;""),"",IF($D111="","",$D111+365-TODAY()))</f>
        <v>284</v>
      </c>
      <c r="O111" s="11" t="n">
        <f aca="false">IF(AND(TRIM($A111)="Finalized",$K111&lt;&gt;""),"",DATE(2026,4,23))</f>
        <v>46135</v>
      </c>
      <c r="P111" s="10" t="s">
        <v>165</v>
      </c>
      <c r="Q111" s="10" t="s">
        <v>166</v>
      </c>
      <c r="R111" s="10" t="s">
        <v>165</v>
      </c>
      <c r="S111" s="10" t="s">
        <v>149</v>
      </c>
      <c r="T111" s="10" t="s">
        <v>114</v>
      </c>
      <c r="U111" s="10" t="s">
        <v>116</v>
      </c>
      <c r="V111" s="10" t="s">
        <v>118</v>
      </c>
      <c r="W111" s="10" t="s">
        <v>183</v>
      </c>
      <c r="X111" s="10"/>
      <c r="Y111" s="10"/>
      <c r="Z111" s="10"/>
      <c r="AA111" s="10" t="s">
        <v>197</v>
      </c>
      <c r="AB111" s="8" t="n">
        <f aca="true">IF($F111="","",TODAY()-$F111)</f>
        <v>266</v>
      </c>
      <c r="AC111" s="10" t="s">
        <v>185</v>
      </c>
      <c r="AD111" s="10" t="s">
        <v>184</v>
      </c>
      <c r="AE111" s="10"/>
      <c r="AF111" s="10"/>
      <c r="AG111" s="10"/>
      <c r="AH111" s="10"/>
      <c r="AI111" s="10"/>
      <c r="AJ111" s="10" t="s">
        <v>385</v>
      </c>
      <c r="AK111" s="10"/>
      <c r="AL111" s="10"/>
      <c r="AM111" s="10"/>
      <c r="AN111" s="8"/>
      <c r="AO111" s="10" t="s">
        <v>341</v>
      </c>
      <c r="AP111" s="10" t="s">
        <v>202</v>
      </c>
      <c r="AQ111" s="11" t="n">
        <v>46057</v>
      </c>
      <c r="AR111" s="13"/>
      <c r="AS111" s="13"/>
      <c r="AT111" s="13"/>
      <c r="AU111" s="13"/>
      <c r="AV111" s="13"/>
      <c r="AW111" s="13"/>
      <c r="AX111" s="13"/>
      <c r="AY111" s="7"/>
      <c r="AZ111" s="7"/>
      <c r="BA111" s="7" t="s">
        <v>46</v>
      </c>
      <c r="BB111" s="7"/>
      <c r="BC111" s="7"/>
      <c r="BD111" s="9" t="n">
        <v>46319</v>
      </c>
      <c r="BE111" s="7" t="s">
        <v>694</v>
      </c>
      <c r="BF111" s="14" t="str">
        <f aca="true">IF(TRIM($A111)="Finalized","Closed",IF($BD111="","No review date set",IF($BD111&lt;TODAY(),"OVERDUE",IF($BD111-TODAY()&lt;=7,"Due within 7 days","Scheduled"))))</f>
        <v>Scheduled</v>
      </c>
      <c r="BG111" s="14" t="n">
        <f aca="true">IF($K111="","",TODAY()-$K111)</f>
        <v>22</v>
      </c>
      <c r="BH111" s="15" t="str">
        <f aca="false">IFERROR(LEFT(IF($B111="","Notes, ","")&amp;IF($K111="","Latest Date Worked, ","")&amp;IF($AY111="","Last Action, ","")&amp;IF(AND(OR(TRIM($A111)="Denied",TRIM($A111)="Rejected"),$BA111=""),"Denial Reason, ","")&amp;IF(AND(TRIM($A111)="Denied",$BB111="",TRIM($BA111)&lt;&gt;"NO DENIAL"),"Denial Code, ","")&amp;IF(AND(TRIM($A111)&lt;&gt;"Finalized",$BD111=""),"Next Review Date, ","")&amp;IF(AND(TRIM($A111)&lt;&gt;"Finalized",$BE111=""),"Next Step, ","")&amp;IF(AND(TRIM($A111)="Finalized",$AV111="",$AR111="",$AT111="",$AX111="",$AW111=""),"CPT outcome, ",""),LEN(IF($B111="","Notes, ","")&amp;IF($K111="","Latest Date Worked, ","")&amp;IF($AY111="","Last Action, ","")&amp;IF(AND(OR(TRIM($A111)="Denied",TRIM($A111)="Rejected"),$BA111=""),"Denial Reason, ","")&amp;IF(AND(TRIM($A111)="Denied",$BB111="",TRIM($BA111)&lt;&gt;"NO DENIAL"),"Denial Code, ","")&amp;IF(AND(TRIM($A111)&lt;&gt;"Finalized",$BD111=""),"Next Review Date, ","")&amp;IF(AND(TRIM($A111)&lt;&gt;"Finalized",$BE111=""),"Next Step, ","")&amp;IF(AND(TRIM($A111)="Finalized",$AV111="",$AR111="",$AT111="",$AX111="",$AW111=""),"CPT outcome, ",""))-2),"")</f>
        <v>Last Action</v>
      </c>
      <c r="BI111" s="15" t="str">
        <f aca="false">IF($BB111="","",IFERROR(INDEX('Denial Codes'!$C:$C,MATCH(LEFT($BB111,FIND(" - ",$BB111&amp;" - ")+2)&amp;"*",'Denial Codes'!$A:$A,0)),""))</f>
        <v/>
      </c>
      <c r="BJ111" s="15" t="str">
        <f aca="false">IF($BA111="","",IFERROR(INDEX(Lists!$B:$B,MATCH(TRIM($BA111),Lists!$A:$A,0))&amp;"",""))</f>
        <v>Verify eligibility; correct the member ID/MBI, name or DOB and resubmit.</v>
      </c>
    </row>
    <row r="112" customFormat="false" ht="15" hidden="false" customHeight="false" outlineLevel="0" collapsed="false">
      <c r="A112" s="7" t="s">
        <v>18</v>
      </c>
      <c r="B112" s="7" t="s">
        <v>695</v>
      </c>
      <c r="C112" s="8" t="n">
        <v>565376983</v>
      </c>
      <c r="D112" s="9" t="n">
        <v>46177</v>
      </c>
      <c r="E112" s="10" t="s">
        <v>696</v>
      </c>
      <c r="F112" s="11" t="n">
        <v>46135</v>
      </c>
      <c r="G112" s="10" t="s">
        <v>180</v>
      </c>
      <c r="H112" s="10" t="s">
        <v>180</v>
      </c>
      <c r="I112" s="10" t="s">
        <v>129</v>
      </c>
      <c r="J112" s="10" t="s">
        <v>608</v>
      </c>
      <c r="K112" s="9"/>
      <c r="L112" s="12" t="n">
        <f aca="true">IF($O112="","",$O112-TODAY())</f>
        <v>-86</v>
      </c>
      <c r="M112" s="12" t="n">
        <f aca="true">IF(AND(TRIM($A112)="Finalized",$K112&lt;&gt;""),"",IF($D112="","",$D112+180-TODAY()))</f>
        <v>46</v>
      </c>
      <c r="N112" s="12" t="n">
        <f aca="true">IF(AND(TRIM($A112)="Finalized",$K112&lt;&gt;""),"",IF($D112="","",$D112+365-TODAY()))</f>
        <v>231</v>
      </c>
      <c r="O112" s="11" t="n">
        <f aca="false">IF(AND(TRIM($A112)="Finalized",$K112&lt;&gt;""),"",DATE(2026,7,22))</f>
        <v>46225</v>
      </c>
      <c r="P112" s="10" t="s">
        <v>165</v>
      </c>
      <c r="Q112" s="10" t="s">
        <v>182</v>
      </c>
      <c r="R112" s="10" t="s">
        <v>147</v>
      </c>
      <c r="S112" s="10" t="s">
        <v>116</v>
      </c>
      <c r="T112" s="10" t="s">
        <v>114</v>
      </c>
      <c r="U112" s="10" t="s">
        <v>116</v>
      </c>
      <c r="V112" s="10" t="s">
        <v>221</v>
      </c>
      <c r="W112" s="10" t="s">
        <v>196</v>
      </c>
      <c r="X112" s="10"/>
      <c r="Y112" s="10"/>
      <c r="Z112" s="10"/>
      <c r="AA112" s="10" t="s">
        <v>197</v>
      </c>
      <c r="AB112" s="8" t="n">
        <f aca="true">IF($F112="","",TODAY()-$F112)</f>
        <v>176</v>
      </c>
      <c r="AC112" s="10" t="s">
        <v>198</v>
      </c>
      <c r="AD112" s="10" t="s">
        <v>222</v>
      </c>
      <c r="AE112" s="10"/>
      <c r="AF112" s="10"/>
      <c r="AG112" s="10"/>
      <c r="AH112" s="10"/>
      <c r="AI112" s="10"/>
      <c r="AJ112" s="10" t="s">
        <v>223</v>
      </c>
      <c r="AK112" s="10"/>
      <c r="AL112" s="10"/>
      <c r="AM112" s="10"/>
      <c r="AN112" s="8"/>
      <c r="AO112" s="10" t="s">
        <v>213</v>
      </c>
      <c r="AP112" s="10" t="s">
        <v>224</v>
      </c>
      <c r="AQ112" s="11" t="n">
        <v>46148</v>
      </c>
      <c r="AR112" s="13"/>
      <c r="AS112" s="13"/>
      <c r="AT112" s="13"/>
      <c r="AU112" s="13"/>
      <c r="AV112" s="13"/>
      <c r="AW112" s="13"/>
      <c r="AX112" s="13"/>
      <c r="AY112" s="7"/>
      <c r="AZ112" s="7"/>
      <c r="BA112" s="7"/>
      <c r="BB112" s="7"/>
      <c r="BC112" s="7"/>
      <c r="BD112" s="9"/>
      <c r="BE112" s="7" t="s">
        <v>697</v>
      </c>
      <c r="BF112" s="14" t="str">
        <f aca="true">IF(TRIM($A112)="Finalized","Closed",IF($BD112="","No review date set",IF($BD112&lt;TODAY(),"OVERDUE",IF($BD112-TODAY()&lt;=7,"Due within 7 days","Scheduled"))))</f>
        <v>No review date set</v>
      </c>
      <c r="BG112" s="14" t="str">
        <f aca="true">IF($K112="","",TODAY()-$K112)</f>
        <v/>
      </c>
      <c r="BH112" s="15" t="str">
        <f aca="false">IFERROR(LEFT(IF($B112="","Notes, ","")&amp;IF($K112="","Latest Date Worked, ","")&amp;IF($AY112="","Last Action, ","")&amp;IF(AND(OR(TRIM($A112)="Denied",TRIM($A112)="Rejected"),$BA112=""),"Denial Reason, ","")&amp;IF(AND(TRIM($A112)="Denied",$BB112="",TRIM($BA112)&lt;&gt;"NO DENIAL"),"Denial Code, ","")&amp;IF(AND(TRIM($A112)&lt;&gt;"Finalized",$BD112=""),"Next Review Date, ","")&amp;IF(AND(TRIM($A112)&lt;&gt;"Finalized",$BE112=""),"Next Step, ","")&amp;IF(AND(TRIM($A112)="Finalized",$AV112="",$AR112="",$AT112="",$AX112="",$AW112=""),"CPT outcome, ",""),LEN(IF($B112="","Notes, ","")&amp;IF($K112="","Latest Date Worked, ","")&amp;IF($AY112="","Last Action, ","")&amp;IF(AND(OR(TRIM($A112)="Denied",TRIM($A112)="Rejected"),$BA112=""),"Denial Reason, ","")&amp;IF(AND(TRIM($A112)="Denied",$BB112="",TRIM($BA112)&lt;&gt;"NO DENIAL"),"Denial Code, ","")&amp;IF(AND(TRIM($A112)&lt;&gt;"Finalized",$BD112=""),"Next Review Date, ","")&amp;IF(AND(TRIM($A112)&lt;&gt;"Finalized",$BE112=""),"Next Step, ","")&amp;IF(AND(TRIM($A112)="Finalized",$AV112="",$AR112="",$AT112="",$AX112="",$AW112=""),"CPT outcome, ",""))-2),"")</f>
        <v>Latest Date Worked, Last Action, Next Review Date</v>
      </c>
      <c r="BI112" s="15" t="str">
        <f aca="false">IF($BB112="","",IFERROR(INDEX('Denial Codes'!$C:$C,MATCH(LEFT($BB112,FIND(" - ",$BB112&amp;" - ")+2)&amp;"*",'Denial Codes'!$A:$A,0)),""))</f>
        <v/>
      </c>
      <c r="BJ112" s="15" t="str">
        <f aca="false">IF($BA112="","",IFERROR(INDEX(Lists!$B:$B,MATCH(TRIM($BA112),Lists!$A:$A,0))&amp;"",""))</f>
        <v/>
      </c>
    </row>
    <row r="113" customFormat="false" ht="15" hidden="false" customHeight="false" outlineLevel="0" collapsed="false">
      <c r="A113" s="7" t="s">
        <v>16</v>
      </c>
      <c r="B113" s="7" t="s">
        <v>698</v>
      </c>
      <c r="C113" s="8" t="n">
        <v>557132196</v>
      </c>
      <c r="D113" s="9" t="n">
        <v>46167</v>
      </c>
      <c r="E113" s="10" t="s">
        <v>468</v>
      </c>
      <c r="F113" s="11" t="n">
        <v>46136</v>
      </c>
      <c r="G113" s="10" t="s">
        <v>369</v>
      </c>
      <c r="H113" s="10" t="s">
        <v>369</v>
      </c>
      <c r="I113" s="10" t="s">
        <v>129</v>
      </c>
      <c r="J113" s="10" t="s">
        <v>209</v>
      </c>
      <c r="K113" s="9" t="n">
        <v>46265</v>
      </c>
      <c r="L113" s="12" t="str">
        <f aca="true">IF($O113="","",$O113-TODAY())</f>
        <v/>
      </c>
      <c r="M113" s="12" t="str">
        <f aca="true">IF(AND(TRIM($A113)="Finalized",$K113&lt;&gt;""),"",IF($D113="","",$D113+365-TODAY()))</f>
        <v/>
      </c>
      <c r="N113" s="12" t="str">
        <f aca="true">IF(AND(TRIM($A113)="Finalized",$K113&lt;&gt;""),"",IF($D113="","",$D113+365-TODAY()))</f>
        <v/>
      </c>
      <c r="O113" s="11" t="str">
        <f aca="false">IF(AND(TRIM($A113)="Finalized",$K113&lt;&gt;""),"",DATE(2026,7,23))</f>
        <v/>
      </c>
      <c r="P113" s="10" t="s">
        <v>165</v>
      </c>
      <c r="Q113" s="10" t="s">
        <v>371</v>
      </c>
      <c r="R113" s="10" t="s">
        <v>114</v>
      </c>
      <c r="S113" s="10" t="s">
        <v>116</v>
      </c>
      <c r="T113" s="10" t="s">
        <v>114</v>
      </c>
      <c r="U113" s="10" t="s">
        <v>116</v>
      </c>
      <c r="V113" s="10" t="s">
        <v>221</v>
      </c>
      <c r="W113" s="10" t="s">
        <v>183</v>
      </c>
      <c r="X113" s="10"/>
      <c r="Y113" s="10"/>
      <c r="Z113" s="10"/>
      <c r="AA113" s="10" t="s">
        <v>197</v>
      </c>
      <c r="AB113" s="8" t="n">
        <f aca="true">IF($F113="","",TODAY()-$F113)</f>
        <v>175</v>
      </c>
      <c r="AC113" s="10" t="s">
        <v>184</v>
      </c>
      <c r="AD113" s="10" t="s">
        <v>211</v>
      </c>
      <c r="AE113" s="10"/>
      <c r="AF113" s="10"/>
      <c r="AG113" s="10"/>
      <c r="AH113" s="10"/>
      <c r="AI113" s="10"/>
      <c r="AJ113" s="10" t="s">
        <v>212</v>
      </c>
      <c r="AK113" s="10"/>
      <c r="AL113" s="10"/>
      <c r="AM113" s="10"/>
      <c r="AN113" s="8"/>
      <c r="AO113" s="10" t="s">
        <v>201</v>
      </c>
      <c r="AP113" s="10" t="s">
        <v>202</v>
      </c>
      <c r="AQ113" s="11" t="n">
        <v>46153</v>
      </c>
      <c r="AR113" s="13"/>
      <c r="AS113" s="13"/>
      <c r="AT113" s="13"/>
      <c r="AU113" s="13"/>
      <c r="AV113" s="13" t="s">
        <v>659</v>
      </c>
      <c r="AW113" s="13"/>
      <c r="AX113" s="13" t="s">
        <v>659</v>
      </c>
      <c r="AY113" s="7" t="s">
        <v>363</v>
      </c>
      <c r="AZ113" s="7" t="s">
        <v>159</v>
      </c>
      <c r="BA113" s="7" t="s">
        <v>40</v>
      </c>
      <c r="BB113" s="7" t="s">
        <v>372</v>
      </c>
      <c r="BC113" s="7"/>
      <c r="BD113" s="9"/>
      <c r="BE113" s="7"/>
      <c r="BF113" s="14" t="str">
        <f aca="true">IF(TRIM($A113)="Finalized","Closed",IF($BD113="","No review date set",IF($BD113&lt;TODAY(),"OVERDUE",IF($BD113-TODAY()&lt;=7,"Due within 7 days","Scheduled"))))</f>
        <v>Closed</v>
      </c>
      <c r="BG113" s="14" t="n">
        <f aca="true">IF($K113="","",TODAY()-$K113)</f>
        <v>46</v>
      </c>
      <c r="BH113" s="15" t="str">
        <f aca="false">IFERROR(LEFT(IF($B113="","Notes, ","")&amp;IF($K113="","Latest Date Worked, ","")&amp;IF($AY113="","Last Action, ","")&amp;IF(AND(OR(TRIM($A113)="Denied",TRIM($A113)="Rejected"),$BA113=""),"Denial Reason, ","")&amp;IF(AND(TRIM($A113)="Denied",$BB113="",TRIM($BA113)&lt;&gt;"NO DENIAL"),"Denial Code, ","")&amp;IF(AND(TRIM($A113)&lt;&gt;"Finalized",$BD113=""),"Next Review Date, ","")&amp;IF(AND(TRIM($A113)&lt;&gt;"Finalized",$BE113=""),"Next Step, ","")&amp;IF(AND(TRIM($A113)="Finalized",$AV113="",$AR113="",$AT113="",$AX113="",$AW113=""),"CPT outcome, ",""),LEN(IF($B113="","Notes, ","")&amp;IF($K113="","Latest Date Worked, ","")&amp;IF($AY113="","Last Action, ","")&amp;IF(AND(OR(TRIM($A113)="Denied",TRIM($A113)="Rejected"),$BA113=""),"Denial Reason, ","")&amp;IF(AND(TRIM($A113)="Denied",$BB113="",TRIM($BA113)&lt;&gt;"NO DENIAL"),"Denial Code, ","")&amp;IF(AND(TRIM($A113)&lt;&gt;"Finalized",$BD113=""),"Next Review Date, ","")&amp;IF(AND(TRIM($A113)&lt;&gt;"Finalized",$BE113=""),"Next Step, ","")&amp;IF(AND(TRIM($A113)="Finalized",$AV113="",$AR113="",$AT113="",$AX113="",$AW113=""),"CPT outcome, ",""))-2),"")</f>
        <v/>
      </c>
      <c r="BI113" s="15" t="str">
        <f aca="false">IF($BB113="","",IFERROR(INDEX('Denial Codes'!$C:$C,MATCH(LEFT($BB113,FIND(" - ",$BB113&amp;" - ")+2)&amp;"*",'Denial Codes'!$A:$A,0)),""))</f>
        <v>Coding / billing error</v>
      </c>
      <c r="BJ113" s="15" t="str">
        <f aca="false">IF($BA113="","",IFERROR(INDEX(Lists!$B:$B,MATCH(TRIM($BA113),Lists!$A:$A,0))&amp;"",""))</f>
        <v>Fix the code, units, charge or other claim data and resubmit as a corrected claim.</v>
      </c>
    </row>
    <row r="114" customFormat="false" ht="15" hidden="false" customHeight="false" outlineLevel="0" collapsed="false">
      <c r="A114" s="7" t="s">
        <v>17</v>
      </c>
      <c r="B114" s="7" t="s">
        <v>699</v>
      </c>
      <c r="C114" s="8" t="n">
        <v>558377934</v>
      </c>
      <c r="D114" s="9" t="n">
        <v>46156</v>
      </c>
      <c r="E114" s="10" t="s">
        <v>700</v>
      </c>
      <c r="F114" s="11" t="n">
        <v>46139</v>
      </c>
      <c r="G114" s="10" t="s">
        <v>180</v>
      </c>
      <c r="H114" s="10" t="s">
        <v>180</v>
      </c>
      <c r="I114" s="10" t="s">
        <v>129</v>
      </c>
      <c r="J114" s="10" t="s">
        <v>701</v>
      </c>
      <c r="K114" s="9" t="n">
        <v>46278</v>
      </c>
      <c r="L114" s="12" t="n">
        <f aca="true">IF($O114="","",$O114-TODAY())</f>
        <v>-82</v>
      </c>
      <c r="M114" s="12" t="n">
        <f aca="true">IF(AND(TRIM($A114)="Finalized",$K114&lt;&gt;""),"",IF($D114="","",$D114+180-TODAY()))</f>
        <v>25</v>
      </c>
      <c r="N114" s="12" t="n">
        <f aca="true">IF(AND(TRIM($A114)="Finalized",$K114&lt;&gt;""),"",IF($D114="","",$D114+365-TODAY()))</f>
        <v>210</v>
      </c>
      <c r="O114" s="11" t="n">
        <f aca="false">IF(AND(TRIM($A114)="Finalized",$K114&lt;&gt;""),"",DATE(2026,7,26))</f>
        <v>46229</v>
      </c>
      <c r="P114" s="10" t="s">
        <v>165</v>
      </c>
      <c r="Q114" s="10" t="s">
        <v>182</v>
      </c>
      <c r="R114" s="10" t="s">
        <v>147</v>
      </c>
      <c r="S114" s="10" t="s">
        <v>116</v>
      </c>
      <c r="T114" s="10" t="s">
        <v>114</v>
      </c>
      <c r="U114" s="10" t="s">
        <v>116</v>
      </c>
      <c r="V114" s="10" t="s">
        <v>221</v>
      </c>
      <c r="W114" s="10" t="s">
        <v>132</v>
      </c>
      <c r="X114" s="10"/>
      <c r="Y114" s="10"/>
      <c r="Z114" s="10"/>
      <c r="AA114" s="10" t="s">
        <v>197</v>
      </c>
      <c r="AB114" s="8" t="n">
        <f aca="true">IF($F114="","",TODAY()-$F114)</f>
        <v>172</v>
      </c>
      <c r="AC114" s="10" t="s">
        <v>702</v>
      </c>
      <c r="AD114" s="10" t="s">
        <v>703</v>
      </c>
      <c r="AE114" s="10"/>
      <c r="AF114" s="10"/>
      <c r="AG114" s="10"/>
      <c r="AH114" s="10"/>
      <c r="AI114" s="10"/>
      <c r="AJ114" s="10" t="s">
        <v>525</v>
      </c>
      <c r="AK114" s="10" t="s">
        <v>704</v>
      </c>
      <c r="AL114" s="10" t="s">
        <v>705</v>
      </c>
      <c r="AM114" s="10"/>
      <c r="AN114" s="8"/>
      <c r="AO114" s="10" t="s">
        <v>546</v>
      </c>
      <c r="AP114" s="10" t="s">
        <v>175</v>
      </c>
      <c r="AQ114" s="11" t="n">
        <v>46148</v>
      </c>
      <c r="AR114" s="13"/>
      <c r="AS114" s="13"/>
      <c r="AT114" s="13"/>
      <c r="AU114" s="13"/>
      <c r="AV114" s="13"/>
      <c r="AW114" s="13"/>
      <c r="AX114" s="13"/>
      <c r="AY114" s="7" t="s">
        <v>354</v>
      </c>
      <c r="AZ114" s="7"/>
      <c r="BA114" s="7" t="s">
        <v>34</v>
      </c>
      <c r="BB114" s="7"/>
      <c r="BC114" s="7" t="s">
        <v>706</v>
      </c>
      <c r="BD114" s="9" t="n">
        <v>46308</v>
      </c>
      <c r="BE114" s="7"/>
      <c r="BF114" s="14" t="str">
        <f aca="true">IF(TRIM($A114)="Finalized","Closed",IF($BD114="","No review date set",IF($BD114&lt;TODAY(),"OVERDUE",IF($BD114-TODAY()&lt;=7,"Due within 7 days","Scheduled"))))</f>
        <v>OVERDUE</v>
      </c>
      <c r="BG114" s="14" t="n">
        <f aca="true">IF($K114="","",TODAY()-$K114)</f>
        <v>33</v>
      </c>
      <c r="BH114" s="15" t="str">
        <f aca="false">IFERROR(LEFT(IF($B114="","Notes, ","")&amp;IF($K114="","Latest Date Worked, ","")&amp;IF($AY114="","Last Action, ","")&amp;IF(AND(OR(TRIM($A114)="Denied",TRIM($A114)="Rejected"),$BA114=""),"Denial Reason, ","")&amp;IF(AND(TRIM($A114)="Denied",$BB114="",TRIM($BA114)&lt;&gt;"NO DENIAL"),"Denial Code, ","")&amp;IF(AND(TRIM($A114)&lt;&gt;"Finalized",$BD114=""),"Next Review Date, ","")&amp;IF(AND(TRIM($A114)&lt;&gt;"Finalized",$BE114=""),"Next Step, ","")&amp;IF(AND(TRIM($A114)="Finalized",$AV114="",$AR114="",$AT114="",$AX114="",$AW114=""),"CPT outcome, ",""),LEN(IF($B114="","Notes, ","")&amp;IF($K114="","Latest Date Worked, ","")&amp;IF($AY114="","Last Action, ","")&amp;IF(AND(OR(TRIM($A114)="Denied",TRIM($A114)="Rejected"),$BA114=""),"Denial Reason, ","")&amp;IF(AND(TRIM($A114)="Denied",$BB114="",TRIM($BA114)&lt;&gt;"NO DENIAL"),"Denial Code, ","")&amp;IF(AND(TRIM($A114)&lt;&gt;"Finalized",$BD114=""),"Next Review Date, ","")&amp;IF(AND(TRIM($A114)&lt;&gt;"Finalized",$BE114=""),"Next Step, ","")&amp;IF(AND(TRIM($A114)="Finalized",$AV114="",$AR114="",$AT114="",$AX114="",$AW114=""),"CPT outcome, ",""))-2),"")</f>
        <v>Denial Code, Next Step</v>
      </c>
      <c r="BI114" s="15" t="str">
        <f aca="false">IF($BB114="","",IFERROR(INDEX('Denial Codes'!$C:$C,MATCH(LEFT($BB114,FIND(" - ",$BB114&amp;" - ")+2)&amp;"*",'Denial Codes'!$A:$A,0)),""))</f>
        <v/>
      </c>
      <c r="BJ114" s="15" t="str">
        <f aca="false">IF($BA114="","",IFERROR(INDEX(Lists!$B:$B,MATCH(TRIM($BA114),Lists!$A:$A,0))&amp;"",""))</f>
        <v>Check the portal for an auth; request a retro-auth or file an appeal with the auth number, then resubmit.</v>
      </c>
    </row>
    <row r="115" customFormat="false" ht="15" hidden="false" customHeight="false" outlineLevel="0" collapsed="false">
      <c r="A115" s="7" t="s">
        <v>17</v>
      </c>
      <c r="B115" s="7" t="s">
        <v>707</v>
      </c>
      <c r="C115" s="8" t="n">
        <v>572320097</v>
      </c>
      <c r="D115" s="9" t="n">
        <v>46290</v>
      </c>
      <c r="E115" s="10" t="s">
        <v>708</v>
      </c>
      <c r="F115" s="11" t="n">
        <v>46140</v>
      </c>
      <c r="G115" s="10" t="s">
        <v>333</v>
      </c>
      <c r="H115" s="10" t="s">
        <v>333</v>
      </c>
      <c r="I115" s="10" t="s">
        <v>410</v>
      </c>
      <c r="J115" s="10" t="s">
        <v>709</v>
      </c>
      <c r="K115" s="9" t="n">
        <v>46285</v>
      </c>
      <c r="L115" s="12" t="n">
        <f aca="true">IF($O115="","",$O115-TODAY())</f>
        <v>-81</v>
      </c>
      <c r="M115" s="12" t="n">
        <f aca="true">IF(AND(TRIM($A115)="Finalized",$K115&lt;&gt;""),"",IF($F115="","",$F115+90-TODAY()))</f>
        <v>-81</v>
      </c>
      <c r="N115" s="12" t="n">
        <f aca="true">IF(AND(TRIM($A115)="Finalized",$K115&lt;&gt;""),"",IF($D115="","",$D115+60-TODAY()))</f>
        <v>39</v>
      </c>
      <c r="O115" s="11" t="n">
        <f aca="false">IF(AND(TRIM($A115)="Finalized",$K115&lt;&gt;""),"",DATE(2026,7,27))</f>
        <v>46230</v>
      </c>
      <c r="P115" s="10" t="s">
        <v>165</v>
      </c>
      <c r="Q115" s="10" t="s">
        <v>334</v>
      </c>
      <c r="R115" s="10" t="s">
        <v>165</v>
      </c>
      <c r="S115" s="10" t="s">
        <v>149</v>
      </c>
      <c r="T115" s="10" t="s">
        <v>324</v>
      </c>
      <c r="U115" s="10" t="s">
        <v>116</v>
      </c>
      <c r="V115" s="10" t="s">
        <v>221</v>
      </c>
      <c r="W115" s="10" t="s">
        <v>119</v>
      </c>
      <c r="X115" s="10" t="s">
        <v>304</v>
      </c>
      <c r="Y115" s="10" t="s">
        <v>436</v>
      </c>
      <c r="Z115" s="10"/>
      <c r="AA115" s="10" t="s">
        <v>197</v>
      </c>
      <c r="AB115" s="8" t="n">
        <f aca="true">IF($F115="","",TODAY()-$F115)</f>
        <v>171</v>
      </c>
      <c r="AC115" s="10" t="s">
        <v>710</v>
      </c>
      <c r="AD115" s="10"/>
      <c r="AE115" s="10"/>
      <c r="AF115" s="10"/>
      <c r="AG115" s="10"/>
      <c r="AH115" s="10"/>
      <c r="AI115" s="10"/>
      <c r="AJ115" s="10" t="s">
        <v>446</v>
      </c>
      <c r="AK115" s="10"/>
      <c r="AL115" s="10"/>
      <c r="AM115" s="10"/>
      <c r="AN115" s="8"/>
      <c r="AO115" s="10" t="s">
        <v>506</v>
      </c>
      <c r="AP115" s="10" t="s">
        <v>188</v>
      </c>
      <c r="AQ115" s="11" t="n">
        <v>46153</v>
      </c>
      <c r="AR115" s="13"/>
      <c r="AS115" s="13"/>
      <c r="AT115" s="13"/>
      <c r="AU115" s="13"/>
      <c r="AV115" s="13"/>
      <c r="AW115" s="13"/>
      <c r="AX115" s="13" t="s">
        <v>710</v>
      </c>
      <c r="AY115" s="7" t="s">
        <v>159</v>
      </c>
      <c r="AZ115" s="7" t="s">
        <v>159</v>
      </c>
      <c r="BA115" s="7" t="s">
        <v>38</v>
      </c>
      <c r="BB115" s="7"/>
      <c r="BC115" s="7"/>
      <c r="BD115" s="9" t="n">
        <v>46315</v>
      </c>
      <c r="BE115" s="7"/>
      <c r="BF115" s="14" t="str">
        <f aca="true">IF(TRIM($A115)="Finalized","Closed",IF($BD115="","No review date set",IF($BD115&lt;TODAY(),"OVERDUE",IF($BD115-TODAY()&lt;=7,"Due within 7 days","Scheduled"))))</f>
        <v>Due within 7 days</v>
      </c>
      <c r="BG115" s="14" t="n">
        <f aca="true">IF($K115="","",TODAY()-$K115)</f>
        <v>26</v>
      </c>
      <c r="BH115" s="15" t="str">
        <f aca="false">IFERROR(LEFT(IF($B115="","Notes, ","")&amp;IF($K115="","Latest Date Worked, ","")&amp;IF($AY115="","Last Action, ","")&amp;IF(AND(OR(TRIM($A115)="Denied",TRIM($A115)="Rejected"),$BA115=""),"Denial Reason, ","")&amp;IF(AND(TRIM($A115)="Denied",$BB115="",TRIM($BA115)&lt;&gt;"NO DENIAL"),"Denial Code, ","")&amp;IF(AND(TRIM($A115)&lt;&gt;"Finalized",$BD115=""),"Next Review Date, ","")&amp;IF(AND(TRIM($A115)&lt;&gt;"Finalized",$BE115=""),"Next Step, ","")&amp;IF(AND(TRIM($A115)="Finalized",$AV115="",$AR115="",$AT115="",$AX115="",$AW115=""),"CPT outcome, ",""),LEN(IF($B115="","Notes, ","")&amp;IF($K115="","Latest Date Worked, ","")&amp;IF($AY115="","Last Action, ","")&amp;IF(AND(OR(TRIM($A115)="Denied",TRIM($A115)="Rejected"),$BA115=""),"Denial Reason, ","")&amp;IF(AND(TRIM($A115)="Denied",$BB115="",TRIM($BA115)&lt;&gt;"NO DENIAL"),"Denial Code, ","")&amp;IF(AND(TRIM($A115)&lt;&gt;"Finalized",$BD115=""),"Next Review Date, ","")&amp;IF(AND(TRIM($A115)&lt;&gt;"Finalized",$BE115=""),"Next Step, ","")&amp;IF(AND(TRIM($A115)="Finalized",$AV115="",$AR115="",$AT115="",$AX115="",$AW115=""),"CPT outcome, ",""))-2),"")</f>
        <v>Denial Code, Next Step</v>
      </c>
      <c r="BI115" s="15" t="str">
        <f aca="false">IF($BB115="","",IFERROR(INDEX('Denial Codes'!$C:$C,MATCH(LEFT($BB115,FIND(" - ",$BB115&amp;" - ")+2)&amp;"*",'Denial Codes'!$A:$A,0)),""))</f>
        <v/>
      </c>
      <c r="BJ115" s="15" t="str">
        <f aca="false">IF($BA115="","",IFERROR(INDEX(Lists!$B:$B,MATCH(TRIM($BA115),Lists!$A:$A,0))&amp;"",""))</f>
        <v>Correct or add the modifier (e.g. NU/RR, KX, RT/LT, 25) and resubmit.</v>
      </c>
    </row>
    <row r="116" customFormat="false" ht="15" hidden="false" customHeight="false" outlineLevel="0" collapsed="false">
      <c r="A116" s="7" t="s">
        <v>17</v>
      </c>
      <c r="B116" s="7" t="s">
        <v>711</v>
      </c>
      <c r="C116" s="8" t="n">
        <v>573881003</v>
      </c>
      <c r="D116" s="9" t="n">
        <v>46289</v>
      </c>
      <c r="E116" s="10" t="s">
        <v>712</v>
      </c>
      <c r="F116" s="11" t="n">
        <v>46050</v>
      </c>
      <c r="G116" s="10" t="s">
        <v>243</v>
      </c>
      <c r="H116" s="10" t="s">
        <v>243</v>
      </c>
      <c r="I116" s="10" t="s">
        <v>129</v>
      </c>
      <c r="J116" s="10" t="s">
        <v>209</v>
      </c>
      <c r="K116" s="9" t="n">
        <v>46300</v>
      </c>
      <c r="L116" s="12" t="str">
        <f aca="true">IF($O116="","",$O116-TODAY())</f>
        <v/>
      </c>
      <c r="M116" s="12"/>
      <c r="N116" s="12"/>
      <c r="O116" s="11"/>
      <c r="P116" s="10"/>
      <c r="Q116" s="10" t="s">
        <v>131</v>
      </c>
      <c r="R116" s="10"/>
      <c r="S116" s="10"/>
      <c r="T116" s="10"/>
      <c r="U116" s="10"/>
      <c r="V116" s="10" t="s">
        <v>118</v>
      </c>
      <c r="W116" s="10" t="s">
        <v>183</v>
      </c>
      <c r="X116" s="10"/>
      <c r="Y116" s="10"/>
      <c r="Z116" s="10"/>
      <c r="AA116" s="10" t="s">
        <v>197</v>
      </c>
      <c r="AB116" s="8" t="n">
        <f aca="true">IF($F116="","",TODAY()-$F116)</f>
        <v>261</v>
      </c>
      <c r="AC116" s="10" t="s">
        <v>184</v>
      </c>
      <c r="AD116" s="10" t="s">
        <v>211</v>
      </c>
      <c r="AE116" s="10"/>
      <c r="AF116" s="10"/>
      <c r="AG116" s="10"/>
      <c r="AH116" s="10"/>
      <c r="AI116" s="10"/>
      <c r="AJ116" s="10" t="s">
        <v>385</v>
      </c>
      <c r="AK116" s="10"/>
      <c r="AL116" s="10"/>
      <c r="AM116" s="10"/>
      <c r="AN116" s="8"/>
      <c r="AO116" s="10" t="s">
        <v>201</v>
      </c>
      <c r="AP116" s="10" t="s">
        <v>202</v>
      </c>
      <c r="AQ116" s="11" t="n">
        <v>46188</v>
      </c>
      <c r="AR116" s="13"/>
      <c r="AS116" s="13"/>
      <c r="AT116" s="13"/>
      <c r="AU116" s="13"/>
      <c r="AV116" s="13"/>
      <c r="AW116" s="13"/>
      <c r="AX116" s="13"/>
      <c r="AY116" s="7" t="s">
        <v>159</v>
      </c>
      <c r="AZ116" s="7"/>
      <c r="BA116" s="7" t="s">
        <v>46</v>
      </c>
      <c r="BB116" s="7"/>
      <c r="BC116" s="7"/>
      <c r="BD116" s="9" t="n">
        <v>46331</v>
      </c>
      <c r="BE116" s="7"/>
      <c r="BF116" s="14" t="str">
        <f aca="true">IF(TRIM($A116)="Finalized","Closed",IF($BD116="","No review date set",IF($BD116&lt;TODAY(),"OVERDUE",IF($BD116-TODAY()&lt;=7,"Due within 7 days","Scheduled"))))</f>
        <v>Scheduled</v>
      </c>
      <c r="BG116" s="14" t="n">
        <f aca="true">IF($K116="","",TODAY()-$K116)</f>
        <v>11</v>
      </c>
      <c r="BH116" s="15" t="str">
        <f aca="false">IFERROR(LEFT(IF($B116="","Notes, ","")&amp;IF($K116="","Latest Date Worked, ","")&amp;IF($AY116="","Last Action, ","")&amp;IF(AND(OR(TRIM($A116)="Denied",TRIM($A116)="Rejected"),$BA116=""),"Denial Reason, ","")&amp;IF(AND(TRIM($A116)="Denied",$BB116="",TRIM($BA116)&lt;&gt;"NO DENIAL"),"Denial Code, ","")&amp;IF(AND(TRIM($A116)&lt;&gt;"Finalized",$BD116=""),"Next Review Date, ","")&amp;IF(AND(TRIM($A116)&lt;&gt;"Finalized",$BE116=""),"Next Step, ","")&amp;IF(AND(TRIM($A116)="Finalized",$AV116="",$AR116="",$AT116="",$AX116="",$AW116=""),"CPT outcome, ",""),LEN(IF($B116="","Notes, ","")&amp;IF($K116="","Latest Date Worked, ","")&amp;IF($AY116="","Last Action, ","")&amp;IF(AND(OR(TRIM($A116)="Denied",TRIM($A116)="Rejected"),$BA116=""),"Denial Reason, ","")&amp;IF(AND(TRIM($A116)="Denied",$BB116="",TRIM($BA116)&lt;&gt;"NO DENIAL"),"Denial Code, ","")&amp;IF(AND(TRIM($A116)&lt;&gt;"Finalized",$BD116=""),"Next Review Date, ","")&amp;IF(AND(TRIM($A116)&lt;&gt;"Finalized",$BE116=""),"Next Step, ","")&amp;IF(AND(TRIM($A116)="Finalized",$AV116="",$AR116="",$AT116="",$AX116="",$AW116=""),"CPT outcome, ",""))-2),"")</f>
        <v>Denial Code, Next Step</v>
      </c>
      <c r="BI116" s="15" t="str">
        <f aca="false">IF($BB116="","",IFERROR(INDEX('Denial Codes'!$C:$C,MATCH(LEFT($BB116,FIND(" - ",$BB116&amp;" - ")+2)&amp;"*",'Denial Codes'!$A:$A,0)),""))</f>
        <v/>
      </c>
      <c r="BJ116" s="15" t="str">
        <f aca="false">IF($BA116="","",IFERROR(INDEX(Lists!$B:$B,MATCH(TRIM($BA116),Lists!$A:$A,0))&amp;"",""))</f>
        <v>Verify eligibility; correct the member ID/MBI, name or DOB and resubmit.</v>
      </c>
    </row>
    <row r="117" customFormat="false" ht="15" hidden="false" customHeight="false" outlineLevel="0" collapsed="false">
      <c r="A117" s="7" t="s">
        <v>17</v>
      </c>
      <c r="B117" s="7" t="s">
        <v>713</v>
      </c>
      <c r="C117" s="8" t="n">
        <v>558405759</v>
      </c>
      <c r="D117" s="9" t="n">
        <v>46267</v>
      </c>
      <c r="E117" s="10" t="s">
        <v>714</v>
      </c>
      <c r="F117" s="11" t="n">
        <v>46141</v>
      </c>
      <c r="G117" s="10" t="s">
        <v>180</v>
      </c>
      <c r="H117" s="10" t="s">
        <v>180</v>
      </c>
      <c r="I117" s="10" t="s">
        <v>129</v>
      </c>
      <c r="J117" s="10" t="s">
        <v>715</v>
      </c>
      <c r="K117" s="9" t="n">
        <v>46257</v>
      </c>
      <c r="L117" s="12" t="n">
        <f aca="true">IF($O117="","",$O117-TODAY())</f>
        <v>-80</v>
      </c>
      <c r="M117" s="12" t="n">
        <f aca="true">IF(AND(TRIM($A117)="Finalized",$K117&lt;&gt;""),"",IF($D117="","",$D117+180-TODAY()))</f>
        <v>136</v>
      </c>
      <c r="N117" s="12" t="n">
        <f aca="true">IF(AND(TRIM($A117)="Finalized",$K117&lt;&gt;""),"",IF($D117="","",$D117+365-TODAY()))</f>
        <v>321</v>
      </c>
      <c r="O117" s="11" t="n">
        <f aca="false">IF(AND(TRIM($A117)="Finalized",$K117&lt;&gt;""),"",DATE(2026,7,28))</f>
        <v>46231</v>
      </c>
      <c r="P117" s="10" t="s">
        <v>165</v>
      </c>
      <c r="Q117" s="10" t="s">
        <v>182</v>
      </c>
      <c r="R117" s="10" t="s">
        <v>147</v>
      </c>
      <c r="S117" s="10" t="s">
        <v>116</v>
      </c>
      <c r="T117" s="10" t="s">
        <v>114</v>
      </c>
      <c r="U117" s="10" t="s">
        <v>116</v>
      </c>
      <c r="V117" s="10" t="s">
        <v>221</v>
      </c>
      <c r="W117" s="10" t="s">
        <v>132</v>
      </c>
      <c r="X117" s="10" t="s">
        <v>134</v>
      </c>
      <c r="Y117" s="10"/>
      <c r="Z117" s="10"/>
      <c r="AA117" s="10" t="s">
        <v>197</v>
      </c>
      <c r="AB117" s="8" t="n">
        <f aca="true">IF($F117="","",TODAY()-$F117)</f>
        <v>170</v>
      </c>
      <c r="AC117" s="10" t="s">
        <v>136</v>
      </c>
      <c r="AD117" s="10" t="s">
        <v>716</v>
      </c>
      <c r="AE117" s="10" t="s">
        <v>137</v>
      </c>
      <c r="AF117" s="10" t="s">
        <v>524</v>
      </c>
      <c r="AG117" s="10"/>
      <c r="AH117" s="10"/>
      <c r="AI117" s="10"/>
      <c r="AJ117" s="10" t="s">
        <v>717</v>
      </c>
      <c r="AK117" s="10" t="s">
        <v>291</v>
      </c>
      <c r="AL117" s="10" t="s">
        <v>170</v>
      </c>
      <c r="AM117" s="10" t="s">
        <v>718</v>
      </c>
      <c r="AN117" s="8"/>
      <c r="AO117" s="10" t="s">
        <v>174</v>
      </c>
      <c r="AP117" s="10" t="s">
        <v>175</v>
      </c>
      <c r="AQ117" s="11" t="n">
        <v>46184</v>
      </c>
      <c r="AR117" s="13"/>
      <c r="AS117" s="13"/>
      <c r="AT117" s="13" t="s">
        <v>719</v>
      </c>
      <c r="AU117" s="13" t="s">
        <v>559</v>
      </c>
      <c r="AV117" s="13"/>
      <c r="AW117" s="13"/>
      <c r="AX117" s="13" t="s">
        <v>716</v>
      </c>
      <c r="AY117" s="7" t="s">
        <v>159</v>
      </c>
      <c r="AZ117" s="7"/>
      <c r="BA117" s="7" t="s">
        <v>35</v>
      </c>
      <c r="BB117" s="7" t="s">
        <v>559</v>
      </c>
      <c r="BC117" s="7"/>
      <c r="BD117" s="9" t="n">
        <v>46288</v>
      </c>
      <c r="BE117" s="7"/>
      <c r="BF117" s="14" t="str">
        <f aca="true">IF(TRIM($A117)="Finalized","Closed",IF($BD117="","No review date set",IF($BD117&lt;TODAY(),"OVERDUE",IF($BD117-TODAY()&lt;=7,"Due within 7 days","Scheduled"))))</f>
        <v>OVERDUE</v>
      </c>
      <c r="BG117" s="14" t="n">
        <f aca="true">IF($K117="","",TODAY()-$K117)</f>
        <v>54</v>
      </c>
      <c r="BH117" s="15" t="str">
        <f aca="false">IFERROR(LEFT(IF($B117="","Notes, ","")&amp;IF($K117="","Latest Date Worked, ","")&amp;IF($AY117="","Last Action, ","")&amp;IF(AND(OR(TRIM($A117)="Denied",TRIM($A117)="Rejected"),$BA117=""),"Denial Reason, ","")&amp;IF(AND(TRIM($A117)="Denied",$BB117="",TRIM($BA117)&lt;&gt;"NO DENIAL"),"Denial Code, ","")&amp;IF(AND(TRIM($A117)&lt;&gt;"Finalized",$BD117=""),"Next Review Date, ","")&amp;IF(AND(TRIM($A117)&lt;&gt;"Finalized",$BE117=""),"Next Step, ","")&amp;IF(AND(TRIM($A117)="Finalized",$AV117="",$AR117="",$AT117="",$AX117="",$AW117=""),"CPT outcome, ",""),LEN(IF($B117="","Notes, ","")&amp;IF($K117="","Latest Date Worked, ","")&amp;IF($AY117="","Last Action, ","")&amp;IF(AND(OR(TRIM($A117)="Denied",TRIM($A117)="Rejected"),$BA117=""),"Denial Reason, ","")&amp;IF(AND(TRIM($A117)="Denied",$BB117="",TRIM($BA117)&lt;&gt;"NO DENIAL"),"Denial Code, ","")&amp;IF(AND(TRIM($A117)&lt;&gt;"Finalized",$BD117=""),"Next Review Date, ","")&amp;IF(AND(TRIM($A117)&lt;&gt;"Finalized",$BE117=""),"Next Step, ","")&amp;IF(AND(TRIM($A117)="Finalized",$AV117="",$AR117="",$AT117="",$AX117="",$AW117=""),"CPT outcome, ",""))-2),"")</f>
        <v>Next Step</v>
      </c>
      <c r="BI117" s="15" t="str">
        <f aca="false">IF($BB117="","",IFERROR(INDEX('Denial Codes'!$C:$C,MATCH(LEFT($BB117,FIND(" - ",$BB117&amp;" - ")+2)&amp;"*",'Denial Codes'!$A:$A,0)),""))</f>
        <v>Timely filing</v>
      </c>
      <c r="BJ117" s="15" t="str">
        <f aca="false">IF($BA117="","",IFERROR(INDEX(Lists!$B:$B,MATCH(TRIM($BA117),Lists!$A:$A,0))&amp;"",""))</f>
        <v>Find proof of timely filing (clearinghouse acceptance or earlier submission) and appeal with it; if none, adjust the balance.</v>
      </c>
    </row>
    <row r="118" customFormat="false" ht="15" hidden="false" customHeight="false" outlineLevel="0" collapsed="false">
      <c r="A118" s="7" t="s">
        <v>16</v>
      </c>
      <c r="B118" s="7" t="s">
        <v>720</v>
      </c>
      <c r="C118" s="8" t="n">
        <v>554404221</v>
      </c>
      <c r="D118" s="9" t="n">
        <v>46128</v>
      </c>
      <c r="E118" s="10" t="s">
        <v>721</v>
      </c>
      <c r="F118" s="11" t="n">
        <v>46112</v>
      </c>
      <c r="G118" s="10" t="s">
        <v>427</v>
      </c>
      <c r="H118" s="10" t="s">
        <v>427</v>
      </c>
      <c r="I118" s="10" t="s">
        <v>129</v>
      </c>
      <c r="J118" s="10" t="s">
        <v>370</v>
      </c>
      <c r="K118" s="9" t="n">
        <v>46268</v>
      </c>
      <c r="L118" s="12" t="str">
        <f aca="true">IF($O118="","",$O118-TODAY())</f>
        <v/>
      </c>
      <c r="M118" s="12" t="str">
        <f aca="true">IF(AND(TRIM($A118)="Finalized",$K118&lt;&gt;""),"",IF($D118="","",$D118+365-TODAY()))</f>
        <v/>
      </c>
      <c r="N118" s="12" t="str">
        <f aca="true">IF(AND(TRIM($A118)="Finalized",$K118&lt;&gt;""),"",IF($D118="","",$D118+90-TODAY()))</f>
        <v/>
      </c>
      <c r="O118" s="11" t="str">
        <f aca="false">IF(AND(TRIM($A118)="Finalized",$K118&lt;&gt;""),"",DATE(2026,7,29))</f>
        <v/>
      </c>
      <c r="P118" s="10" t="s">
        <v>117</v>
      </c>
      <c r="Q118" s="10" t="s">
        <v>429</v>
      </c>
      <c r="R118" s="10" t="s">
        <v>114</v>
      </c>
      <c r="S118" s="10" t="s">
        <v>116</v>
      </c>
      <c r="T118" s="10" t="s">
        <v>165</v>
      </c>
      <c r="U118" s="10" t="s">
        <v>116</v>
      </c>
      <c r="V118" s="10" t="s">
        <v>167</v>
      </c>
      <c r="W118" s="10" t="s">
        <v>183</v>
      </c>
      <c r="X118" s="10"/>
      <c r="Y118" s="10"/>
      <c r="Z118" s="10"/>
      <c r="AA118" s="10" t="s">
        <v>197</v>
      </c>
      <c r="AB118" s="8" t="n">
        <f aca="true">IF($F118="","",TODAY()-$F118)</f>
        <v>199</v>
      </c>
      <c r="AC118" s="10" t="s">
        <v>211</v>
      </c>
      <c r="AD118" s="10"/>
      <c r="AE118" s="10"/>
      <c r="AF118" s="10"/>
      <c r="AG118" s="10"/>
      <c r="AH118" s="10"/>
      <c r="AI118" s="10"/>
      <c r="AJ118" s="10" t="s">
        <v>340</v>
      </c>
      <c r="AK118" s="10"/>
      <c r="AL118" s="10"/>
      <c r="AM118" s="10"/>
      <c r="AN118" s="8"/>
      <c r="AO118" s="10" t="s">
        <v>201</v>
      </c>
      <c r="AP118" s="10" t="s">
        <v>308</v>
      </c>
      <c r="AQ118" s="11" t="n">
        <v>46119</v>
      </c>
      <c r="AR118" s="13"/>
      <c r="AS118" s="13"/>
      <c r="AT118" s="13"/>
      <c r="AU118" s="13"/>
      <c r="AV118" s="13" t="s">
        <v>211</v>
      </c>
      <c r="AW118" s="13"/>
      <c r="AX118" s="13" t="s">
        <v>211</v>
      </c>
      <c r="AY118" s="7" t="s">
        <v>363</v>
      </c>
      <c r="AZ118" s="7" t="s">
        <v>159</v>
      </c>
      <c r="BA118" s="7" t="s">
        <v>34</v>
      </c>
      <c r="BB118" s="7" t="s">
        <v>464</v>
      </c>
      <c r="BC118" s="7"/>
      <c r="BD118" s="9"/>
      <c r="BE118" s="7"/>
      <c r="BF118" s="14" t="str">
        <f aca="true">IF(TRIM($A118)="Finalized","Closed",IF($BD118="","No review date set",IF($BD118&lt;TODAY(),"OVERDUE",IF($BD118-TODAY()&lt;=7,"Due within 7 days","Scheduled"))))</f>
        <v>Closed</v>
      </c>
      <c r="BG118" s="14" t="n">
        <f aca="true">IF($K118="","",TODAY()-$K118)</f>
        <v>43</v>
      </c>
      <c r="BH118" s="15" t="str">
        <f aca="false">IFERROR(LEFT(IF($B118="","Notes, ","")&amp;IF($K118="","Latest Date Worked, ","")&amp;IF($AY118="","Last Action, ","")&amp;IF(AND(OR(TRIM($A118)="Denied",TRIM($A118)="Rejected"),$BA118=""),"Denial Reason, ","")&amp;IF(AND(TRIM($A118)="Denied",$BB118="",TRIM($BA118)&lt;&gt;"NO DENIAL"),"Denial Code, ","")&amp;IF(AND(TRIM($A118)&lt;&gt;"Finalized",$BD118=""),"Next Review Date, ","")&amp;IF(AND(TRIM($A118)&lt;&gt;"Finalized",$BE118=""),"Next Step, ","")&amp;IF(AND(TRIM($A118)="Finalized",$AV118="",$AR118="",$AT118="",$AX118="",$AW118=""),"CPT outcome, ",""),LEN(IF($B118="","Notes, ","")&amp;IF($K118="","Latest Date Worked, ","")&amp;IF($AY118="","Last Action, ","")&amp;IF(AND(OR(TRIM($A118)="Denied",TRIM($A118)="Rejected"),$BA118=""),"Denial Reason, ","")&amp;IF(AND(TRIM($A118)="Denied",$BB118="",TRIM($BA118)&lt;&gt;"NO DENIAL"),"Denial Code, ","")&amp;IF(AND(TRIM($A118)&lt;&gt;"Finalized",$BD118=""),"Next Review Date, ","")&amp;IF(AND(TRIM($A118)&lt;&gt;"Finalized",$BE118=""),"Next Step, ","")&amp;IF(AND(TRIM($A118)="Finalized",$AV118="",$AR118="",$AT118="",$AX118="",$AW118=""),"CPT outcome, ",""))-2),"")</f>
        <v/>
      </c>
      <c r="BI118" s="15" t="str">
        <f aca="false">IF($BB118="","",IFERROR(INDEX('Denial Codes'!$C:$C,MATCH(LEFT($BB118,FIND(" - ",$BB118&amp;" - ")+2)&amp;"*",'Denial Codes'!$A:$A,0)),""))</f>
        <v>No authorization</v>
      </c>
      <c r="BJ118" s="15" t="str">
        <f aca="false">IF($BA118="","",IFERROR(INDEX(Lists!$B:$B,MATCH(TRIM($BA118),Lists!$A:$A,0))&amp;"",""))</f>
        <v>Check the portal for an auth; request a retro-auth or file an appeal with the auth number, then resubmit.</v>
      </c>
    </row>
    <row r="119" customFormat="false" ht="15" hidden="false" customHeight="false" outlineLevel="0" collapsed="false">
      <c r="A119" s="7" t="s">
        <v>17</v>
      </c>
      <c r="B119" s="7" t="s">
        <v>722</v>
      </c>
      <c r="C119" s="8" t="n">
        <v>571603915</v>
      </c>
      <c r="D119" s="9" t="n">
        <v>46287</v>
      </c>
      <c r="E119" s="10" t="s">
        <v>723</v>
      </c>
      <c r="F119" s="11" t="n">
        <v>46142</v>
      </c>
      <c r="G119" s="10" t="s">
        <v>208</v>
      </c>
      <c r="H119" s="10" t="s">
        <v>208</v>
      </c>
      <c r="I119" s="10" t="s">
        <v>129</v>
      </c>
      <c r="J119" s="10" t="s">
        <v>724</v>
      </c>
      <c r="K119" s="9" t="n">
        <v>46278</v>
      </c>
      <c r="L119" s="12" t="n">
        <f aca="true">IF($O119="","",$O119-TODAY())</f>
        <v>-79</v>
      </c>
      <c r="M119" s="12" t="n">
        <f aca="true">IF(AND(TRIM($A119)="Finalized",$K119&lt;&gt;""),"",IF($D119="","",$D119+180-TODAY()))</f>
        <v>156</v>
      </c>
      <c r="N119" s="12" t="n">
        <f aca="true">IF(AND(TRIM($A119)="Finalized",$K119&lt;&gt;""),"",IF($D119="","",$D119+365-TODAY()))</f>
        <v>341</v>
      </c>
      <c r="O119" s="11" t="n">
        <f aca="false">IF(AND(TRIM($A119)="Finalized",$K119&lt;&gt;""),"",DATE(2026,7,29))</f>
        <v>46232</v>
      </c>
      <c r="P119" s="10" t="s">
        <v>165</v>
      </c>
      <c r="Q119" s="10" t="s">
        <v>210</v>
      </c>
      <c r="R119" s="10" t="s">
        <v>147</v>
      </c>
      <c r="S119" s="10" t="s">
        <v>116</v>
      </c>
      <c r="T119" s="10" t="s">
        <v>114</v>
      </c>
      <c r="U119" s="10" t="s">
        <v>116</v>
      </c>
      <c r="V119" s="10" t="s">
        <v>221</v>
      </c>
      <c r="W119" s="10" t="s">
        <v>196</v>
      </c>
      <c r="X119" s="10"/>
      <c r="Y119" s="10"/>
      <c r="Z119" s="10"/>
      <c r="AA119" s="10" t="s">
        <v>197</v>
      </c>
      <c r="AB119" s="8" t="n">
        <f aca="true">IF($F119="","",TODAY()-$F119)</f>
        <v>169</v>
      </c>
      <c r="AC119" s="10" t="s">
        <v>487</v>
      </c>
      <c r="AD119" s="10"/>
      <c r="AE119" s="10"/>
      <c r="AF119" s="10"/>
      <c r="AG119" s="10"/>
      <c r="AH119" s="10"/>
      <c r="AI119" s="10"/>
      <c r="AJ119" s="10" t="s">
        <v>725</v>
      </c>
      <c r="AK119" s="10" t="s">
        <v>726</v>
      </c>
      <c r="AL119" s="10" t="s">
        <v>415</v>
      </c>
      <c r="AM119" s="10"/>
      <c r="AN119" s="8"/>
      <c r="AO119" s="10" t="s">
        <v>213</v>
      </c>
      <c r="AP119" s="10" t="s">
        <v>224</v>
      </c>
      <c r="AQ119" s="11" t="n">
        <v>46148</v>
      </c>
      <c r="AR119" s="13"/>
      <c r="AS119" s="13"/>
      <c r="AT119" s="13"/>
      <c r="AU119" s="13"/>
      <c r="AV119" s="13"/>
      <c r="AW119" s="13"/>
      <c r="AX119" s="13" t="s">
        <v>487</v>
      </c>
      <c r="AY119" s="7" t="s">
        <v>159</v>
      </c>
      <c r="AZ119" s="7"/>
      <c r="BA119" s="7"/>
      <c r="BB119" s="7"/>
      <c r="BC119" s="7"/>
      <c r="BD119" s="9" t="n">
        <v>46308</v>
      </c>
      <c r="BE119" s="7"/>
      <c r="BF119" s="14" t="str">
        <f aca="true">IF(TRIM($A119)="Finalized","Closed",IF($BD119="","No review date set",IF($BD119&lt;TODAY(),"OVERDUE",IF($BD119-TODAY()&lt;=7,"Due within 7 days","Scheduled"))))</f>
        <v>OVERDUE</v>
      </c>
      <c r="BG119" s="14" t="n">
        <f aca="true">IF($K119="","",TODAY()-$K119)</f>
        <v>33</v>
      </c>
      <c r="BH119" s="15" t="str">
        <f aca="false">IFERROR(LEFT(IF($B119="","Notes, ","")&amp;IF($K119="","Latest Date Worked, ","")&amp;IF($AY119="","Last Action, ","")&amp;IF(AND(OR(TRIM($A119)="Denied",TRIM($A119)="Rejected"),$BA119=""),"Denial Reason, ","")&amp;IF(AND(TRIM($A119)="Denied",$BB119="",TRIM($BA119)&lt;&gt;"NO DENIAL"),"Denial Code, ","")&amp;IF(AND(TRIM($A119)&lt;&gt;"Finalized",$BD119=""),"Next Review Date, ","")&amp;IF(AND(TRIM($A119)&lt;&gt;"Finalized",$BE119=""),"Next Step, ","")&amp;IF(AND(TRIM($A119)="Finalized",$AV119="",$AR119="",$AT119="",$AX119="",$AW119=""),"CPT outcome, ",""),LEN(IF($B119="","Notes, ","")&amp;IF($K119="","Latest Date Worked, ","")&amp;IF($AY119="","Last Action, ","")&amp;IF(AND(OR(TRIM($A119)="Denied",TRIM($A119)="Rejected"),$BA119=""),"Denial Reason, ","")&amp;IF(AND(TRIM($A119)="Denied",$BB119="",TRIM($BA119)&lt;&gt;"NO DENIAL"),"Denial Code, ","")&amp;IF(AND(TRIM($A119)&lt;&gt;"Finalized",$BD119=""),"Next Review Date, ","")&amp;IF(AND(TRIM($A119)&lt;&gt;"Finalized",$BE119=""),"Next Step, ","")&amp;IF(AND(TRIM($A119)="Finalized",$AV119="",$AR119="",$AT119="",$AX119="",$AW119=""),"CPT outcome, ",""))-2),"")</f>
        <v>Denial Reason, Denial Code, Next Step</v>
      </c>
      <c r="BI119" s="15" t="str">
        <f aca="false">IF($BB119="","",IFERROR(INDEX('Denial Codes'!$C:$C,MATCH(LEFT($BB119,FIND(" - ",$BB119&amp;" - ")+2)&amp;"*",'Denial Codes'!$A:$A,0)),""))</f>
        <v/>
      </c>
      <c r="BJ119" s="15" t="str">
        <f aca="false">IF($BA119="","",IFERROR(INDEX(Lists!$B:$B,MATCH(TRIM($BA119),Lists!$A:$A,0))&amp;"",""))</f>
        <v/>
      </c>
    </row>
    <row r="120" customFormat="false" ht="15" hidden="false" customHeight="false" outlineLevel="0" collapsed="false">
      <c r="A120" s="7" t="s">
        <v>18</v>
      </c>
      <c r="B120" s="7" t="s">
        <v>727</v>
      </c>
      <c r="C120" s="8" t="n">
        <v>558643419</v>
      </c>
      <c r="D120" s="9" t="n">
        <v>46152</v>
      </c>
      <c r="E120" s="10" t="s">
        <v>728</v>
      </c>
      <c r="F120" s="11" t="n">
        <v>46142</v>
      </c>
      <c r="G120" s="10" t="s">
        <v>145</v>
      </c>
      <c r="H120" s="10" t="s">
        <v>369</v>
      </c>
      <c r="I120" s="10" t="s">
        <v>145</v>
      </c>
      <c r="J120" s="10" t="s">
        <v>219</v>
      </c>
      <c r="K120" s="9"/>
      <c r="L120" s="12" t="n">
        <f aca="true">IF($O120="","",$O120-TODAY())</f>
        <v>-79</v>
      </c>
      <c r="M120" s="12" t="n">
        <f aca="true">IF(AND(TRIM($A120)="Finalized",$K120&lt;&gt;""),"",IF($D120="","",$D120+365-TODAY()))</f>
        <v>206</v>
      </c>
      <c r="N120" s="12" t="n">
        <f aca="true">IF(AND(TRIM($A120)="Finalized",$K120&lt;&gt;""),"",IF($D120="","",$D120+365-TODAY()))</f>
        <v>206</v>
      </c>
      <c r="O120" s="11" t="n">
        <f aca="false">IF(AND(TRIM($A120)="Finalized",$K120&lt;&gt;""),"",DATE(2026,7,29))</f>
        <v>46232</v>
      </c>
      <c r="P120" s="10" t="s">
        <v>165</v>
      </c>
      <c r="Q120" s="10" t="s">
        <v>371</v>
      </c>
      <c r="R120" s="10" t="s">
        <v>114</v>
      </c>
      <c r="S120" s="10" t="s">
        <v>116</v>
      </c>
      <c r="T120" s="10" t="s">
        <v>114</v>
      </c>
      <c r="U120" s="10" t="s">
        <v>116</v>
      </c>
      <c r="V120" s="10" t="s">
        <v>221</v>
      </c>
      <c r="W120" s="10" t="s">
        <v>196</v>
      </c>
      <c r="X120" s="10"/>
      <c r="Y120" s="10"/>
      <c r="Z120" s="10"/>
      <c r="AA120" s="10" t="s">
        <v>197</v>
      </c>
      <c r="AB120" s="8" t="n">
        <f aca="true">IF($F120="","",TODAY()-$F120)</f>
        <v>169</v>
      </c>
      <c r="AC120" s="10" t="s">
        <v>222</v>
      </c>
      <c r="AD120" s="10"/>
      <c r="AE120" s="10"/>
      <c r="AF120" s="10"/>
      <c r="AG120" s="10"/>
      <c r="AH120" s="10"/>
      <c r="AI120" s="10"/>
      <c r="AJ120" s="10" t="s">
        <v>375</v>
      </c>
      <c r="AK120" s="10"/>
      <c r="AL120" s="10"/>
      <c r="AM120" s="10"/>
      <c r="AN120" s="8" t="n">
        <v>561157100</v>
      </c>
      <c r="AO120" s="10" t="s">
        <v>213</v>
      </c>
      <c r="AP120" s="10" t="s">
        <v>224</v>
      </c>
      <c r="AQ120" s="11" t="n">
        <v>46148</v>
      </c>
      <c r="AR120" s="13"/>
      <c r="AS120" s="13"/>
      <c r="AT120" s="13"/>
      <c r="AU120" s="13"/>
      <c r="AV120" s="13" t="s">
        <v>222</v>
      </c>
      <c r="AW120" s="13"/>
      <c r="AX120" s="13" t="s">
        <v>222</v>
      </c>
      <c r="AY120" s="7"/>
      <c r="AZ120" s="7"/>
      <c r="BA120" s="7"/>
      <c r="BB120" s="7"/>
      <c r="BC120" s="7"/>
      <c r="BD120" s="9"/>
      <c r="BE120" s="7" t="s">
        <v>729</v>
      </c>
      <c r="BF120" s="14" t="str">
        <f aca="true">IF(TRIM($A120)="Finalized","Closed",IF($BD120="","No review date set",IF($BD120&lt;TODAY(),"OVERDUE",IF($BD120-TODAY()&lt;=7,"Due within 7 days","Scheduled"))))</f>
        <v>No review date set</v>
      </c>
      <c r="BG120" s="14" t="str">
        <f aca="true">IF($K120="","",TODAY()-$K120)</f>
        <v/>
      </c>
      <c r="BH120" s="15" t="str">
        <f aca="false">IFERROR(LEFT(IF($B120="","Notes, ","")&amp;IF($K120="","Latest Date Worked, ","")&amp;IF($AY120="","Last Action, ","")&amp;IF(AND(OR(TRIM($A120)="Denied",TRIM($A120)="Rejected"),$BA120=""),"Denial Reason, ","")&amp;IF(AND(TRIM($A120)="Denied",$BB120="",TRIM($BA120)&lt;&gt;"NO DENIAL"),"Denial Code, ","")&amp;IF(AND(TRIM($A120)&lt;&gt;"Finalized",$BD120=""),"Next Review Date, ","")&amp;IF(AND(TRIM($A120)&lt;&gt;"Finalized",$BE120=""),"Next Step, ","")&amp;IF(AND(TRIM($A120)="Finalized",$AV120="",$AR120="",$AT120="",$AX120="",$AW120=""),"CPT outcome, ",""),LEN(IF($B120="","Notes, ","")&amp;IF($K120="","Latest Date Worked, ","")&amp;IF($AY120="","Last Action, ","")&amp;IF(AND(OR(TRIM($A120)="Denied",TRIM($A120)="Rejected"),$BA120=""),"Denial Reason, ","")&amp;IF(AND(TRIM($A120)="Denied",$BB120="",TRIM($BA120)&lt;&gt;"NO DENIAL"),"Denial Code, ","")&amp;IF(AND(TRIM($A120)&lt;&gt;"Finalized",$BD120=""),"Next Review Date, ","")&amp;IF(AND(TRIM($A120)&lt;&gt;"Finalized",$BE120=""),"Next Step, ","")&amp;IF(AND(TRIM($A120)="Finalized",$AV120="",$AR120="",$AT120="",$AX120="",$AW120=""),"CPT outcome, ",""))-2),"")</f>
        <v>Latest Date Worked, Last Action, Next Review Date</v>
      </c>
      <c r="BI120" s="15" t="str">
        <f aca="false">IF($BB120="","",IFERROR(INDEX('Denial Codes'!$C:$C,MATCH(LEFT($BB120,FIND(" - ",$BB120&amp;" - ")+2)&amp;"*",'Denial Codes'!$A:$A,0)),""))</f>
        <v/>
      </c>
      <c r="BJ120" s="15" t="str">
        <f aca="false">IF($BA120="","",IFERROR(INDEX(Lists!$B:$B,MATCH(TRIM($BA120),Lists!$A:$A,0))&amp;"",""))</f>
        <v/>
      </c>
    </row>
    <row r="121" customFormat="false" ht="15" hidden="false" customHeight="false" outlineLevel="0" collapsed="false">
      <c r="A121" s="7" t="s">
        <v>18</v>
      </c>
      <c r="B121" s="7" t="s">
        <v>640</v>
      </c>
      <c r="C121" s="8" t="n">
        <v>558739471</v>
      </c>
      <c r="D121" s="9" t="n">
        <v>46162</v>
      </c>
      <c r="E121" s="10" t="s">
        <v>730</v>
      </c>
      <c r="F121" s="11" t="n">
        <v>46142</v>
      </c>
      <c r="G121" s="10" t="s">
        <v>208</v>
      </c>
      <c r="H121" s="10" t="s">
        <v>208</v>
      </c>
      <c r="I121" s="10" t="s">
        <v>208</v>
      </c>
      <c r="J121" s="10" t="s">
        <v>272</v>
      </c>
      <c r="K121" s="9"/>
      <c r="L121" s="12" t="n">
        <f aca="true">IF($O121="","",$O121-TODAY())</f>
        <v>-79</v>
      </c>
      <c r="M121" s="12" t="n">
        <f aca="true">IF(AND(TRIM($A121)="Finalized",$K121&lt;&gt;""),"",IF($D121="","",$D121+180-TODAY()))</f>
        <v>31</v>
      </c>
      <c r="N121" s="12" t="n">
        <f aca="true">IF(AND(TRIM($A121)="Finalized",$K121&lt;&gt;""),"",IF($D121="","",$D121+365-TODAY()))</f>
        <v>216</v>
      </c>
      <c r="O121" s="11" t="n">
        <f aca="false">IF(AND(TRIM($A121)="Finalized",$K121&lt;&gt;""),"",DATE(2026,7,29))</f>
        <v>46232</v>
      </c>
      <c r="P121" s="10" t="s">
        <v>165</v>
      </c>
      <c r="Q121" s="10" t="s">
        <v>210</v>
      </c>
      <c r="R121" s="10" t="s">
        <v>147</v>
      </c>
      <c r="S121" s="10" t="s">
        <v>116</v>
      </c>
      <c r="T121" s="10" t="s">
        <v>114</v>
      </c>
      <c r="U121" s="10" t="s">
        <v>116</v>
      </c>
      <c r="V121" s="10" t="s">
        <v>221</v>
      </c>
      <c r="W121" s="10" t="s">
        <v>119</v>
      </c>
      <c r="X121" s="10" t="s">
        <v>120</v>
      </c>
      <c r="Y121" s="10"/>
      <c r="Z121" s="10"/>
      <c r="AA121" s="10" t="s">
        <v>121</v>
      </c>
      <c r="AB121" s="8" t="n">
        <f aca="true">IF($F121="","",TODAY()-$F121)</f>
        <v>169</v>
      </c>
      <c r="AC121" s="10" t="s">
        <v>273</v>
      </c>
      <c r="AD121" s="10"/>
      <c r="AE121" s="10"/>
      <c r="AF121" s="10"/>
      <c r="AG121" s="10"/>
      <c r="AH121" s="10"/>
      <c r="AI121" s="10"/>
      <c r="AJ121" s="10" t="s">
        <v>123</v>
      </c>
      <c r="AK121" s="10" t="s">
        <v>139</v>
      </c>
      <c r="AL121" s="10"/>
      <c r="AM121" s="10"/>
      <c r="AN121" s="8"/>
      <c r="AO121" s="10" t="s">
        <v>669</v>
      </c>
      <c r="AP121" s="10" t="s">
        <v>188</v>
      </c>
      <c r="AQ121" s="11" t="n">
        <v>46153</v>
      </c>
      <c r="AR121" s="13"/>
      <c r="AS121" s="13"/>
      <c r="AT121" s="13"/>
      <c r="AU121" s="13"/>
      <c r="AV121" s="13"/>
      <c r="AW121" s="13"/>
      <c r="AX121" s="13" t="s">
        <v>273</v>
      </c>
      <c r="AY121" s="7"/>
      <c r="AZ121" s="7"/>
      <c r="BA121" s="7" t="s">
        <v>44</v>
      </c>
      <c r="BB121" s="7"/>
      <c r="BC121" s="7"/>
      <c r="BD121" s="9"/>
      <c r="BE121" s="7" t="s">
        <v>644</v>
      </c>
      <c r="BF121" s="14" t="str">
        <f aca="true">IF(TRIM($A121)="Finalized","Closed",IF($BD121="","No review date set",IF($BD121&lt;TODAY(),"OVERDUE",IF($BD121-TODAY()&lt;=7,"Due within 7 days","Scheduled"))))</f>
        <v>No review date set</v>
      </c>
      <c r="BG121" s="14" t="str">
        <f aca="true">IF($K121="","",TODAY()-$K121)</f>
        <v/>
      </c>
      <c r="BH121" s="15" t="str">
        <f aca="false">IFERROR(LEFT(IF($B121="","Notes, ","")&amp;IF($K121="","Latest Date Worked, ","")&amp;IF($AY121="","Last Action, ","")&amp;IF(AND(OR(TRIM($A121)="Denied",TRIM($A121)="Rejected"),$BA121=""),"Denial Reason, ","")&amp;IF(AND(TRIM($A121)="Denied",$BB121="",TRIM($BA121)&lt;&gt;"NO DENIAL"),"Denial Code, ","")&amp;IF(AND(TRIM($A121)&lt;&gt;"Finalized",$BD121=""),"Next Review Date, ","")&amp;IF(AND(TRIM($A121)&lt;&gt;"Finalized",$BE121=""),"Next Step, ","")&amp;IF(AND(TRIM($A121)="Finalized",$AV121="",$AR121="",$AT121="",$AX121="",$AW121=""),"CPT outcome, ",""),LEN(IF($B121="","Notes, ","")&amp;IF($K121="","Latest Date Worked, ","")&amp;IF($AY121="","Last Action, ","")&amp;IF(AND(OR(TRIM($A121)="Denied",TRIM($A121)="Rejected"),$BA121=""),"Denial Reason, ","")&amp;IF(AND(TRIM($A121)="Denied",$BB121="",TRIM($BA121)&lt;&gt;"NO DENIAL"),"Denial Code, ","")&amp;IF(AND(TRIM($A121)&lt;&gt;"Finalized",$BD121=""),"Next Review Date, ","")&amp;IF(AND(TRIM($A121)&lt;&gt;"Finalized",$BE121=""),"Next Step, ","")&amp;IF(AND(TRIM($A121)="Finalized",$AV121="",$AR121="",$AT121="",$AX121="",$AW121=""),"CPT outcome, ",""))-2),"")</f>
        <v>Latest Date Worked, Last Action, Next Review Date</v>
      </c>
      <c r="BI121" s="15" t="str">
        <f aca="false">IF($BB121="","",IFERROR(INDEX('Denial Codes'!$C:$C,MATCH(LEFT($BB121,FIND(" - ",$BB121&amp;" - ")+2)&amp;"*",'Denial Codes'!$A:$A,0)),""))</f>
        <v/>
      </c>
      <c r="BJ121" s="15" t="str">
        <f aca="false">IF($BA121="","",IFERROR(INDEX(Lists!$B:$B,MATCH(TRIM($BA121),Lists!$A:$A,0))&amp;"",""))</f>
        <v>Bill the correct payer, delegated vendor or capitated group/IPA (e.g. Optum Behavioral, Preferred Homecare).</v>
      </c>
    </row>
    <row r="122" customFormat="false" ht="15" hidden="false" customHeight="false" outlineLevel="0" collapsed="false">
      <c r="A122" s="7" t="s">
        <v>18</v>
      </c>
      <c r="B122" s="7" t="s">
        <v>731</v>
      </c>
      <c r="C122" s="8" t="n">
        <v>562340666</v>
      </c>
      <c r="D122" s="9" t="n">
        <v>46162</v>
      </c>
      <c r="E122" s="10" t="s">
        <v>379</v>
      </c>
      <c r="F122" s="11" t="n">
        <v>46142</v>
      </c>
      <c r="G122" s="10" t="s">
        <v>163</v>
      </c>
      <c r="H122" s="10" t="s">
        <v>163</v>
      </c>
      <c r="I122" s="10" t="s">
        <v>112</v>
      </c>
      <c r="J122" s="10" t="s">
        <v>461</v>
      </c>
      <c r="K122" s="9"/>
      <c r="L122" s="12" t="n">
        <f aca="true">IF($O122="","",$O122-TODAY())</f>
        <v>-79</v>
      </c>
      <c r="M122" s="12" t="n">
        <f aca="true">IF(AND(TRIM($A122)="Finalized",$K122&lt;&gt;""),"",IF($F122="","",$F122+90-TODAY()))</f>
        <v>-79</v>
      </c>
      <c r="N122" s="12" t="n">
        <f aca="true">IF(AND(TRIM($A122)="Finalized",$K122&lt;&gt;""),"",IF($D122="","",$D122+365-TODAY()))</f>
        <v>216</v>
      </c>
      <c r="O122" s="11" t="n">
        <f aca="false">IF(AND(TRIM($A122)="Finalized",$K122&lt;&gt;""),"",DATE(2026,7,29))</f>
        <v>46232</v>
      </c>
      <c r="P122" s="10" t="s">
        <v>165</v>
      </c>
      <c r="Q122" s="10" t="s">
        <v>166</v>
      </c>
      <c r="R122" s="10" t="s">
        <v>165</v>
      </c>
      <c r="S122" s="10" t="s">
        <v>149</v>
      </c>
      <c r="T122" s="10" t="s">
        <v>114</v>
      </c>
      <c r="U122" s="10" t="s">
        <v>116</v>
      </c>
      <c r="V122" s="10" t="s">
        <v>221</v>
      </c>
      <c r="W122" s="10" t="s">
        <v>119</v>
      </c>
      <c r="X122" s="10" t="s">
        <v>120</v>
      </c>
      <c r="Y122" s="10"/>
      <c r="Z122" s="10"/>
      <c r="AA122" s="10" t="s">
        <v>230</v>
      </c>
      <c r="AB122" s="8" t="n">
        <f aca="true">IF($F122="","",TODAY()-$F122)</f>
        <v>169</v>
      </c>
      <c r="AC122" s="10" t="s">
        <v>273</v>
      </c>
      <c r="AD122" s="10"/>
      <c r="AE122" s="10"/>
      <c r="AF122" s="10"/>
      <c r="AG122" s="10"/>
      <c r="AH122" s="10"/>
      <c r="AI122" s="10"/>
      <c r="AJ122" s="10" t="s">
        <v>123</v>
      </c>
      <c r="AK122" s="10" t="s">
        <v>170</v>
      </c>
      <c r="AL122" s="10" t="s">
        <v>525</v>
      </c>
      <c r="AM122" s="10"/>
      <c r="AN122" s="8"/>
      <c r="AO122" s="10" t="s">
        <v>546</v>
      </c>
      <c r="AP122" s="10" t="s">
        <v>202</v>
      </c>
      <c r="AQ122" s="11" t="n">
        <v>46153</v>
      </c>
      <c r="AR122" s="13"/>
      <c r="AS122" s="13"/>
      <c r="AT122" s="13"/>
      <c r="AU122" s="13"/>
      <c r="AV122" s="13"/>
      <c r="AW122" s="13"/>
      <c r="AX122" s="13"/>
      <c r="AY122" s="7" t="s">
        <v>203</v>
      </c>
      <c r="AZ122" s="7"/>
      <c r="BA122" s="7" t="s">
        <v>36</v>
      </c>
      <c r="BB122" s="7" t="s">
        <v>204</v>
      </c>
      <c r="BC122" s="7"/>
      <c r="BD122" s="9"/>
      <c r="BE122" s="7" t="s">
        <v>732</v>
      </c>
      <c r="BF122" s="14" t="str">
        <f aca="true">IF(TRIM($A122)="Finalized","Closed",IF($BD122="","No review date set",IF($BD122&lt;TODAY(),"OVERDUE",IF($BD122-TODAY()&lt;=7,"Due within 7 days","Scheduled"))))</f>
        <v>No review date set</v>
      </c>
      <c r="BG122" s="14" t="str">
        <f aca="true">IF($K122="","",TODAY()-$K122)</f>
        <v/>
      </c>
      <c r="BH122" s="15" t="str">
        <f aca="false">IFERROR(LEFT(IF($B122="","Notes, ","")&amp;IF($K122="","Latest Date Worked, ","")&amp;IF($AY122="","Last Action, ","")&amp;IF(AND(OR(TRIM($A122)="Denied",TRIM($A122)="Rejected"),$BA122=""),"Denial Reason, ","")&amp;IF(AND(TRIM($A122)="Denied",$BB122="",TRIM($BA122)&lt;&gt;"NO DENIAL"),"Denial Code, ","")&amp;IF(AND(TRIM($A122)&lt;&gt;"Finalized",$BD122=""),"Next Review Date, ","")&amp;IF(AND(TRIM($A122)&lt;&gt;"Finalized",$BE122=""),"Next Step, ","")&amp;IF(AND(TRIM($A122)="Finalized",$AV122="",$AR122="",$AT122="",$AX122="",$AW122=""),"CPT outcome, ",""),LEN(IF($B122="","Notes, ","")&amp;IF($K122="","Latest Date Worked, ","")&amp;IF($AY122="","Last Action, ","")&amp;IF(AND(OR(TRIM($A122)="Denied",TRIM($A122)="Rejected"),$BA122=""),"Denial Reason, ","")&amp;IF(AND(TRIM($A122)="Denied",$BB122="",TRIM($BA122)&lt;&gt;"NO DENIAL"),"Denial Code, ","")&amp;IF(AND(TRIM($A122)&lt;&gt;"Finalized",$BD122=""),"Next Review Date, ","")&amp;IF(AND(TRIM($A122)&lt;&gt;"Finalized",$BE122=""),"Next Step, ","")&amp;IF(AND(TRIM($A122)="Finalized",$AV122="",$AR122="",$AT122="",$AX122="",$AW122=""),"CPT outcome, ",""))-2),"")</f>
        <v>Latest Date Worked, Next Review Date</v>
      </c>
      <c r="BI122" s="15" t="str">
        <f aca="false">IF($BB122="","",IFERROR(INDEX('Denial Codes'!$C:$C,MATCH(LEFT($BB122,FIND(" - ",$BB122&amp;" - ")+2)&amp;"*",'Denial Codes'!$A:$A,0)),""))</f>
        <v>Medical records needed</v>
      </c>
      <c r="BJ122" s="15" t="str">
        <f aca="false">IF($BA122="","",IFERROR(INDEX(Lists!$B:$B,MATCH(TRIM($BA122),Lists!$A:$A,0))&amp;"",""))</f>
        <v>Upload the MR on the payer portal, note the PIQ/reference number and set a review date.</v>
      </c>
    </row>
    <row r="123" customFormat="false" ht="15" hidden="false" customHeight="false" outlineLevel="0" collapsed="false">
      <c r="A123" s="7" t="s">
        <v>21</v>
      </c>
      <c r="B123" s="7" t="s">
        <v>733</v>
      </c>
      <c r="C123" s="8" t="n">
        <v>573882260</v>
      </c>
      <c r="D123" s="9"/>
      <c r="E123" s="10" t="s">
        <v>734</v>
      </c>
      <c r="F123" s="11" t="n">
        <v>46143</v>
      </c>
      <c r="G123" s="10" t="s">
        <v>208</v>
      </c>
      <c r="H123" s="10" t="s">
        <v>208</v>
      </c>
      <c r="I123" s="10" t="s">
        <v>129</v>
      </c>
      <c r="J123" s="10" t="s">
        <v>181</v>
      </c>
      <c r="K123" s="9" t="n">
        <v>46300</v>
      </c>
      <c r="L123" s="12" t="n">
        <f aca="true">IF($O123="","",$O123-TODAY())</f>
        <v>-78</v>
      </c>
      <c r="M123" s="12" t="str">
        <f aca="true">IF(AND(TRIM($A123)="Finalized",$K123&lt;&gt;""),"",IF($D123="","",$D123+180-TODAY()))</f>
        <v/>
      </c>
      <c r="N123" s="12" t="str">
        <f aca="true">IF(AND(TRIM($A123)="Finalized",$K123&lt;&gt;""),"",IF($D123="","",$D123+365-TODAY()))</f>
        <v/>
      </c>
      <c r="O123" s="11" t="n">
        <f aca="false">IF(AND(TRIM($A123)="Finalized",$K123&lt;&gt;""),"",DATE(2026,7,30))</f>
        <v>46233</v>
      </c>
      <c r="P123" s="10" t="s">
        <v>165</v>
      </c>
      <c r="Q123" s="10" t="s">
        <v>210</v>
      </c>
      <c r="R123" s="10" t="s">
        <v>147</v>
      </c>
      <c r="S123" s="10" t="s">
        <v>116</v>
      </c>
      <c r="T123" s="10" t="s">
        <v>114</v>
      </c>
      <c r="U123" s="10" t="s">
        <v>116</v>
      </c>
      <c r="V123" s="10" t="s">
        <v>266</v>
      </c>
      <c r="W123" s="10" t="s">
        <v>183</v>
      </c>
      <c r="X123" s="10"/>
      <c r="Y123" s="10"/>
      <c r="Z123" s="10"/>
      <c r="AA123" s="10" t="s">
        <v>197</v>
      </c>
      <c r="AB123" s="8" t="n">
        <f aca="true">IF($F123="","",TODAY()-$F123)</f>
        <v>168</v>
      </c>
      <c r="AC123" s="10" t="s">
        <v>184</v>
      </c>
      <c r="AD123" s="10" t="s">
        <v>185</v>
      </c>
      <c r="AE123" s="10"/>
      <c r="AF123" s="10"/>
      <c r="AG123" s="10"/>
      <c r="AH123" s="10"/>
      <c r="AI123" s="10"/>
      <c r="AJ123" s="10" t="s">
        <v>186</v>
      </c>
      <c r="AK123" s="10"/>
      <c r="AL123" s="10"/>
      <c r="AM123" s="10"/>
      <c r="AN123" s="8"/>
      <c r="AO123" s="10" t="s">
        <v>569</v>
      </c>
      <c r="AP123" s="10" t="s">
        <v>188</v>
      </c>
      <c r="AQ123" s="11" t="n">
        <v>46180</v>
      </c>
      <c r="AR123" s="13"/>
      <c r="AS123" s="13"/>
      <c r="AT123" s="13"/>
      <c r="AU123" s="13"/>
      <c r="AV123" s="13"/>
      <c r="AW123" s="13"/>
      <c r="AX123" s="13"/>
      <c r="AY123" s="7" t="s">
        <v>159</v>
      </c>
      <c r="AZ123" s="7" t="s">
        <v>159</v>
      </c>
      <c r="BA123" s="7" t="s">
        <v>47</v>
      </c>
      <c r="BB123" s="7"/>
      <c r="BC123" s="7"/>
      <c r="BD123" s="9" t="n">
        <v>46331</v>
      </c>
      <c r="BE123" s="7" t="s">
        <v>735</v>
      </c>
      <c r="BF123" s="14" t="str">
        <f aca="true">IF(TRIM($A123)="Finalized","Closed",IF($BD123="","No review date set",IF($BD123&lt;TODAY(),"OVERDUE",IF($BD123-TODAY()&lt;=7,"Due within 7 days","Scheduled"))))</f>
        <v>Scheduled</v>
      </c>
      <c r="BG123" s="14" t="n">
        <f aca="true">IF($K123="","",TODAY()-$K123)</f>
        <v>11</v>
      </c>
      <c r="BH123" s="15" t="str">
        <f aca="false">IFERROR(LEFT(IF($B123="","Notes, ","")&amp;IF($K123="","Latest Date Worked, ","")&amp;IF($AY123="","Last Action, ","")&amp;IF(AND(OR(TRIM($A123)="Denied",TRIM($A123)="Rejected"),$BA123=""),"Denial Reason, ","")&amp;IF(AND(TRIM($A123)="Denied",$BB123="",TRIM($BA123)&lt;&gt;"NO DENIAL"),"Denial Code, ","")&amp;IF(AND(TRIM($A123)&lt;&gt;"Finalized",$BD123=""),"Next Review Date, ","")&amp;IF(AND(TRIM($A123)&lt;&gt;"Finalized",$BE123=""),"Next Step, ","")&amp;IF(AND(TRIM($A123)="Finalized",$AV123="",$AR123="",$AT123="",$AX123="",$AW123=""),"CPT outcome, ",""),LEN(IF($B123="","Notes, ","")&amp;IF($K123="","Latest Date Worked, ","")&amp;IF($AY123="","Last Action, ","")&amp;IF(AND(OR(TRIM($A123)="Denied",TRIM($A123)="Rejected"),$BA123=""),"Denial Reason, ","")&amp;IF(AND(TRIM($A123)="Denied",$BB123="",TRIM($BA123)&lt;&gt;"NO DENIAL"),"Denial Code, ","")&amp;IF(AND(TRIM($A123)&lt;&gt;"Finalized",$BD123=""),"Next Review Date, ","")&amp;IF(AND(TRIM($A123)&lt;&gt;"Finalized",$BE123=""),"Next Step, ","")&amp;IF(AND(TRIM($A123)="Finalized",$AV123="",$AR123="",$AT123="",$AX123="",$AW123=""),"CPT outcome, ",""))-2),"")</f>
        <v/>
      </c>
      <c r="BI123" s="15" t="str">
        <f aca="false">IF($BB123="","",IFERROR(INDEX('Denial Codes'!$C:$C,MATCH(LEFT($BB123,FIND(" - ",$BB123&amp;" - ")+2)&amp;"*",'Denial Codes'!$A:$A,0)),""))</f>
        <v/>
      </c>
      <c r="BJ123" s="15" t="str">
        <f aca="false">IF($BA123="","",IFERROR(INDEX(Lists!$B:$B,MATCH(TRIM($BA123),Lists!$A:$A,0))&amp;"",""))</f>
        <v>Check provider enrollment, NPI/TIN and network status; appeal once credentialing is confirmed.</v>
      </c>
    </row>
    <row r="124" customFormat="false" ht="15" hidden="false" customHeight="false" outlineLevel="0" collapsed="false">
      <c r="A124" s="7" t="s">
        <v>17</v>
      </c>
      <c r="B124" s="7" t="s">
        <v>736</v>
      </c>
      <c r="C124" s="8" t="n">
        <v>556732851</v>
      </c>
      <c r="D124" s="9" t="n">
        <v>46220</v>
      </c>
      <c r="E124" s="10" t="s">
        <v>737</v>
      </c>
      <c r="F124" s="11" t="n">
        <v>46113</v>
      </c>
      <c r="G124" s="10" t="s">
        <v>738</v>
      </c>
      <c r="H124" s="10" t="s">
        <v>738</v>
      </c>
      <c r="I124" s="10" t="s">
        <v>129</v>
      </c>
      <c r="J124" s="10" t="s">
        <v>739</v>
      </c>
      <c r="K124" s="9" t="n">
        <v>46261</v>
      </c>
      <c r="L124" s="12" t="n">
        <f aca="true">IF($O124="","",$O124-TODAY())</f>
        <v>-78</v>
      </c>
      <c r="M124" s="12" t="n">
        <f aca="true">IF(AND(TRIM($A124)="Finalized",$K124&lt;&gt;""),"",IF($D124="","",$D124+180-TODAY()))</f>
        <v>89</v>
      </c>
      <c r="N124" s="12" t="n">
        <f aca="true">IF(AND(TRIM($A124)="Finalized",$K124&lt;&gt;""),"",IF($D124="","",$D124+180-TODAY()))</f>
        <v>89</v>
      </c>
      <c r="O124" s="11" t="n">
        <f aca="false">IF(AND(TRIM($A124)="Finalized",$K124&lt;&gt;""),"",DATE(2026,7,30))</f>
        <v>46233</v>
      </c>
      <c r="P124" s="10" t="s">
        <v>117</v>
      </c>
      <c r="Q124" s="10" t="s">
        <v>740</v>
      </c>
      <c r="R124" s="10" t="s">
        <v>147</v>
      </c>
      <c r="S124" s="10" t="s">
        <v>116</v>
      </c>
      <c r="T124" s="10" t="s">
        <v>147</v>
      </c>
      <c r="U124" s="10" t="s">
        <v>116</v>
      </c>
      <c r="V124" s="10" t="s">
        <v>221</v>
      </c>
      <c r="W124" s="10" t="s">
        <v>132</v>
      </c>
      <c r="X124" s="10" t="s">
        <v>134</v>
      </c>
      <c r="Y124" s="10"/>
      <c r="Z124" s="10"/>
      <c r="AA124" s="10" t="s">
        <v>197</v>
      </c>
      <c r="AB124" s="8" t="n">
        <f aca="true">IF($F124="","",TODAY()-$F124)</f>
        <v>198</v>
      </c>
      <c r="AC124" s="10" t="s">
        <v>137</v>
      </c>
      <c r="AD124" s="10" t="s">
        <v>136</v>
      </c>
      <c r="AE124" s="10" t="s">
        <v>524</v>
      </c>
      <c r="AF124" s="10" t="s">
        <v>716</v>
      </c>
      <c r="AG124" s="10"/>
      <c r="AH124" s="10"/>
      <c r="AI124" s="10"/>
      <c r="AJ124" s="10" t="s">
        <v>170</v>
      </c>
      <c r="AK124" s="10" t="s">
        <v>171</v>
      </c>
      <c r="AL124" s="10" t="s">
        <v>172</v>
      </c>
      <c r="AM124" s="10" t="s">
        <v>741</v>
      </c>
      <c r="AN124" s="8"/>
      <c r="AO124" s="10" t="s">
        <v>174</v>
      </c>
      <c r="AP124" s="10" t="s">
        <v>175</v>
      </c>
      <c r="AQ124" s="11" t="n">
        <v>46197</v>
      </c>
      <c r="AR124" s="13"/>
      <c r="AS124" s="13"/>
      <c r="AT124" s="13"/>
      <c r="AU124" s="13"/>
      <c r="AV124" s="13"/>
      <c r="AW124" s="13"/>
      <c r="AX124" s="13" t="s">
        <v>742</v>
      </c>
      <c r="AY124" s="7" t="s">
        <v>328</v>
      </c>
      <c r="AZ124" s="7"/>
      <c r="BA124" s="7" t="s">
        <v>41</v>
      </c>
      <c r="BB124" s="7" t="s">
        <v>743</v>
      </c>
      <c r="BC124" s="7" t="s">
        <v>744</v>
      </c>
      <c r="BD124" s="9" t="n">
        <v>46292</v>
      </c>
      <c r="BE124" s="7"/>
      <c r="BF124" s="14" t="str">
        <f aca="true">IF(TRIM($A124)="Finalized","Closed",IF($BD124="","No review date set",IF($BD124&lt;TODAY(),"OVERDUE",IF($BD124-TODAY()&lt;=7,"Due within 7 days","Scheduled"))))</f>
        <v>OVERDUE</v>
      </c>
      <c r="BG124" s="14" t="n">
        <f aca="true">IF($K124="","",TODAY()-$K124)</f>
        <v>50</v>
      </c>
      <c r="BH124" s="15" t="str">
        <f aca="false">IFERROR(LEFT(IF($B124="","Notes, ","")&amp;IF($K124="","Latest Date Worked, ","")&amp;IF($AY124="","Last Action, ","")&amp;IF(AND(OR(TRIM($A124)="Denied",TRIM($A124)="Rejected"),$BA124=""),"Denial Reason, ","")&amp;IF(AND(TRIM($A124)="Denied",$BB124="",TRIM($BA124)&lt;&gt;"NO DENIAL"),"Denial Code, ","")&amp;IF(AND(TRIM($A124)&lt;&gt;"Finalized",$BD124=""),"Next Review Date, ","")&amp;IF(AND(TRIM($A124)&lt;&gt;"Finalized",$BE124=""),"Next Step, ","")&amp;IF(AND(TRIM($A124)="Finalized",$AV124="",$AR124="",$AT124="",$AX124="",$AW124=""),"CPT outcome, ",""),LEN(IF($B124="","Notes, ","")&amp;IF($K124="","Latest Date Worked, ","")&amp;IF($AY124="","Last Action, ","")&amp;IF(AND(OR(TRIM($A124)="Denied",TRIM($A124)="Rejected"),$BA124=""),"Denial Reason, ","")&amp;IF(AND(TRIM($A124)="Denied",$BB124="",TRIM($BA124)&lt;&gt;"NO DENIAL"),"Denial Code, ","")&amp;IF(AND(TRIM($A124)&lt;&gt;"Finalized",$BD124=""),"Next Review Date, ","")&amp;IF(AND(TRIM($A124)&lt;&gt;"Finalized",$BE124=""),"Next Step, ","")&amp;IF(AND(TRIM($A124)="Finalized",$AV124="",$AR124="",$AT124="",$AX124="",$AW124=""),"CPT outcome, ",""))-2),"")</f>
        <v>Next Step</v>
      </c>
      <c r="BI124" s="15" t="str">
        <f aca="false">IF($BB124="","",IFERROR(INDEX('Denial Codes'!$C:$C,MATCH(LEFT($BB124,FIND(" - ",$BB124&amp;" - ")+2)&amp;"*",'Denial Codes'!$A:$A,0)),""))</f>
        <v>Not covered by plan</v>
      </c>
      <c r="BJ124" s="15" t="str">
        <f aca="false">IF($BA124="","",IFERROR(INDEX(Lists!$B:$B,MATCH(TRIM($BA124),Lists!$A:$A,0))&amp;"",""))</f>
        <v>Confirm benefits; bill the patient if an ABN/waiver is on file, otherwise appeal or adjust.</v>
      </c>
    </row>
    <row r="125" customFormat="false" ht="15" hidden="false" customHeight="false" outlineLevel="0" collapsed="false">
      <c r="A125" s="7" t="s">
        <v>18</v>
      </c>
      <c r="B125" s="7"/>
      <c r="C125" s="8" t="n">
        <v>558622490</v>
      </c>
      <c r="D125" s="9" t="n">
        <v>46153</v>
      </c>
      <c r="E125" s="10" t="s">
        <v>745</v>
      </c>
      <c r="F125" s="11" t="n">
        <v>46113</v>
      </c>
      <c r="G125" s="10" t="s">
        <v>746</v>
      </c>
      <c r="H125" s="10" t="s">
        <v>746</v>
      </c>
      <c r="I125" s="10" t="s">
        <v>129</v>
      </c>
      <c r="J125" s="10" t="s">
        <v>747</v>
      </c>
      <c r="K125" s="9"/>
      <c r="L125" s="12" t="n">
        <f aca="true">IF($O125="","",$O125-TODAY())</f>
        <v>-78</v>
      </c>
      <c r="M125" s="12"/>
      <c r="N125" s="12" t="n">
        <f aca="true">IF(AND(TRIM($A125)="Finalized",$K125&lt;&gt;""),"",IF($D125="","",$D125+65-TODAY()))</f>
        <v>-93</v>
      </c>
      <c r="O125" s="11" t="n">
        <f aca="false">IF(AND(TRIM($A125)="Finalized",$K125&lt;&gt;""),"",DATE(2026,7,30))</f>
        <v>46233</v>
      </c>
      <c r="P125" s="10" t="s">
        <v>117</v>
      </c>
      <c r="Q125" s="10" t="s">
        <v>748</v>
      </c>
      <c r="R125" s="10"/>
      <c r="S125" s="10"/>
      <c r="T125" s="10" t="s">
        <v>749</v>
      </c>
      <c r="U125" s="10" t="s">
        <v>116</v>
      </c>
      <c r="V125" s="10" t="s">
        <v>221</v>
      </c>
      <c r="W125" s="10" t="s">
        <v>196</v>
      </c>
      <c r="X125" s="10"/>
      <c r="Y125" s="10"/>
      <c r="Z125" s="10"/>
      <c r="AA125" s="10" t="s">
        <v>197</v>
      </c>
      <c r="AB125" s="8" t="n">
        <f aca="true">IF($F125="","",TODAY()-$F125)</f>
        <v>198</v>
      </c>
      <c r="AC125" s="10" t="s">
        <v>222</v>
      </c>
      <c r="AD125" s="10" t="s">
        <v>487</v>
      </c>
      <c r="AE125" s="10" t="s">
        <v>198</v>
      </c>
      <c r="AF125" s="10"/>
      <c r="AG125" s="10"/>
      <c r="AH125" s="10"/>
      <c r="AI125" s="10"/>
      <c r="AJ125" s="10" t="s">
        <v>750</v>
      </c>
      <c r="AK125" s="10" t="s">
        <v>254</v>
      </c>
      <c r="AL125" s="10" t="s">
        <v>751</v>
      </c>
      <c r="AM125" s="10" t="s">
        <v>311</v>
      </c>
      <c r="AN125" s="8"/>
      <c r="AO125" s="10" t="s">
        <v>255</v>
      </c>
      <c r="AP125" s="10" t="s">
        <v>268</v>
      </c>
      <c r="AQ125" s="11" t="n">
        <v>46140</v>
      </c>
      <c r="AR125" s="13"/>
      <c r="AS125" s="13"/>
      <c r="AT125" s="13"/>
      <c r="AU125" s="13"/>
      <c r="AV125" s="13"/>
      <c r="AW125" s="13"/>
      <c r="AX125" s="13"/>
      <c r="AY125" s="7"/>
      <c r="AZ125" s="7"/>
      <c r="BA125" s="7"/>
      <c r="BB125" s="7"/>
      <c r="BC125" s="7"/>
      <c r="BD125" s="9"/>
      <c r="BE125" s="7" t="s">
        <v>752</v>
      </c>
      <c r="BF125" s="14" t="str">
        <f aca="true">IF(TRIM($A125)="Finalized","Closed",IF($BD125="","No review date set",IF($BD125&lt;TODAY(),"OVERDUE",IF($BD125-TODAY()&lt;=7,"Due within 7 days","Scheduled"))))</f>
        <v>No review date set</v>
      </c>
      <c r="BG125" s="14" t="str">
        <f aca="true">IF($K125="","",TODAY()-$K125)</f>
        <v/>
      </c>
      <c r="BH125" s="15" t="str">
        <f aca="false">IFERROR(LEFT(IF($B125="","Notes, ","")&amp;IF($K125="","Latest Date Worked, ","")&amp;IF($AY125="","Last Action, ","")&amp;IF(AND(OR(TRIM($A125)="Denied",TRIM($A125)="Rejected"),$BA125=""),"Denial Reason, ","")&amp;IF(AND(TRIM($A125)="Denied",$BB125="",TRIM($BA125)&lt;&gt;"NO DENIAL"),"Denial Code, ","")&amp;IF(AND(TRIM($A125)&lt;&gt;"Finalized",$BD125=""),"Next Review Date, ","")&amp;IF(AND(TRIM($A125)&lt;&gt;"Finalized",$BE125=""),"Next Step, ","")&amp;IF(AND(TRIM($A125)="Finalized",$AV125="",$AR125="",$AT125="",$AX125="",$AW125=""),"CPT outcome, ",""),LEN(IF($B125="","Notes, ","")&amp;IF($K125="","Latest Date Worked, ","")&amp;IF($AY125="","Last Action, ","")&amp;IF(AND(OR(TRIM($A125)="Denied",TRIM($A125)="Rejected"),$BA125=""),"Denial Reason, ","")&amp;IF(AND(TRIM($A125)="Denied",$BB125="",TRIM($BA125)&lt;&gt;"NO DENIAL"),"Denial Code, ","")&amp;IF(AND(TRIM($A125)&lt;&gt;"Finalized",$BD125=""),"Next Review Date, ","")&amp;IF(AND(TRIM($A125)&lt;&gt;"Finalized",$BE125=""),"Next Step, ","")&amp;IF(AND(TRIM($A125)="Finalized",$AV125="",$AR125="",$AT125="",$AX125="",$AW125=""),"CPT outcome, ",""))-2),"")</f>
        <v>Notes, Latest Date Worked, Last Action, Next Review Date</v>
      </c>
      <c r="BI125" s="15" t="str">
        <f aca="false">IF($BB125="","",IFERROR(INDEX('Denial Codes'!$C:$C,MATCH(LEFT($BB125,FIND(" - ",$BB125&amp;" - ")+2)&amp;"*",'Denial Codes'!$A:$A,0)),""))</f>
        <v/>
      </c>
      <c r="BJ125" s="15" t="str">
        <f aca="false">IF($BA125="","",IFERROR(INDEX(Lists!$B:$B,MATCH(TRIM($BA125),Lists!$A:$A,0))&amp;"",""))</f>
        <v/>
      </c>
    </row>
    <row r="126" customFormat="false" ht="15" hidden="false" customHeight="false" outlineLevel="0" collapsed="false">
      <c r="A126" s="7" t="s">
        <v>18</v>
      </c>
      <c r="B126" s="7" t="s">
        <v>753</v>
      </c>
      <c r="C126" s="8" t="n">
        <v>559374682</v>
      </c>
      <c r="D126" s="9"/>
      <c r="E126" s="10" t="s">
        <v>754</v>
      </c>
      <c r="F126" s="11" t="n">
        <v>46143</v>
      </c>
      <c r="G126" s="10" t="s">
        <v>369</v>
      </c>
      <c r="H126" s="10" t="s">
        <v>369</v>
      </c>
      <c r="I126" s="10" t="s">
        <v>129</v>
      </c>
      <c r="J126" s="10" t="s">
        <v>228</v>
      </c>
      <c r="K126" s="9"/>
      <c r="L126" s="12" t="n">
        <f aca="true">IF($O126="","",$O126-TODAY())</f>
        <v>-78</v>
      </c>
      <c r="M126" s="12" t="str">
        <f aca="true">IF(AND(TRIM($A126)="Finalized",$K126&lt;&gt;""),"",IF($D126="","",$D126+365-TODAY()))</f>
        <v/>
      </c>
      <c r="N126" s="12" t="str">
        <f aca="true">IF(AND(TRIM($A126)="Finalized",$K126&lt;&gt;""),"",IF($D126="","",$D126+365-TODAY()))</f>
        <v/>
      </c>
      <c r="O126" s="11" t="n">
        <f aca="false">IF(AND(TRIM($A126)="Finalized",$K126&lt;&gt;""),"",DATE(2026,7,30))</f>
        <v>46233</v>
      </c>
      <c r="P126" s="10" t="s">
        <v>165</v>
      </c>
      <c r="Q126" s="10" t="s">
        <v>371</v>
      </c>
      <c r="R126" s="10" t="s">
        <v>114</v>
      </c>
      <c r="S126" s="10" t="s">
        <v>116</v>
      </c>
      <c r="T126" s="10" t="s">
        <v>114</v>
      </c>
      <c r="U126" s="10" t="s">
        <v>116</v>
      </c>
      <c r="V126" s="10" t="s">
        <v>266</v>
      </c>
      <c r="W126" s="10" t="s">
        <v>119</v>
      </c>
      <c r="X126" s="10" t="s">
        <v>229</v>
      </c>
      <c r="Y126" s="10"/>
      <c r="Z126" s="10"/>
      <c r="AA126" s="10" t="s">
        <v>230</v>
      </c>
      <c r="AB126" s="8" t="n">
        <f aca="true">IF($F126="","",TODAY()-$F126)</f>
        <v>168</v>
      </c>
      <c r="AC126" s="10" t="s">
        <v>122</v>
      </c>
      <c r="AD126" s="10"/>
      <c r="AE126" s="10"/>
      <c r="AF126" s="10"/>
      <c r="AG126" s="10"/>
      <c r="AH126" s="10"/>
      <c r="AI126" s="10"/>
      <c r="AJ126" s="10" t="s">
        <v>123</v>
      </c>
      <c r="AK126" s="10" t="s">
        <v>254</v>
      </c>
      <c r="AL126" s="10"/>
      <c r="AM126" s="10"/>
      <c r="AN126" s="8"/>
      <c r="AO126" s="10" t="s">
        <v>174</v>
      </c>
      <c r="AP126" s="10" t="s">
        <v>308</v>
      </c>
      <c r="AQ126" s="11" t="n">
        <v>46217</v>
      </c>
      <c r="AR126" s="13"/>
      <c r="AS126" s="13"/>
      <c r="AT126" s="13"/>
      <c r="AU126" s="13"/>
      <c r="AV126" s="13"/>
      <c r="AW126" s="13"/>
      <c r="AX126" s="13"/>
      <c r="AY126" s="7" t="s">
        <v>233</v>
      </c>
      <c r="AZ126" s="7"/>
      <c r="BA126" s="7"/>
      <c r="BB126" s="7"/>
      <c r="BC126" s="7"/>
      <c r="BD126" s="9"/>
      <c r="BE126" s="7"/>
      <c r="BF126" s="14" t="str">
        <f aca="true">IF(TRIM($A126)="Finalized","Closed",IF($BD126="","No review date set",IF($BD126&lt;TODAY(),"OVERDUE",IF($BD126-TODAY()&lt;=7,"Due within 7 days","Scheduled"))))</f>
        <v>No review date set</v>
      </c>
      <c r="BG126" s="14" t="str">
        <f aca="true">IF($K126="","",TODAY()-$K126)</f>
        <v/>
      </c>
      <c r="BH126" s="15" t="str">
        <f aca="false">IFERROR(LEFT(IF($B126="","Notes, ","")&amp;IF($K126="","Latest Date Worked, ","")&amp;IF($AY126="","Last Action, ","")&amp;IF(AND(OR(TRIM($A126)="Denied",TRIM($A126)="Rejected"),$BA126=""),"Denial Reason, ","")&amp;IF(AND(TRIM($A126)="Denied",$BB126="",TRIM($BA126)&lt;&gt;"NO DENIAL"),"Denial Code, ","")&amp;IF(AND(TRIM($A126)&lt;&gt;"Finalized",$BD126=""),"Next Review Date, ","")&amp;IF(AND(TRIM($A126)&lt;&gt;"Finalized",$BE126=""),"Next Step, ","")&amp;IF(AND(TRIM($A126)="Finalized",$AV126="",$AR126="",$AT126="",$AX126="",$AW126=""),"CPT outcome, ",""),LEN(IF($B126="","Notes, ","")&amp;IF($K126="","Latest Date Worked, ","")&amp;IF($AY126="","Last Action, ","")&amp;IF(AND(OR(TRIM($A126)="Denied",TRIM($A126)="Rejected"),$BA126=""),"Denial Reason, ","")&amp;IF(AND(TRIM($A126)="Denied",$BB126="",TRIM($BA126)&lt;&gt;"NO DENIAL"),"Denial Code, ","")&amp;IF(AND(TRIM($A126)&lt;&gt;"Finalized",$BD126=""),"Next Review Date, ","")&amp;IF(AND(TRIM($A126)&lt;&gt;"Finalized",$BE126=""),"Next Step, ","")&amp;IF(AND(TRIM($A126)="Finalized",$AV126="",$AR126="",$AT126="",$AX126="",$AW126=""),"CPT outcome, ",""))-2),"")</f>
        <v>Latest Date Worked, Next Review Date, Next Step</v>
      </c>
      <c r="BI126" s="15" t="str">
        <f aca="false">IF($BB126="","",IFERROR(INDEX('Denial Codes'!$C:$C,MATCH(LEFT($BB126,FIND(" - ",$BB126&amp;" - ")+2)&amp;"*",'Denial Codes'!$A:$A,0)),""))</f>
        <v/>
      </c>
      <c r="BJ126" s="15" t="str">
        <f aca="false">IF($BA126="","",IFERROR(INDEX(Lists!$B:$B,MATCH(TRIM($BA126),Lists!$A:$A,0))&amp;"",""))</f>
        <v/>
      </c>
    </row>
    <row r="127" customFormat="false" ht="15" hidden="false" customHeight="false" outlineLevel="0" collapsed="false">
      <c r="A127" s="7" t="s">
        <v>17</v>
      </c>
      <c r="B127" s="7" t="s">
        <v>755</v>
      </c>
      <c r="C127" s="8" t="n">
        <v>565099868</v>
      </c>
      <c r="D127" s="9" t="n">
        <v>46223</v>
      </c>
      <c r="E127" s="10" t="s">
        <v>756</v>
      </c>
      <c r="F127" s="11" t="n">
        <v>46174</v>
      </c>
      <c r="G127" s="10" t="s">
        <v>627</v>
      </c>
      <c r="H127" s="10" t="s">
        <v>627</v>
      </c>
      <c r="I127" s="10" t="s">
        <v>129</v>
      </c>
      <c r="J127" s="10" t="s">
        <v>757</v>
      </c>
      <c r="K127" s="9" t="n">
        <v>46252</v>
      </c>
      <c r="L127" s="12" t="n">
        <f aca="true">IF($O127="","",$O127-TODAY())</f>
        <v>-77</v>
      </c>
      <c r="M127" s="12" t="n">
        <f aca="true">IF(AND(TRIM($A127)="Finalized",$K127&lt;&gt;""),"",IF($D127="","",$D127+365-TODAY()))</f>
        <v>277</v>
      </c>
      <c r="N127" s="12" t="n">
        <f aca="true">IF(AND(TRIM($A127)="Finalized",$K127&lt;&gt;""),"",IF($D127="","",$D127+90-TODAY()))</f>
        <v>2</v>
      </c>
      <c r="O127" s="11" t="n">
        <f aca="false">IF(AND(TRIM($A127)="Finalized",$K127&lt;&gt;""),"",DATE(2026,7,31))</f>
        <v>46234</v>
      </c>
      <c r="P127" s="10" t="s">
        <v>324</v>
      </c>
      <c r="Q127" s="10" t="s">
        <v>628</v>
      </c>
      <c r="R127" s="10" t="s">
        <v>114</v>
      </c>
      <c r="S127" s="10" t="s">
        <v>116</v>
      </c>
      <c r="T127" s="10" t="s">
        <v>165</v>
      </c>
      <c r="U127" s="10" t="s">
        <v>116</v>
      </c>
      <c r="V127" s="10" t="s">
        <v>303</v>
      </c>
      <c r="W127" s="10" t="s">
        <v>434</v>
      </c>
      <c r="X127" s="10" t="s">
        <v>619</v>
      </c>
      <c r="Y127" s="10" t="s">
        <v>758</v>
      </c>
      <c r="Z127" s="10" t="s">
        <v>436</v>
      </c>
      <c r="AA127" s="10" t="s">
        <v>759</v>
      </c>
      <c r="AB127" s="8" t="n">
        <f aca="true">IF($F127="","",TODAY()-$F127)</f>
        <v>137</v>
      </c>
      <c r="AC127" s="10" t="s">
        <v>438</v>
      </c>
      <c r="AD127" s="10" t="s">
        <v>657</v>
      </c>
      <c r="AE127" s="10" t="s">
        <v>439</v>
      </c>
      <c r="AF127" s="10" t="s">
        <v>443</v>
      </c>
      <c r="AG127" s="10" t="s">
        <v>442</v>
      </c>
      <c r="AH127" s="10" t="s">
        <v>440</v>
      </c>
      <c r="AI127" s="10" t="s">
        <v>441</v>
      </c>
      <c r="AJ127" s="10" t="s">
        <v>444</v>
      </c>
      <c r="AK127" s="10" t="s">
        <v>445</v>
      </c>
      <c r="AL127" s="10" t="s">
        <v>446</v>
      </c>
      <c r="AM127" s="10"/>
      <c r="AN127" s="8"/>
      <c r="AO127" s="10" t="s">
        <v>447</v>
      </c>
      <c r="AP127" s="10" t="s">
        <v>327</v>
      </c>
      <c r="AQ127" s="11" t="n">
        <v>46216</v>
      </c>
      <c r="AR127" s="13"/>
      <c r="AS127" s="13"/>
      <c r="AT127" s="13"/>
      <c r="AU127" s="13"/>
      <c r="AV127" s="13"/>
      <c r="AW127" s="13"/>
      <c r="AX127" s="13"/>
      <c r="AY127" s="7" t="s">
        <v>354</v>
      </c>
      <c r="AZ127" s="7"/>
      <c r="BA127" s="7"/>
      <c r="BB127" s="7"/>
      <c r="BC127" s="7" t="s">
        <v>760</v>
      </c>
      <c r="BD127" s="9" t="n">
        <v>46283</v>
      </c>
      <c r="BE127" s="7"/>
      <c r="BF127" s="14" t="str">
        <f aca="true">IF(TRIM($A127)="Finalized","Closed",IF($BD127="","No review date set",IF($BD127&lt;TODAY(),"OVERDUE",IF($BD127-TODAY()&lt;=7,"Due within 7 days","Scheduled"))))</f>
        <v>OVERDUE</v>
      </c>
      <c r="BG127" s="14" t="n">
        <f aca="true">IF($K127="","",TODAY()-$K127)</f>
        <v>59</v>
      </c>
      <c r="BH127" s="15" t="str">
        <f aca="false">IFERROR(LEFT(IF($B127="","Notes, ","")&amp;IF($K127="","Latest Date Worked, ","")&amp;IF($AY127="","Last Action, ","")&amp;IF(AND(OR(TRIM($A127)="Denied",TRIM($A127)="Rejected"),$BA127=""),"Denial Reason, ","")&amp;IF(AND(TRIM($A127)="Denied",$BB127="",TRIM($BA127)&lt;&gt;"NO DENIAL"),"Denial Code, ","")&amp;IF(AND(TRIM($A127)&lt;&gt;"Finalized",$BD127=""),"Next Review Date, ","")&amp;IF(AND(TRIM($A127)&lt;&gt;"Finalized",$BE127=""),"Next Step, ","")&amp;IF(AND(TRIM($A127)="Finalized",$AV127="",$AR127="",$AT127="",$AX127="",$AW127=""),"CPT outcome, ",""),LEN(IF($B127="","Notes, ","")&amp;IF($K127="","Latest Date Worked, ","")&amp;IF($AY127="","Last Action, ","")&amp;IF(AND(OR(TRIM($A127)="Denied",TRIM($A127)="Rejected"),$BA127=""),"Denial Reason, ","")&amp;IF(AND(TRIM($A127)="Denied",$BB127="",TRIM($BA127)&lt;&gt;"NO DENIAL"),"Denial Code, ","")&amp;IF(AND(TRIM($A127)&lt;&gt;"Finalized",$BD127=""),"Next Review Date, ","")&amp;IF(AND(TRIM($A127)&lt;&gt;"Finalized",$BE127=""),"Next Step, ","")&amp;IF(AND(TRIM($A127)="Finalized",$AV127="",$AR127="",$AT127="",$AX127="",$AW127=""),"CPT outcome, ",""))-2),"")</f>
        <v>Denial Reason, Denial Code, Next Step</v>
      </c>
      <c r="BI127" s="15" t="str">
        <f aca="false">IF($BB127="","",IFERROR(INDEX('Denial Codes'!$C:$C,MATCH(LEFT($BB127,FIND(" - ",$BB127&amp;" - ")+2)&amp;"*",'Denial Codes'!$A:$A,0)),""))</f>
        <v/>
      </c>
      <c r="BJ127" s="15" t="str">
        <f aca="false">IF($BA127="","",IFERROR(INDEX(Lists!$B:$B,MATCH(TRIM($BA127),Lists!$A:$A,0))&amp;"",""))</f>
        <v/>
      </c>
    </row>
    <row r="128" customFormat="false" ht="15" hidden="false" customHeight="false" outlineLevel="0" collapsed="false">
      <c r="A128" s="7" t="s">
        <v>16</v>
      </c>
      <c r="B128" s="7" t="s">
        <v>761</v>
      </c>
      <c r="C128" s="8" t="n">
        <v>556762240</v>
      </c>
      <c r="D128" s="9" t="n">
        <v>46154</v>
      </c>
      <c r="E128" s="10" t="s">
        <v>762</v>
      </c>
      <c r="F128" s="11" t="n">
        <v>46114</v>
      </c>
      <c r="G128" s="10" t="s">
        <v>763</v>
      </c>
      <c r="H128" s="10" t="s">
        <v>763</v>
      </c>
      <c r="I128" s="10" t="s">
        <v>145</v>
      </c>
      <c r="J128" s="10" t="s">
        <v>461</v>
      </c>
      <c r="K128" s="9" t="n">
        <v>46285</v>
      </c>
      <c r="L128" s="12" t="str">
        <f aca="true">IF($O128="","",$O128-TODAY())</f>
        <v/>
      </c>
      <c r="M128" s="12" t="str">
        <f aca="true">IF(AND(TRIM($A128)="Finalized",$K128&lt;&gt;""),"",IF($F128="","",$F128+365-TODAY()))</f>
        <v/>
      </c>
      <c r="N128" s="12" t="str">
        <f aca="true">IF(AND(TRIM($A128)="Finalized",$K128&lt;&gt;""),"",IF($D128="","",$D128+180-TODAY()))</f>
        <v/>
      </c>
      <c r="O128" s="11" t="str">
        <f aca="false">IF(AND(TRIM($A128)="Finalized",$K128&lt;&gt;""),"",DATE(2026,7,31))</f>
        <v/>
      </c>
      <c r="P128" s="10" t="s">
        <v>117</v>
      </c>
      <c r="Q128" s="10" t="s">
        <v>763</v>
      </c>
      <c r="R128" s="10" t="s">
        <v>114</v>
      </c>
      <c r="S128" s="10" t="s">
        <v>149</v>
      </c>
      <c r="T128" s="10" t="s">
        <v>147</v>
      </c>
      <c r="U128" s="10" t="s">
        <v>116</v>
      </c>
      <c r="V128" s="10" t="s">
        <v>221</v>
      </c>
      <c r="W128" s="10" t="s">
        <v>119</v>
      </c>
      <c r="X128" s="10" t="s">
        <v>120</v>
      </c>
      <c r="Y128" s="10"/>
      <c r="Z128" s="10"/>
      <c r="AA128" s="10" t="s">
        <v>230</v>
      </c>
      <c r="AB128" s="8" t="n">
        <f aca="true">IF($F128="","",TODAY()-$F128)</f>
        <v>197</v>
      </c>
      <c r="AC128" s="10" t="s">
        <v>273</v>
      </c>
      <c r="AD128" s="10"/>
      <c r="AE128" s="10"/>
      <c r="AF128" s="10"/>
      <c r="AG128" s="10"/>
      <c r="AH128" s="10"/>
      <c r="AI128" s="10"/>
      <c r="AJ128" s="10" t="s">
        <v>123</v>
      </c>
      <c r="AK128" s="10" t="s">
        <v>686</v>
      </c>
      <c r="AL128" s="10"/>
      <c r="AM128" s="10"/>
      <c r="AN128" s="8"/>
      <c r="AO128" s="10" t="s">
        <v>764</v>
      </c>
      <c r="AP128" s="10" t="s">
        <v>202</v>
      </c>
      <c r="AQ128" s="11" t="n">
        <v>46133</v>
      </c>
      <c r="AR128" s="13"/>
      <c r="AS128" s="13"/>
      <c r="AT128" s="13" t="s">
        <v>273</v>
      </c>
      <c r="AU128" s="13" t="s">
        <v>559</v>
      </c>
      <c r="AV128" s="13"/>
      <c r="AW128" s="13"/>
      <c r="AX128" s="13"/>
      <c r="AY128" s="7" t="s">
        <v>465</v>
      </c>
      <c r="AZ128" s="7" t="s">
        <v>159</v>
      </c>
      <c r="BA128" s="7" t="s">
        <v>35</v>
      </c>
      <c r="BB128" s="7" t="s">
        <v>559</v>
      </c>
      <c r="BC128" s="7" t="s">
        <v>765</v>
      </c>
      <c r="BD128" s="9"/>
      <c r="BE128" s="7"/>
      <c r="BF128" s="14" t="str">
        <f aca="true">IF(TRIM($A128)="Finalized","Closed",IF($BD128="","No review date set",IF($BD128&lt;TODAY(),"OVERDUE",IF($BD128-TODAY()&lt;=7,"Due within 7 days","Scheduled"))))</f>
        <v>Closed</v>
      </c>
      <c r="BG128" s="14" t="n">
        <f aca="true">IF($K128="","",TODAY()-$K128)</f>
        <v>26</v>
      </c>
      <c r="BH128" s="15" t="str">
        <f aca="false">IFERROR(LEFT(IF($B128="","Notes, ","")&amp;IF($K128="","Latest Date Worked, ","")&amp;IF($AY128="","Last Action, ","")&amp;IF(AND(OR(TRIM($A128)="Denied",TRIM($A128)="Rejected"),$BA128=""),"Denial Reason, ","")&amp;IF(AND(TRIM($A128)="Denied",$BB128="",TRIM($BA128)&lt;&gt;"NO DENIAL"),"Denial Code, ","")&amp;IF(AND(TRIM($A128)&lt;&gt;"Finalized",$BD128=""),"Next Review Date, ","")&amp;IF(AND(TRIM($A128)&lt;&gt;"Finalized",$BE128=""),"Next Step, ","")&amp;IF(AND(TRIM($A128)="Finalized",$AV128="",$AR128="",$AT128="",$AX128="",$AW128=""),"CPT outcome, ",""),LEN(IF($B128="","Notes, ","")&amp;IF($K128="","Latest Date Worked, ","")&amp;IF($AY128="","Last Action, ","")&amp;IF(AND(OR(TRIM($A128)="Denied",TRIM($A128)="Rejected"),$BA128=""),"Denial Reason, ","")&amp;IF(AND(TRIM($A128)="Denied",$BB128="",TRIM($BA128)&lt;&gt;"NO DENIAL"),"Denial Code, ","")&amp;IF(AND(TRIM($A128)&lt;&gt;"Finalized",$BD128=""),"Next Review Date, ","")&amp;IF(AND(TRIM($A128)&lt;&gt;"Finalized",$BE128=""),"Next Step, ","")&amp;IF(AND(TRIM($A128)="Finalized",$AV128="",$AR128="",$AT128="",$AX128="",$AW128=""),"CPT outcome, ",""))-2),"")</f>
        <v/>
      </c>
      <c r="BI128" s="15" t="str">
        <f aca="false">IF($BB128="","",IFERROR(INDEX('Denial Codes'!$C:$C,MATCH(LEFT($BB128,FIND(" - ",$BB128&amp;" - ")+2)&amp;"*",'Denial Codes'!$A:$A,0)),""))</f>
        <v>Timely filing</v>
      </c>
      <c r="BJ128" s="15" t="str">
        <f aca="false">IF($BA128="","",IFERROR(INDEX(Lists!$B:$B,MATCH(TRIM($BA128),Lists!$A:$A,0))&amp;"",""))</f>
        <v>Find proof of timely filing (clearinghouse acceptance or earlier submission) and appeal with it; if none, adjust the balance.</v>
      </c>
    </row>
    <row r="129" customFormat="false" ht="15" hidden="false" customHeight="false" outlineLevel="0" collapsed="false">
      <c r="A129" s="7" t="s">
        <v>17</v>
      </c>
      <c r="B129" s="7" t="s">
        <v>766</v>
      </c>
      <c r="C129" s="8" t="n">
        <v>554827888</v>
      </c>
      <c r="D129" s="9" t="n">
        <v>46136</v>
      </c>
      <c r="E129" s="10" t="s">
        <v>767</v>
      </c>
      <c r="F129" s="11" t="n">
        <v>46115</v>
      </c>
      <c r="G129" s="10" t="s">
        <v>768</v>
      </c>
      <c r="H129" s="10" t="s">
        <v>768</v>
      </c>
      <c r="I129" s="10" t="s">
        <v>129</v>
      </c>
      <c r="J129" s="10" t="s">
        <v>244</v>
      </c>
      <c r="K129" s="9" t="n">
        <v>46279</v>
      </c>
      <c r="L129" s="12" t="n">
        <f aca="true">IF($O129="","",$O129-TODAY())</f>
        <v>-76</v>
      </c>
      <c r="M129" s="12" t="n">
        <f aca="true">IF(AND(TRIM($A129)="Finalized",$K129&lt;&gt;""),"",IF($D129="","",$D129+180-TODAY()))</f>
        <v>5</v>
      </c>
      <c r="N129" s="12" t="n">
        <f aca="true">IF(AND(TRIM($A129)="Finalized",$K129&lt;&gt;""),"",IF($D129="","",$D129+180-TODAY()))</f>
        <v>5</v>
      </c>
      <c r="O129" s="11" t="n">
        <f aca="false">IF(AND(TRIM($A129)="Finalized",$K129&lt;&gt;""),"",DATE(2026,8,1))</f>
        <v>46235</v>
      </c>
      <c r="P129" s="10" t="s">
        <v>117</v>
      </c>
      <c r="Q129" s="10" t="s">
        <v>609</v>
      </c>
      <c r="R129" s="10" t="s">
        <v>147</v>
      </c>
      <c r="S129" s="10" t="s">
        <v>116</v>
      </c>
      <c r="T129" s="10" t="s">
        <v>147</v>
      </c>
      <c r="U129" s="10" t="s">
        <v>116</v>
      </c>
      <c r="V129" s="10" t="s">
        <v>221</v>
      </c>
      <c r="W129" s="10" t="s">
        <v>132</v>
      </c>
      <c r="X129" s="10"/>
      <c r="Y129" s="10"/>
      <c r="Z129" s="10"/>
      <c r="AA129" s="10" t="s">
        <v>197</v>
      </c>
      <c r="AB129" s="8" t="n">
        <f aca="true">IF($F129="","",TODAY()-$F129)</f>
        <v>196</v>
      </c>
      <c r="AC129" s="10" t="s">
        <v>246</v>
      </c>
      <c r="AD129" s="10"/>
      <c r="AE129" s="10"/>
      <c r="AF129" s="10"/>
      <c r="AG129" s="10"/>
      <c r="AH129" s="10"/>
      <c r="AI129" s="10"/>
      <c r="AJ129" s="10" t="s">
        <v>124</v>
      </c>
      <c r="AK129" s="10"/>
      <c r="AL129" s="10"/>
      <c r="AM129" s="10"/>
      <c r="AN129" s="8"/>
      <c r="AO129" s="10" t="s">
        <v>201</v>
      </c>
      <c r="AP129" s="10" t="s">
        <v>327</v>
      </c>
      <c r="AQ129" s="11" t="n">
        <v>46119</v>
      </c>
      <c r="AR129" s="13"/>
      <c r="AS129" s="13"/>
      <c r="AT129" s="13"/>
      <c r="AU129" s="13"/>
      <c r="AV129" s="13"/>
      <c r="AW129" s="13"/>
      <c r="AX129" s="13"/>
      <c r="AY129" s="7" t="s">
        <v>769</v>
      </c>
      <c r="AZ129" s="7"/>
      <c r="BA129" s="7" t="s">
        <v>34</v>
      </c>
      <c r="BB129" s="7"/>
      <c r="BC129" s="7"/>
      <c r="BD129" s="9" t="n">
        <v>46309</v>
      </c>
      <c r="BE129" s="7"/>
      <c r="BF129" s="14" t="str">
        <f aca="true">IF(TRIM($A129)="Finalized","Closed",IF($BD129="","No review date set",IF($BD129&lt;TODAY(),"OVERDUE",IF($BD129-TODAY()&lt;=7,"Due within 7 days","Scheduled"))))</f>
        <v>OVERDUE</v>
      </c>
      <c r="BG129" s="14" t="n">
        <f aca="true">IF($K129="","",TODAY()-$K129)</f>
        <v>32</v>
      </c>
      <c r="BH129" s="15" t="str">
        <f aca="false">IFERROR(LEFT(IF($B129="","Notes, ","")&amp;IF($K129="","Latest Date Worked, ","")&amp;IF($AY129="","Last Action, ","")&amp;IF(AND(OR(TRIM($A129)="Denied",TRIM($A129)="Rejected"),$BA129=""),"Denial Reason, ","")&amp;IF(AND(TRIM($A129)="Denied",$BB129="",TRIM($BA129)&lt;&gt;"NO DENIAL"),"Denial Code, ","")&amp;IF(AND(TRIM($A129)&lt;&gt;"Finalized",$BD129=""),"Next Review Date, ","")&amp;IF(AND(TRIM($A129)&lt;&gt;"Finalized",$BE129=""),"Next Step, ","")&amp;IF(AND(TRIM($A129)="Finalized",$AV129="",$AR129="",$AT129="",$AX129="",$AW129=""),"CPT outcome, ",""),LEN(IF($B129="","Notes, ","")&amp;IF($K129="","Latest Date Worked, ","")&amp;IF($AY129="","Last Action, ","")&amp;IF(AND(OR(TRIM($A129)="Denied",TRIM($A129)="Rejected"),$BA129=""),"Denial Reason, ","")&amp;IF(AND(TRIM($A129)="Denied",$BB129="",TRIM($BA129)&lt;&gt;"NO DENIAL"),"Denial Code, ","")&amp;IF(AND(TRIM($A129)&lt;&gt;"Finalized",$BD129=""),"Next Review Date, ","")&amp;IF(AND(TRIM($A129)&lt;&gt;"Finalized",$BE129=""),"Next Step, ","")&amp;IF(AND(TRIM($A129)="Finalized",$AV129="",$AR129="",$AT129="",$AX129="",$AW129=""),"CPT outcome, ",""))-2),"")</f>
        <v>Denial Code, Next Step</v>
      </c>
      <c r="BI129" s="15" t="str">
        <f aca="false">IF($BB129="","",IFERROR(INDEX('Denial Codes'!$C:$C,MATCH(LEFT($BB129,FIND(" - ",$BB129&amp;" - ")+2)&amp;"*",'Denial Codes'!$A:$A,0)),""))</f>
        <v/>
      </c>
      <c r="BJ129" s="15" t="str">
        <f aca="false">IF($BA129="","",IFERROR(INDEX(Lists!$B:$B,MATCH(TRIM($BA129),Lists!$A:$A,0))&amp;"",""))</f>
        <v>Check the portal for an auth; request a retro-auth or file an appeal with the auth number, then resubmit.</v>
      </c>
    </row>
    <row r="130" customFormat="false" ht="15" hidden="false" customHeight="false" outlineLevel="0" collapsed="false">
      <c r="A130" s="7" t="s">
        <v>16</v>
      </c>
      <c r="B130" s="7" t="s">
        <v>770</v>
      </c>
      <c r="C130" s="8" t="n">
        <v>559005954</v>
      </c>
      <c r="D130" s="9" t="n">
        <v>46184</v>
      </c>
      <c r="E130" s="10" t="s">
        <v>771</v>
      </c>
      <c r="F130" s="11" t="n">
        <v>46146</v>
      </c>
      <c r="G130" s="10" t="s">
        <v>163</v>
      </c>
      <c r="H130" s="10" t="s">
        <v>163</v>
      </c>
      <c r="I130" s="10" t="s">
        <v>129</v>
      </c>
      <c r="J130" s="10" t="s">
        <v>772</v>
      </c>
      <c r="K130" s="9" t="n">
        <v>46253</v>
      </c>
      <c r="L130" s="12" t="str">
        <f aca="true">IF($O130="","",$O130-TODAY())</f>
        <v/>
      </c>
      <c r="M130" s="12" t="str">
        <f aca="true">IF(AND(TRIM($A130)="Finalized",$K130&lt;&gt;""),"",IF($F130="","",$F130+90-TODAY()))</f>
        <v/>
      </c>
      <c r="N130" s="12" t="str">
        <f aca="true">IF(AND(TRIM($A130)="Finalized",$K130&lt;&gt;""),"",IF($D130="","",$D130+365-TODAY()))</f>
        <v/>
      </c>
      <c r="O130" s="11" t="str">
        <f aca="false">IF(AND(TRIM($A130)="Finalized",$K130&lt;&gt;""),"",DATE(2026,8,2))</f>
        <v/>
      </c>
      <c r="P130" s="10" t="s">
        <v>165</v>
      </c>
      <c r="Q130" s="10" t="s">
        <v>166</v>
      </c>
      <c r="R130" s="10" t="s">
        <v>165</v>
      </c>
      <c r="S130" s="10" t="s">
        <v>149</v>
      </c>
      <c r="T130" s="10" t="s">
        <v>114</v>
      </c>
      <c r="U130" s="10" t="s">
        <v>116</v>
      </c>
      <c r="V130" s="10" t="s">
        <v>266</v>
      </c>
      <c r="W130" s="10" t="s">
        <v>119</v>
      </c>
      <c r="X130" s="10" t="s">
        <v>304</v>
      </c>
      <c r="Y130" s="10" t="s">
        <v>436</v>
      </c>
      <c r="Z130" s="10"/>
      <c r="AA130" s="10" t="s">
        <v>197</v>
      </c>
      <c r="AB130" s="8" t="n">
        <f aca="true">IF($F130="","",TODAY()-$F130)</f>
        <v>165</v>
      </c>
      <c r="AC130" s="10" t="s">
        <v>710</v>
      </c>
      <c r="AD130" s="10"/>
      <c r="AE130" s="10"/>
      <c r="AF130" s="10"/>
      <c r="AG130" s="10"/>
      <c r="AH130" s="10"/>
      <c r="AI130" s="10"/>
      <c r="AJ130" s="10" t="s">
        <v>446</v>
      </c>
      <c r="AK130" s="10"/>
      <c r="AL130" s="10"/>
      <c r="AM130" s="10"/>
      <c r="AN130" s="8"/>
      <c r="AO130" s="10" t="s">
        <v>307</v>
      </c>
      <c r="AP130" s="10" t="s">
        <v>308</v>
      </c>
      <c r="AQ130" s="11" t="n">
        <v>46157</v>
      </c>
      <c r="AR130" s="13"/>
      <c r="AS130" s="13"/>
      <c r="AT130" s="13"/>
      <c r="AU130" s="13"/>
      <c r="AV130" s="13" t="s">
        <v>710</v>
      </c>
      <c r="AW130" s="13"/>
      <c r="AX130" s="13" t="s">
        <v>710</v>
      </c>
      <c r="AY130" s="7" t="s">
        <v>363</v>
      </c>
      <c r="AZ130" s="7" t="s">
        <v>159</v>
      </c>
      <c r="BA130" s="7" t="s">
        <v>38</v>
      </c>
      <c r="BB130" s="7" t="s">
        <v>320</v>
      </c>
      <c r="BC130" s="7"/>
      <c r="BD130" s="9"/>
      <c r="BE130" s="7"/>
      <c r="BF130" s="14" t="str">
        <f aca="true">IF(TRIM($A130)="Finalized","Closed",IF($BD130="","No review date set",IF($BD130&lt;TODAY(),"OVERDUE",IF($BD130-TODAY()&lt;=7,"Due within 7 days","Scheduled"))))</f>
        <v>Closed</v>
      </c>
      <c r="BG130" s="14" t="n">
        <f aca="true">IF($K130="","",TODAY()-$K130)</f>
        <v>58</v>
      </c>
      <c r="BH130" s="15" t="str">
        <f aca="false">IFERROR(LEFT(IF($B130="","Notes, ","")&amp;IF($K130="","Latest Date Worked, ","")&amp;IF($AY130="","Last Action, ","")&amp;IF(AND(OR(TRIM($A130)="Denied",TRIM($A130)="Rejected"),$BA130=""),"Denial Reason, ","")&amp;IF(AND(TRIM($A130)="Denied",$BB130="",TRIM($BA130)&lt;&gt;"NO DENIAL"),"Denial Code, ","")&amp;IF(AND(TRIM($A130)&lt;&gt;"Finalized",$BD130=""),"Next Review Date, ","")&amp;IF(AND(TRIM($A130)&lt;&gt;"Finalized",$BE130=""),"Next Step, ","")&amp;IF(AND(TRIM($A130)="Finalized",$AV130="",$AR130="",$AT130="",$AX130="",$AW130=""),"CPT outcome, ",""),LEN(IF($B130="","Notes, ","")&amp;IF($K130="","Latest Date Worked, ","")&amp;IF($AY130="","Last Action, ","")&amp;IF(AND(OR(TRIM($A130)="Denied",TRIM($A130)="Rejected"),$BA130=""),"Denial Reason, ","")&amp;IF(AND(TRIM($A130)="Denied",$BB130="",TRIM($BA130)&lt;&gt;"NO DENIAL"),"Denial Code, ","")&amp;IF(AND(TRIM($A130)&lt;&gt;"Finalized",$BD130=""),"Next Review Date, ","")&amp;IF(AND(TRIM($A130)&lt;&gt;"Finalized",$BE130=""),"Next Step, ","")&amp;IF(AND(TRIM($A130)="Finalized",$AV130="",$AR130="",$AT130="",$AX130="",$AW130=""),"CPT outcome, ",""))-2),"")</f>
        <v/>
      </c>
      <c r="BI130" s="15" t="str">
        <f aca="false">IF($BB130="","",IFERROR(INDEX('Denial Codes'!$C:$C,MATCH(LEFT($BB130,FIND(" - ",$BB130&amp;" - ")+2)&amp;"*",'Denial Codes'!$A:$A,0)),""))</f>
        <v>Modifier issue</v>
      </c>
      <c r="BJ130" s="15" t="str">
        <f aca="false">IF($BA130="","",IFERROR(INDEX(Lists!$B:$B,MATCH(TRIM($BA130),Lists!$A:$A,0))&amp;"",""))</f>
        <v>Correct or add the modifier (e.g. NU/RR, KX, RT/LT, 25) and resubmit.</v>
      </c>
    </row>
    <row r="131" customFormat="false" ht="15" hidden="false" customHeight="false" outlineLevel="0" collapsed="false">
      <c r="A131" s="7" t="s">
        <v>17</v>
      </c>
      <c r="B131" s="7" t="s">
        <v>773</v>
      </c>
      <c r="C131" s="8" t="n">
        <v>569471711</v>
      </c>
      <c r="D131" s="9" t="n">
        <v>46269</v>
      </c>
      <c r="E131" s="10" t="s">
        <v>774</v>
      </c>
      <c r="F131" s="11" t="n">
        <v>46146</v>
      </c>
      <c r="G131" s="10" t="s">
        <v>460</v>
      </c>
      <c r="H131" s="10" t="s">
        <v>460</v>
      </c>
      <c r="I131" s="10" t="s">
        <v>129</v>
      </c>
      <c r="J131" s="10" t="s">
        <v>244</v>
      </c>
      <c r="K131" s="9" t="n">
        <v>46256</v>
      </c>
      <c r="L131" s="12" t="n">
        <f aca="true">IF($O131="","",$O131-TODAY())</f>
        <v>-75</v>
      </c>
      <c r="M131" s="12" t="n">
        <f aca="true">IF(AND(TRIM($A131)="Finalized",$K131&lt;&gt;""),"",IF($D131="","",$D131+180-TODAY()))</f>
        <v>138</v>
      </c>
      <c r="N131" s="12" t="n">
        <f aca="true">IF(AND(TRIM($A131)="Finalized",$K131&lt;&gt;""),"",IF($D131="","",$D131+365-TODAY()))</f>
        <v>323</v>
      </c>
      <c r="O131" s="11" t="n">
        <f aca="false">IF(AND(TRIM($A131)="Finalized",$K131&lt;&gt;""),"",DATE(2026,8,2))</f>
        <v>46236</v>
      </c>
      <c r="P131" s="10" t="s">
        <v>165</v>
      </c>
      <c r="Q131" s="10" t="s">
        <v>462</v>
      </c>
      <c r="R131" s="10" t="s">
        <v>147</v>
      </c>
      <c r="S131" s="10" t="s">
        <v>116</v>
      </c>
      <c r="T131" s="10" t="s">
        <v>114</v>
      </c>
      <c r="U131" s="10" t="s">
        <v>116</v>
      </c>
      <c r="V131" s="10" t="s">
        <v>266</v>
      </c>
      <c r="W131" s="10" t="s">
        <v>132</v>
      </c>
      <c r="X131" s="10" t="s">
        <v>133</v>
      </c>
      <c r="Y131" s="10"/>
      <c r="Z131" s="10"/>
      <c r="AA131" s="10" t="s">
        <v>197</v>
      </c>
      <c r="AB131" s="8" t="n">
        <f aca="true">IF($F131="","",TODAY()-$F131)</f>
        <v>165</v>
      </c>
      <c r="AC131" s="10" t="s">
        <v>246</v>
      </c>
      <c r="AD131" s="10"/>
      <c r="AE131" s="10"/>
      <c r="AF131" s="10"/>
      <c r="AG131" s="10"/>
      <c r="AH131" s="10"/>
      <c r="AI131" s="10"/>
      <c r="AJ131" s="10" t="s">
        <v>124</v>
      </c>
      <c r="AK131" s="10"/>
      <c r="AL131" s="10"/>
      <c r="AM131" s="10"/>
      <c r="AN131" s="8"/>
      <c r="AO131" s="10" t="s">
        <v>255</v>
      </c>
      <c r="AP131" s="10" t="s">
        <v>175</v>
      </c>
      <c r="AQ131" s="11" t="n">
        <v>46153</v>
      </c>
      <c r="AR131" s="13"/>
      <c r="AS131" s="13"/>
      <c r="AT131" s="13"/>
      <c r="AU131" s="13"/>
      <c r="AV131" s="13"/>
      <c r="AW131" s="13"/>
      <c r="AX131" s="13"/>
      <c r="AY131" s="7" t="s">
        <v>159</v>
      </c>
      <c r="AZ131" s="7"/>
      <c r="BA131" s="7" t="s">
        <v>38</v>
      </c>
      <c r="BB131" s="7"/>
      <c r="BC131" s="7"/>
      <c r="BD131" s="9" t="n">
        <v>46287</v>
      </c>
      <c r="BE131" s="7"/>
      <c r="BF131" s="14" t="str">
        <f aca="true">IF(TRIM($A131)="Finalized","Closed",IF($BD131="","No review date set",IF($BD131&lt;TODAY(),"OVERDUE",IF($BD131-TODAY()&lt;=7,"Due within 7 days","Scheduled"))))</f>
        <v>OVERDUE</v>
      </c>
      <c r="BG131" s="14" t="n">
        <f aca="true">IF($K131="","",TODAY()-$K131)</f>
        <v>55</v>
      </c>
      <c r="BH131" s="15" t="str">
        <f aca="false">IFERROR(LEFT(IF($B131="","Notes, ","")&amp;IF($K131="","Latest Date Worked, ","")&amp;IF($AY131="","Last Action, ","")&amp;IF(AND(OR(TRIM($A131)="Denied",TRIM($A131)="Rejected"),$BA131=""),"Denial Reason, ","")&amp;IF(AND(TRIM($A131)="Denied",$BB131="",TRIM($BA131)&lt;&gt;"NO DENIAL"),"Denial Code, ","")&amp;IF(AND(TRIM($A131)&lt;&gt;"Finalized",$BD131=""),"Next Review Date, ","")&amp;IF(AND(TRIM($A131)&lt;&gt;"Finalized",$BE131=""),"Next Step, ","")&amp;IF(AND(TRIM($A131)="Finalized",$AV131="",$AR131="",$AT131="",$AX131="",$AW131=""),"CPT outcome, ",""),LEN(IF($B131="","Notes, ","")&amp;IF($K131="","Latest Date Worked, ","")&amp;IF($AY131="","Last Action, ","")&amp;IF(AND(OR(TRIM($A131)="Denied",TRIM($A131)="Rejected"),$BA131=""),"Denial Reason, ","")&amp;IF(AND(TRIM($A131)="Denied",$BB131="",TRIM($BA131)&lt;&gt;"NO DENIAL"),"Denial Code, ","")&amp;IF(AND(TRIM($A131)&lt;&gt;"Finalized",$BD131=""),"Next Review Date, ","")&amp;IF(AND(TRIM($A131)&lt;&gt;"Finalized",$BE131=""),"Next Step, ","")&amp;IF(AND(TRIM($A131)="Finalized",$AV131="",$AR131="",$AT131="",$AX131="",$AW131=""),"CPT outcome, ",""))-2),"")</f>
        <v>Denial Code, Next Step</v>
      </c>
      <c r="BI131" s="15" t="str">
        <f aca="false">IF($BB131="","",IFERROR(INDEX('Denial Codes'!$C:$C,MATCH(LEFT($BB131,FIND(" - ",$BB131&amp;" - ")+2)&amp;"*",'Denial Codes'!$A:$A,0)),""))</f>
        <v/>
      </c>
      <c r="BJ131" s="15" t="str">
        <f aca="false">IF($BA131="","",IFERROR(INDEX(Lists!$B:$B,MATCH(TRIM($BA131),Lists!$A:$A,0))&amp;"",""))</f>
        <v>Correct or add the modifier (e.g. NU/RR, KX, RT/LT, 25) and resubmit.</v>
      </c>
    </row>
    <row r="132" customFormat="false" ht="15" hidden="false" customHeight="false" outlineLevel="0" collapsed="false">
      <c r="A132" s="7" t="s">
        <v>17</v>
      </c>
      <c r="B132" s="7" t="s">
        <v>775</v>
      </c>
      <c r="C132" s="8" t="n">
        <v>558351506</v>
      </c>
      <c r="D132" s="9" t="n">
        <v>46197</v>
      </c>
      <c r="E132" s="10" t="s">
        <v>776</v>
      </c>
      <c r="F132" s="11" t="n">
        <v>46148</v>
      </c>
      <c r="G132" s="10" t="s">
        <v>163</v>
      </c>
      <c r="H132" s="10" t="s">
        <v>163</v>
      </c>
      <c r="I132" s="10" t="s">
        <v>129</v>
      </c>
      <c r="J132" s="10" t="s">
        <v>250</v>
      </c>
      <c r="K132" s="9" t="n">
        <v>46311</v>
      </c>
      <c r="L132" s="12" t="n">
        <f aca="true">IF($O132="","",$O132-TODAY())</f>
        <v>-73</v>
      </c>
      <c r="M132" s="12" t="n">
        <f aca="true">IF(AND(TRIM($A132)="Finalized",$K132&lt;&gt;""),"",IF($F132="","",$F132+90-TODAY()))</f>
        <v>-73</v>
      </c>
      <c r="N132" s="12" t="n">
        <f aca="true">IF(AND(TRIM($A132)="Finalized",$K132&lt;&gt;""),"",IF($D132="","",$D132+365-TODAY()))</f>
        <v>251</v>
      </c>
      <c r="O132" s="11" t="n">
        <f aca="false">IF(AND(TRIM($A132)="Finalized",$K132&lt;&gt;""),"",DATE(2026,8,4))</f>
        <v>46238</v>
      </c>
      <c r="P132" s="10" t="s">
        <v>165</v>
      </c>
      <c r="Q132" s="10" t="s">
        <v>166</v>
      </c>
      <c r="R132" s="10" t="s">
        <v>165</v>
      </c>
      <c r="S132" s="10" t="s">
        <v>149</v>
      </c>
      <c r="T132" s="10" t="s">
        <v>114</v>
      </c>
      <c r="U132" s="10" t="s">
        <v>116</v>
      </c>
      <c r="V132" s="10" t="s">
        <v>266</v>
      </c>
      <c r="W132" s="10" t="s">
        <v>132</v>
      </c>
      <c r="X132" s="10"/>
      <c r="Y132" s="10"/>
      <c r="Z132" s="10"/>
      <c r="AA132" s="10" t="s">
        <v>197</v>
      </c>
      <c r="AB132" s="8" t="n">
        <f aca="true">IF($F132="","",TODAY()-$F132)</f>
        <v>163</v>
      </c>
      <c r="AC132" s="10" t="s">
        <v>251</v>
      </c>
      <c r="AD132" s="10"/>
      <c r="AE132" s="10"/>
      <c r="AF132" s="10"/>
      <c r="AG132" s="10"/>
      <c r="AH132" s="10"/>
      <c r="AI132" s="10"/>
      <c r="AJ132" s="10" t="s">
        <v>254</v>
      </c>
      <c r="AK132" s="10" t="s">
        <v>751</v>
      </c>
      <c r="AL132" s="10"/>
      <c r="AM132" s="10"/>
      <c r="AN132" s="8"/>
      <c r="AO132" s="10" t="s">
        <v>213</v>
      </c>
      <c r="AP132" s="10" t="s">
        <v>175</v>
      </c>
      <c r="AQ132" s="11" t="n">
        <v>46149</v>
      </c>
      <c r="AR132" s="13"/>
      <c r="AS132" s="13"/>
      <c r="AT132" s="13"/>
      <c r="AU132" s="13"/>
      <c r="AV132" s="13"/>
      <c r="AW132" s="13"/>
      <c r="AX132" s="13" t="s">
        <v>251</v>
      </c>
      <c r="AY132" s="7" t="s">
        <v>159</v>
      </c>
      <c r="AZ132" s="7" t="s">
        <v>203</v>
      </c>
      <c r="BA132" s="7" t="s">
        <v>35</v>
      </c>
      <c r="BB132" s="7" t="s">
        <v>559</v>
      </c>
      <c r="BC132" s="7"/>
      <c r="BD132" s="9" t="n">
        <v>46342</v>
      </c>
      <c r="BE132" s="7"/>
      <c r="BF132" s="14" t="str">
        <f aca="true">IF(TRIM($A132)="Finalized","Closed",IF($BD132="","No review date set",IF($BD132&lt;TODAY(),"OVERDUE",IF($BD132-TODAY()&lt;=7,"Due within 7 days","Scheduled"))))</f>
        <v>Scheduled</v>
      </c>
      <c r="BG132" s="14" t="n">
        <f aca="true">IF($K132="","",TODAY()-$K132)</f>
        <v>0</v>
      </c>
      <c r="BH132" s="15" t="str">
        <f aca="false">IFERROR(LEFT(IF($B132="","Notes, ","")&amp;IF($K132="","Latest Date Worked, ","")&amp;IF($AY132="","Last Action, ","")&amp;IF(AND(OR(TRIM($A132)="Denied",TRIM($A132)="Rejected"),$BA132=""),"Denial Reason, ","")&amp;IF(AND(TRIM($A132)="Denied",$BB132="",TRIM($BA132)&lt;&gt;"NO DENIAL"),"Denial Code, ","")&amp;IF(AND(TRIM($A132)&lt;&gt;"Finalized",$BD132=""),"Next Review Date, ","")&amp;IF(AND(TRIM($A132)&lt;&gt;"Finalized",$BE132=""),"Next Step, ","")&amp;IF(AND(TRIM($A132)="Finalized",$AV132="",$AR132="",$AT132="",$AX132="",$AW132=""),"CPT outcome, ",""),LEN(IF($B132="","Notes, ","")&amp;IF($K132="","Latest Date Worked, ","")&amp;IF($AY132="","Last Action, ","")&amp;IF(AND(OR(TRIM($A132)="Denied",TRIM($A132)="Rejected"),$BA132=""),"Denial Reason, ","")&amp;IF(AND(TRIM($A132)="Denied",$BB132="",TRIM($BA132)&lt;&gt;"NO DENIAL"),"Denial Code, ","")&amp;IF(AND(TRIM($A132)&lt;&gt;"Finalized",$BD132=""),"Next Review Date, ","")&amp;IF(AND(TRIM($A132)&lt;&gt;"Finalized",$BE132=""),"Next Step, ","")&amp;IF(AND(TRIM($A132)="Finalized",$AV132="",$AR132="",$AT132="",$AX132="",$AW132=""),"CPT outcome, ",""))-2),"")</f>
        <v>Next Step</v>
      </c>
      <c r="BI132" s="15" t="str">
        <f aca="false">IF($BB132="","",IFERROR(INDEX('Denial Codes'!$C:$C,MATCH(LEFT($BB132,FIND(" - ",$BB132&amp;" - ")+2)&amp;"*",'Denial Codes'!$A:$A,0)),""))</f>
        <v>Timely filing</v>
      </c>
      <c r="BJ132" s="15" t="str">
        <f aca="false">IF($BA132="","",IFERROR(INDEX(Lists!$B:$B,MATCH(TRIM($BA132),Lists!$A:$A,0))&amp;"",""))</f>
        <v>Find proof of timely filing (clearinghouse acceptance or earlier submission) and appeal with it; if none, adjust the balance.</v>
      </c>
    </row>
    <row r="133" customFormat="false" ht="15" hidden="false" customHeight="false" outlineLevel="0" collapsed="false">
      <c r="A133" s="7" t="s">
        <v>16</v>
      </c>
      <c r="B133" s="7" t="s">
        <v>777</v>
      </c>
      <c r="C133" s="8" t="n">
        <v>568553454</v>
      </c>
      <c r="D133" s="9"/>
      <c r="E133" s="10" t="s">
        <v>778</v>
      </c>
      <c r="F133" s="11" t="n">
        <v>46149</v>
      </c>
      <c r="G133" s="10" t="s">
        <v>555</v>
      </c>
      <c r="H133" s="10" t="s">
        <v>129</v>
      </c>
      <c r="I133" s="10" t="s">
        <v>129</v>
      </c>
      <c r="J133" s="10" t="s">
        <v>181</v>
      </c>
      <c r="K133" s="9" t="n">
        <v>46247</v>
      </c>
      <c r="L133" s="12" t="str">
        <f aca="true">IF($O133="","",$O133-TODAY())</f>
        <v/>
      </c>
      <c r="M133" s="12" t="str">
        <f aca="true">IF(AND(TRIM($A133)="Finalized",$K133&lt;&gt;""),"",IF($D133="","",$D133+365-TODAY()))</f>
        <v/>
      </c>
      <c r="N133" s="12" t="str">
        <f aca="true">IF(AND(TRIM($A133)="Finalized",$K133&lt;&gt;""),"",IF($D133="","",$D133+365-TODAY()))</f>
        <v/>
      </c>
      <c r="O133" s="11" t="str">
        <f aca="false">IF(AND(TRIM($A133)="Finalized",$K133&lt;&gt;""),"",DATE(2026,8,5))</f>
        <v/>
      </c>
      <c r="P133" s="10" t="s">
        <v>165</v>
      </c>
      <c r="Q133" s="10" t="s">
        <v>557</v>
      </c>
      <c r="R133" s="10" t="s">
        <v>114</v>
      </c>
      <c r="S133" s="10" t="s">
        <v>116</v>
      </c>
      <c r="T133" s="10" t="s">
        <v>114</v>
      </c>
      <c r="U133" s="10" t="s">
        <v>116</v>
      </c>
      <c r="V133" s="10" t="s">
        <v>266</v>
      </c>
      <c r="W133" s="10" t="s">
        <v>183</v>
      </c>
      <c r="X133" s="10"/>
      <c r="Y133" s="10"/>
      <c r="Z133" s="10"/>
      <c r="AA133" s="10" t="s">
        <v>197</v>
      </c>
      <c r="AB133" s="8" t="n">
        <f aca="true">IF($F133="","",TODAY()-$F133)</f>
        <v>162</v>
      </c>
      <c r="AC133" s="10" t="s">
        <v>184</v>
      </c>
      <c r="AD133" s="10" t="s">
        <v>185</v>
      </c>
      <c r="AE133" s="10"/>
      <c r="AF133" s="10"/>
      <c r="AG133" s="10"/>
      <c r="AH133" s="10"/>
      <c r="AI133" s="10"/>
      <c r="AJ133" s="10" t="s">
        <v>340</v>
      </c>
      <c r="AK133" s="10"/>
      <c r="AL133" s="10"/>
      <c r="AM133" s="10"/>
      <c r="AN133" s="8"/>
      <c r="AO133" s="10" t="s">
        <v>213</v>
      </c>
      <c r="AP133" s="10" t="s">
        <v>188</v>
      </c>
      <c r="AQ133" s="11" t="n">
        <v>46182</v>
      </c>
      <c r="AR133" s="13"/>
      <c r="AS133" s="13"/>
      <c r="AT133" s="13" t="s">
        <v>507</v>
      </c>
      <c r="AU133" s="13" t="s">
        <v>559</v>
      </c>
      <c r="AV133" s="13"/>
      <c r="AW133" s="13"/>
      <c r="AX133" s="13" t="s">
        <v>507</v>
      </c>
      <c r="AY133" s="7" t="s">
        <v>465</v>
      </c>
      <c r="AZ133" s="7" t="s">
        <v>159</v>
      </c>
      <c r="BA133" s="7" t="s">
        <v>35</v>
      </c>
      <c r="BB133" s="7" t="s">
        <v>559</v>
      </c>
      <c r="BC133" s="7"/>
      <c r="BD133" s="9"/>
      <c r="BE133" s="7"/>
      <c r="BF133" s="14" t="str">
        <f aca="true">IF(TRIM($A133)="Finalized","Closed",IF($BD133="","No review date set",IF($BD133&lt;TODAY(),"OVERDUE",IF($BD133-TODAY()&lt;=7,"Due within 7 days","Scheduled"))))</f>
        <v>Closed</v>
      </c>
      <c r="BG133" s="14" t="n">
        <f aca="true">IF($K133="","",TODAY()-$K133)</f>
        <v>64</v>
      </c>
      <c r="BH133" s="15" t="str">
        <f aca="false">IFERROR(LEFT(IF($B133="","Notes, ","")&amp;IF($K133="","Latest Date Worked, ","")&amp;IF($AY133="","Last Action, ","")&amp;IF(AND(OR(TRIM($A133)="Denied",TRIM($A133)="Rejected"),$BA133=""),"Denial Reason, ","")&amp;IF(AND(TRIM($A133)="Denied",$BB133="",TRIM($BA133)&lt;&gt;"NO DENIAL"),"Denial Code, ","")&amp;IF(AND(TRIM($A133)&lt;&gt;"Finalized",$BD133=""),"Next Review Date, ","")&amp;IF(AND(TRIM($A133)&lt;&gt;"Finalized",$BE133=""),"Next Step, ","")&amp;IF(AND(TRIM($A133)="Finalized",$AV133="",$AR133="",$AT133="",$AX133="",$AW133=""),"CPT outcome, ",""),LEN(IF($B133="","Notes, ","")&amp;IF($K133="","Latest Date Worked, ","")&amp;IF($AY133="","Last Action, ","")&amp;IF(AND(OR(TRIM($A133)="Denied",TRIM($A133)="Rejected"),$BA133=""),"Denial Reason, ","")&amp;IF(AND(TRIM($A133)="Denied",$BB133="",TRIM($BA133)&lt;&gt;"NO DENIAL"),"Denial Code, ","")&amp;IF(AND(TRIM($A133)&lt;&gt;"Finalized",$BD133=""),"Next Review Date, ","")&amp;IF(AND(TRIM($A133)&lt;&gt;"Finalized",$BE133=""),"Next Step, ","")&amp;IF(AND(TRIM($A133)="Finalized",$AV133="",$AR133="",$AT133="",$AX133="",$AW133=""),"CPT outcome, ",""))-2),"")</f>
        <v/>
      </c>
      <c r="BI133" s="15" t="str">
        <f aca="false">IF($BB133="","",IFERROR(INDEX('Denial Codes'!$C:$C,MATCH(LEFT($BB133,FIND(" - ",$BB133&amp;" - ")+2)&amp;"*",'Denial Codes'!$A:$A,0)),""))</f>
        <v>Timely filing</v>
      </c>
      <c r="BJ133" s="15" t="str">
        <f aca="false">IF($BA133="","",IFERROR(INDEX(Lists!$B:$B,MATCH(TRIM($BA133),Lists!$A:$A,0))&amp;"",""))</f>
        <v>Find proof of timely filing (clearinghouse acceptance or earlier submission) and appeal with it; if none, adjust the balance.</v>
      </c>
    </row>
    <row r="134" customFormat="false" ht="15" hidden="false" customHeight="false" outlineLevel="0" collapsed="false">
      <c r="A134" s="7" t="s">
        <v>17</v>
      </c>
      <c r="B134" s="7" t="s">
        <v>779</v>
      </c>
      <c r="C134" s="8" t="n">
        <v>569778058</v>
      </c>
      <c r="D134" s="9" t="n">
        <v>46286</v>
      </c>
      <c r="E134" s="10" t="s">
        <v>780</v>
      </c>
      <c r="F134" s="11" t="n">
        <v>46149</v>
      </c>
      <c r="G134" s="10" t="s">
        <v>555</v>
      </c>
      <c r="H134" s="10" t="s">
        <v>555</v>
      </c>
      <c r="I134" s="10" t="s">
        <v>781</v>
      </c>
      <c r="J134" s="10" t="s">
        <v>747</v>
      </c>
      <c r="K134" s="9" t="n">
        <v>46259</v>
      </c>
      <c r="L134" s="12" t="n">
        <f aca="true">IF($O134="","",$O134-TODAY())</f>
        <v>-72</v>
      </c>
      <c r="M134" s="12" t="n">
        <f aca="true">IF(AND(TRIM($A134)="Finalized",$K134&lt;&gt;""),"",IF($D134="","",$D134+365-TODAY()))</f>
        <v>340</v>
      </c>
      <c r="N134" s="12" t="n">
        <f aca="true">IF(AND(TRIM($A134)="Finalized",$K134&lt;&gt;""),"",IF($D134="","",$D134+365-TODAY()))</f>
        <v>340</v>
      </c>
      <c r="O134" s="11" t="n">
        <f aca="false">IF(AND(TRIM($A134)="Finalized",$K134&lt;&gt;""),"",DATE(2026,8,5))</f>
        <v>46239</v>
      </c>
      <c r="P134" s="10" t="s">
        <v>165</v>
      </c>
      <c r="Q134" s="10" t="s">
        <v>557</v>
      </c>
      <c r="R134" s="10" t="s">
        <v>114</v>
      </c>
      <c r="S134" s="10" t="s">
        <v>116</v>
      </c>
      <c r="T134" s="10" t="s">
        <v>114</v>
      </c>
      <c r="U134" s="10" t="s">
        <v>116</v>
      </c>
      <c r="V134" s="10" t="s">
        <v>266</v>
      </c>
      <c r="W134" s="10" t="s">
        <v>196</v>
      </c>
      <c r="X134" s="10"/>
      <c r="Y134" s="10"/>
      <c r="Z134" s="10"/>
      <c r="AA134" s="10" t="s">
        <v>197</v>
      </c>
      <c r="AB134" s="8" t="n">
        <f aca="true">IF($F134="","",TODAY()-$F134)</f>
        <v>162</v>
      </c>
      <c r="AC134" s="10" t="s">
        <v>222</v>
      </c>
      <c r="AD134" s="10" t="s">
        <v>487</v>
      </c>
      <c r="AE134" s="10" t="s">
        <v>198</v>
      </c>
      <c r="AF134" s="10"/>
      <c r="AG134" s="10"/>
      <c r="AH134" s="10"/>
      <c r="AI134" s="10"/>
      <c r="AJ134" s="10" t="s">
        <v>223</v>
      </c>
      <c r="AK134" s="10" t="s">
        <v>782</v>
      </c>
      <c r="AL134" s="10" t="s">
        <v>414</v>
      </c>
      <c r="AM134" s="10" t="s">
        <v>415</v>
      </c>
      <c r="AN134" s="8"/>
      <c r="AO134" s="10" t="s">
        <v>213</v>
      </c>
      <c r="AP134" s="10" t="s">
        <v>224</v>
      </c>
      <c r="AQ134" s="11" t="n">
        <v>46164</v>
      </c>
      <c r="AR134" s="13"/>
      <c r="AS134" s="13"/>
      <c r="AT134" s="13"/>
      <c r="AU134" s="13"/>
      <c r="AV134" s="13" t="s">
        <v>198</v>
      </c>
      <c r="AW134" s="13"/>
      <c r="AX134" s="13" t="s">
        <v>783</v>
      </c>
      <c r="AY134" s="7" t="s">
        <v>159</v>
      </c>
      <c r="AZ134" s="7" t="s">
        <v>784</v>
      </c>
      <c r="BA134" s="7" t="s">
        <v>40</v>
      </c>
      <c r="BB134" s="7"/>
      <c r="BC134" s="7"/>
      <c r="BD134" s="9" t="n">
        <v>46290</v>
      </c>
      <c r="BE134" s="7"/>
      <c r="BF134" s="14" t="str">
        <f aca="true">IF(TRIM($A134)="Finalized","Closed",IF($BD134="","No review date set",IF($BD134&lt;TODAY(),"OVERDUE",IF($BD134-TODAY()&lt;=7,"Due within 7 days","Scheduled"))))</f>
        <v>OVERDUE</v>
      </c>
      <c r="BG134" s="14" t="n">
        <f aca="true">IF($K134="","",TODAY()-$K134)</f>
        <v>52</v>
      </c>
      <c r="BH134" s="15" t="str">
        <f aca="false">IFERROR(LEFT(IF($B134="","Notes, ","")&amp;IF($K134="","Latest Date Worked, ","")&amp;IF($AY134="","Last Action, ","")&amp;IF(AND(OR(TRIM($A134)="Denied",TRIM($A134)="Rejected"),$BA134=""),"Denial Reason, ","")&amp;IF(AND(TRIM($A134)="Denied",$BB134="",TRIM($BA134)&lt;&gt;"NO DENIAL"),"Denial Code, ","")&amp;IF(AND(TRIM($A134)&lt;&gt;"Finalized",$BD134=""),"Next Review Date, ","")&amp;IF(AND(TRIM($A134)&lt;&gt;"Finalized",$BE134=""),"Next Step, ","")&amp;IF(AND(TRIM($A134)="Finalized",$AV134="",$AR134="",$AT134="",$AX134="",$AW134=""),"CPT outcome, ",""),LEN(IF($B134="","Notes, ","")&amp;IF($K134="","Latest Date Worked, ","")&amp;IF($AY134="","Last Action, ","")&amp;IF(AND(OR(TRIM($A134)="Denied",TRIM($A134)="Rejected"),$BA134=""),"Denial Reason, ","")&amp;IF(AND(TRIM($A134)="Denied",$BB134="",TRIM($BA134)&lt;&gt;"NO DENIAL"),"Denial Code, ","")&amp;IF(AND(TRIM($A134)&lt;&gt;"Finalized",$BD134=""),"Next Review Date, ","")&amp;IF(AND(TRIM($A134)&lt;&gt;"Finalized",$BE134=""),"Next Step, ","")&amp;IF(AND(TRIM($A134)="Finalized",$AV134="",$AR134="",$AT134="",$AX134="",$AW134=""),"CPT outcome, ",""))-2),"")</f>
        <v>Denial Code, Next Step</v>
      </c>
      <c r="BI134" s="15" t="str">
        <f aca="false">IF($BB134="","",IFERROR(INDEX('Denial Codes'!$C:$C,MATCH(LEFT($BB134,FIND(" - ",$BB134&amp;" - ")+2)&amp;"*",'Denial Codes'!$A:$A,0)),""))</f>
        <v/>
      </c>
      <c r="BJ134" s="15" t="str">
        <f aca="false">IF($BA134="","",IFERROR(INDEX(Lists!$B:$B,MATCH(TRIM($BA134),Lists!$A:$A,0))&amp;"",""))</f>
        <v>Fix the code, units, charge or other claim data and resubmit as a corrected claim.</v>
      </c>
    </row>
    <row r="135" customFormat="false" ht="15" hidden="false" customHeight="false" outlineLevel="0" collapsed="false">
      <c r="A135" s="7" t="s">
        <v>16</v>
      </c>
      <c r="B135" s="7" t="s">
        <v>785</v>
      </c>
      <c r="C135" s="8" t="n">
        <v>559736857</v>
      </c>
      <c r="D135" s="9" t="n">
        <v>46224</v>
      </c>
      <c r="E135" s="10" t="s">
        <v>786</v>
      </c>
      <c r="F135" s="11" t="n">
        <v>46150</v>
      </c>
      <c r="G135" s="10" t="s">
        <v>218</v>
      </c>
      <c r="H135" s="10" t="s">
        <v>218</v>
      </c>
      <c r="I135" s="10" t="s">
        <v>787</v>
      </c>
      <c r="J135" s="10" t="s">
        <v>461</v>
      </c>
      <c r="K135" s="9" t="n">
        <v>46253</v>
      </c>
      <c r="L135" s="12" t="str">
        <f aca="true">IF($O135="","",$O135-TODAY())</f>
        <v/>
      </c>
      <c r="M135" s="12" t="str">
        <f aca="true">IF(AND(TRIM($A135)="Finalized",$K135&lt;&gt;""),"",IF($F135="","",$F135+90-TODAY()))</f>
        <v/>
      </c>
      <c r="N135" s="12" t="str">
        <f aca="true">IF(AND(TRIM($A135)="Finalized",$K135&lt;&gt;""),"",IF($D135="","",$D135+180-TODAY()))</f>
        <v/>
      </c>
      <c r="O135" s="11" t="str">
        <f aca="false">IF(AND(TRIM($A135)="Finalized",$K135&lt;&gt;""),"",DATE(2026,8,6))</f>
        <v/>
      </c>
      <c r="P135" s="10" t="s">
        <v>165</v>
      </c>
      <c r="Q135" s="10" t="s">
        <v>220</v>
      </c>
      <c r="R135" s="10" t="s">
        <v>165</v>
      </c>
      <c r="S135" s="10" t="s">
        <v>149</v>
      </c>
      <c r="T135" s="10" t="s">
        <v>147</v>
      </c>
      <c r="U135" s="10" t="s">
        <v>116</v>
      </c>
      <c r="V135" s="10" t="s">
        <v>266</v>
      </c>
      <c r="W135" s="10" t="s">
        <v>119</v>
      </c>
      <c r="X135" s="10" t="s">
        <v>120</v>
      </c>
      <c r="Y135" s="10"/>
      <c r="Z135" s="10"/>
      <c r="AA135" s="10" t="s">
        <v>230</v>
      </c>
      <c r="AB135" s="8" t="n">
        <f aca="true">IF($F135="","",TODAY()-$F135)</f>
        <v>161</v>
      </c>
      <c r="AC135" s="10" t="s">
        <v>273</v>
      </c>
      <c r="AD135" s="10"/>
      <c r="AE135" s="10"/>
      <c r="AF135" s="10"/>
      <c r="AG135" s="10"/>
      <c r="AH135" s="10"/>
      <c r="AI135" s="10"/>
      <c r="AJ135" s="10" t="s">
        <v>123</v>
      </c>
      <c r="AK135" s="10" t="s">
        <v>124</v>
      </c>
      <c r="AL135" s="10"/>
      <c r="AM135" s="10"/>
      <c r="AN135" s="8"/>
      <c r="AO135" s="10" t="s">
        <v>262</v>
      </c>
      <c r="AP135" s="10" t="s">
        <v>156</v>
      </c>
      <c r="AQ135" s="11" t="n">
        <v>46162</v>
      </c>
      <c r="AR135" s="13"/>
      <c r="AS135" s="13"/>
      <c r="AT135" s="13"/>
      <c r="AU135" s="13"/>
      <c r="AV135" s="13" t="s">
        <v>273</v>
      </c>
      <c r="AW135" s="13"/>
      <c r="AX135" s="13" t="s">
        <v>273</v>
      </c>
      <c r="AY135" s="7" t="s">
        <v>363</v>
      </c>
      <c r="AZ135" s="7" t="s">
        <v>159</v>
      </c>
      <c r="BA135" s="7" t="s">
        <v>47</v>
      </c>
      <c r="BB135" s="7" t="s">
        <v>508</v>
      </c>
      <c r="BC135" s="7"/>
      <c r="BD135" s="9"/>
      <c r="BE135" s="7"/>
      <c r="BF135" s="14" t="str">
        <f aca="true">IF(TRIM($A135)="Finalized","Closed",IF($BD135="","No review date set",IF($BD135&lt;TODAY(),"OVERDUE",IF($BD135-TODAY()&lt;=7,"Due within 7 days","Scheduled"))))</f>
        <v>Closed</v>
      </c>
      <c r="BG135" s="14" t="n">
        <f aca="true">IF($K135="","",TODAY()-$K135)</f>
        <v>58</v>
      </c>
      <c r="BH135" s="15" t="str">
        <f aca="false">IFERROR(LEFT(IF($B135="","Notes, ","")&amp;IF($K135="","Latest Date Worked, ","")&amp;IF($AY135="","Last Action, ","")&amp;IF(AND(OR(TRIM($A135)="Denied",TRIM($A135)="Rejected"),$BA135=""),"Denial Reason, ","")&amp;IF(AND(TRIM($A135)="Denied",$BB135="",TRIM($BA135)&lt;&gt;"NO DENIAL"),"Denial Code, ","")&amp;IF(AND(TRIM($A135)&lt;&gt;"Finalized",$BD135=""),"Next Review Date, ","")&amp;IF(AND(TRIM($A135)&lt;&gt;"Finalized",$BE135=""),"Next Step, ","")&amp;IF(AND(TRIM($A135)="Finalized",$AV135="",$AR135="",$AT135="",$AX135="",$AW135=""),"CPT outcome, ",""),LEN(IF($B135="","Notes, ","")&amp;IF($K135="","Latest Date Worked, ","")&amp;IF($AY135="","Last Action, ","")&amp;IF(AND(OR(TRIM($A135)="Denied",TRIM($A135)="Rejected"),$BA135=""),"Denial Reason, ","")&amp;IF(AND(TRIM($A135)="Denied",$BB135="",TRIM($BA135)&lt;&gt;"NO DENIAL"),"Denial Code, ","")&amp;IF(AND(TRIM($A135)&lt;&gt;"Finalized",$BD135=""),"Next Review Date, ","")&amp;IF(AND(TRIM($A135)&lt;&gt;"Finalized",$BE135=""),"Next Step, ","")&amp;IF(AND(TRIM($A135)="Finalized",$AV135="",$AR135="",$AT135="",$AX135="",$AW135=""),"CPT outcome, ",""))-2),"")</f>
        <v/>
      </c>
      <c r="BI135" s="15" t="str">
        <f aca="false">IF($BB135="","",IFERROR(INDEX('Denial Codes'!$C:$C,MATCH(LEFT($BB135,FIND(" - ",$BB135&amp;" - ")+2)&amp;"*",'Denial Codes'!$A:$A,0)),""))</f>
        <v>Credentialing / out of network</v>
      </c>
      <c r="BJ135" s="15" t="str">
        <f aca="false">IF($BA135="","",IFERROR(INDEX(Lists!$B:$B,MATCH(TRIM($BA135),Lists!$A:$A,0))&amp;"",""))</f>
        <v>Check provider enrollment, NPI/TIN and network status; appeal once credentialing is confirmed.</v>
      </c>
    </row>
    <row r="136" customFormat="false" ht="15" hidden="false" customHeight="false" outlineLevel="0" collapsed="false">
      <c r="A136" s="7" t="s">
        <v>16</v>
      </c>
      <c r="B136" s="7" t="s">
        <v>788</v>
      </c>
      <c r="C136" s="8" t="n">
        <v>555379100</v>
      </c>
      <c r="D136" s="9" t="n">
        <v>46161</v>
      </c>
      <c r="E136" s="10" t="s">
        <v>789</v>
      </c>
      <c r="F136" s="11" t="n">
        <v>46120</v>
      </c>
      <c r="G136" s="10" t="s">
        <v>427</v>
      </c>
      <c r="H136" s="10" t="s">
        <v>427</v>
      </c>
      <c r="I136" s="10" t="s">
        <v>129</v>
      </c>
      <c r="J136" s="10" t="s">
        <v>400</v>
      </c>
      <c r="K136" s="9" t="n">
        <v>46257</v>
      </c>
      <c r="L136" s="12" t="str">
        <f aca="true">IF($O136="","",$O136-TODAY())</f>
        <v/>
      </c>
      <c r="M136" s="12" t="str">
        <f aca="true">IF(AND(TRIM($A136)="Finalized",$K136&lt;&gt;""),"",IF($D136="","",$D136+365-TODAY()))</f>
        <v/>
      </c>
      <c r="N136" s="12" t="str">
        <f aca="true">IF(AND(TRIM($A136)="Finalized",$K136&lt;&gt;""),"",IF($D136="","",$D136+90-TODAY()))</f>
        <v/>
      </c>
      <c r="O136" s="11" t="str">
        <f aca="false">IF(AND(TRIM($A136)="Finalized",$K136&lt;&gt;""),"",DATE(2026,8,6))</f>
        <v/>
      </c>
      <c r="P136" s="10" t="s">
        <v>117</v>
      </c>
      <c r="Q136" s="10" t="s">
        <v>429</v>
      </c>
      <c r="R136" s="10" t="s">
        <v>114</v>
      </c>
      <c r="S136" s="10" t="s">
        <v>116</v>
      </c>
      <c r="T136" s="10" t="s">
        <v>165</v>
      </c>
      <c r="U136" s="10" t="s">
        <v>116</v>
      </c>
      <c r="V136" s="10" t="s">
        <v>221</v>
      </c>
      <c r="W136" s="10" t="s">
        <v>183</v>
      </c>
      <c r="X136" s="10"/>
      <c r="Y136" s="10"/>
      <c r="Z136" s="10"/>
      <c r="AA136" s="10" t="s">
        <v>197</v>
      </c>
      <c r="AB136" s="8" t="n">
        <f aca="true">IF($F136="","",TODAY()-$F136)</f>
        <v>191</v>
      </c>
      <c r="AC136" s="10" t="s">
        <v>185</v>
      </c>
      <c r="AD136" s="10" t="s">
        <v>184</v>
      </c>
      <c r="AE136" s="10"/>
      <c r="AF136" s="10"/>
      <c r="AG136" s="10"/>
      <c r="AH136" s="10"/>
      <c r="AI136" s="10"/>
      <c r="AJ136" s="10" t="s">
        <v>511</v>
      </c>
      <c r="AK136" s="10"/>
      <c r="AL136" s="10"/>
      <c r="AM136" s="10"/>
      <c r="AN136" s="8"/>
      <c r="AO136" s="10" t="s">
        <v>213</v>
      </c>
      <c r="AP136" s="10" t="s">
        <v>202</v>
      </c>
      <c r="AQ136" s="11" t="n">
        <v>46153</v>
      </c>
      <c r="AR136" s="13"/>
      <c r="AS136" s="13"/>
      <c r="AT136" s="13"/>
      <c r="AU136" s="13"/>
      <c r="AV136" s="13" t="s">
        <v>189</v>
      </c>
      <c r="AW136" s="13"/>
      <c r="AX136" s="13" t="s">
        <v>189</v>
      </c>
      <c r="AY136" s="7" t="s">
        <v>363</v>
      </c>
      <c r="AZ136" s="7" t="s">
        <v>159</v>
      </c>
      <c r="BA136" s="7" t="s">
        <v>48</v>
      </c>
      <c r="BB136" s="7" t="s">
        <v>790</v>
      </c>
      <c r="BC136" s="7"/>
      <c r="BD136" s="9"/>
      <c r="BE136" s="7"/>
      <c r="BF136" s="14" t="str">
        <f aca="true">IF(TRIM($A136)="Finalized","Closed",IF($BD136="","No review date set",IF($BD136&lt;TODAY(),"OVERDUE",IF($BD136-TODAY()&lt;=7,"Due within 7 days","Scheduled"))))</f>
        <v>Closed</v>
      </c>
      <c r="BG136" s="14" t="n">
        <f aca="true">IF($K136="","",TODAY()-$K136)</f>
        <v>54</v>
      </c>
      <c r="BH136" s="15" t="str">
        <f aca="false">IFERROR(LEFT(IF($B136="","Notes, ","")&amp;IF($K136="","Latest Date Worked, ","")&amp;IF($AY136="","Last Action, ","")&amp;IF(AND(OR(TRIM($A136)="Denied",TRIM($A136)="Rejected"),$BA136=""),"Denial Reason, ","")&amp;IF(AND(TRIM($A136)="Denied",$BB136="",TRIM($BA136)&lt;&gt;"NO DENIAL"),"Denial Code, ","")&amp;IF(AND(TRIM($A136)&lt;&gt;"Finalized",$BD136=""),"Next Review Date, ","")&amp;IF(AND(TRIM($A136)&lt;&gt;"Finalized",$BE136=""),"Next Step, ","")&amp;IF(AND(TRIM($A136)="Finalized",$AV136="",$AR136="",$AT136="",$AX136="",$AW136=""),"CPT outcome, ",""),LEN(IF($B136="","Notes, ","")&amp;IF($K136="","Latest Date Worked, ","")&amp;IF($AY136="","Last Action, ","")&amp;IF(AND(OR(TRIM($A136)="Denied",TRIM($A136)="Rejected"),$BA136=""),"Denial Reason, ","")&amp;IF(AND(TRIM($A136)="Denied",$BB136="",TRIM($BA136)&lt;&gt;"NO DENIAL"),"Denial Code, ","")&amp;IF(AND(TRIM($A136)&lt;&gt;"Finalized",$BD136=""),"Next Review Date, ","")&amp;IF(AND(TRIM($A136)&lt;&gt;"Finalized",$BE136=""),"Next Step, ","")&amp;IF(AND(TRIM($A136)="Finalized",$AV136="",$AR136="",$AT136="",$AX136="",$AW136=""),"CPT outcome, ",""))-2),"")</f>
        <v/>
      </c>
      <c r="BI136" s="15" t="str">
        <f aca="false">IF($BB136="","",IFERROR(INDEX('Denial Codes'!$C:$C,MATCH(LEFT($BB136,FIND(" - ",$BB136&amp;" - ")+2)&amp;"*",'Denial Codes'!$A:$A,0)),""))</f>
        <v>Referral / referring provider</v>
      </c>
      <c r="BJ136" s="15" t="str">
        <f aca="false">IF($BA136="","",IFERROR(INDEX(Lists!$B:$B,MATCH(TRIM($BA136),Lists!$A:$A,0))&amp;"",""))</f>
        <v>Get a valid referral or correct the referring provider, then resubmit.</v>
      </c>
    </row>
    <row r="137" customFormat="false" ht="15" hidden="false" customHeight="false" outlineLevel="0" collapsed="false">
      <c r="A137" s="7" t="s">
        <v>16</v>
      </c>
      <c r="B137" s="7" t="s">
        <v>791</v>
      </c>
      <c r="C137" s="8" t="n">
        <v>562420138</v>
      </c>
      <c r="D137" s="9" t="n">
        <v>46203</v>
      </c>
      <c r="E137" s="10" t="s">
        <v>776</v>
      </c>
      <c r="F137" s="11" t="n">
        <v>46153</v>
      </c>
      <c r="G137" s="10" t="s">
        <v>163</v>
      </c>
      <c r="H137" s="10" t="s">
        <v>163</v>
      </c>
      <c r="I137" s="10" t="s">
        <v>129</v>
      </c>
      <c r="J137" s="10" t="s">
        <v>792</v>
      </c>
      <c r="K137" s="9" t="n">
        <v>46255</v>
      </c>
      <c r="L137" s="12" t="str">
        <f aca="true">IF($O137="","",$O137-TODAY())</f>
        <v/>
      </c>
      <c r="M137" s="12" t="str">
        <f aca="true">IF(AND(TRIM($A137)="Finalized",$K137&lt;&gt;""),"",IF($F137="","",$F137+90-TODAY()))</f>
        <v/>
      </c>
      <c r="N137" s="12" t="str">
        <f aca="true">IF(AND(TRIM($A137)="Finalized",$K137&lt;&gt;""),"",IF($D137="","",$D137+365-TODAY()))</f>
        <v/>
      </c>
      <c r="O137" s="11" t="str">
        <f aca="false">IF(AND(TRIM($A137)="Finalized",$K137&lt;&gt;""),"",DATE(2026,8,9))</f>
        <v/>
      </c>
      <c r="P137" s="10" t="s">
        <v>165</v>
      </c>
      <c r="Q137" s="10" t="s">
        <v>166</v>
      </c>
      <c r="R137" s="10" t="s">
        <v>165</v>
      </c>
      <c r="S137" s="10" t="s">
        <v>149</v>
      </c>
      <c r="T137" s="10" t="s">
        <v>114</v>
      </c>
      <c r="U137" s="10" t="s">
        <v>116</v>
      </c>
      <c r="V137" s="10" t="s">
        <v>266</v>
      </c>
      <c r="W137" s="10" t="s">
        <v>119</v>
      </c>
      <c r="X137" s="10" t="s">
        <v>229</v>
      </c>
      <c r="Y137" s="10"/>
      <c r="Z137" s="10"/>
      <c r="AA137" s="10" t="s">
        <v>793</v>
      </c>
      <c r="AB137" s="8" t="n">
        <f aca="true">IF($F137="","",TODAY()-$F137)</f>
        <v>158</v>
      </c>
      <c r="AC137" s="10" t="s">
        <v>273</v>
      </c>
      <c r="AD137" s="10"/>
      <c r="AE137" s="10"/>
      <c r="AF137" s="10"/>
      <c r="AG137" s="10"/>
      <c r="AH137" s="10"/>
      <c r="AI137" s="10"/>
      <c r="AJ137" s="10" t="s">
        <v>123</v>
      </c>
      <c r="AK137" s="10" t="s">
        <v>254</v>
      </c>
      <c r="AL137" s="10" t="s">
        <v>751</v>
      </c>
      <c r="AM137" s="10"/>
      <c r="AN137" s="8"/>
      <c r="AO137" s="10" t="s">
        <v>213</v>
      </c>
      <c r="AP137" s="10" t="s">
        <v>188</v>
      </c>
      <c r="AQ137" s="11" t="n">
        <v>46189</v>
      </c>
      <c r="AR137" s="13"/>
      <c r="AS137" s="13"/>
      <c r="AT137" s="13"/>
      <c r="AU137" s="13"/>
      <c r="AV137" s="13"/>
      <c r="AW137" s="13"/>
      <c r="AX137" s="13" t="s">
        <v>273</v>
      </c>
      <c r="AY137" s="7" t="s">
        <v>159</v>
      </c>
      <c r="AZ137" s="7"/>
      <c r="BA137" s="7" t="s">
        <v>35</v>
      </c>
      <c r="BB137" s="7" t="s">
        <v>559</v>
      </c>
      <c r="BC137" s="7"/>
      <c r="BD137" s="9"/>
      <c r="BE137" s="7"/>
      <c r="BF137" s="14" t="str">
        <f aca="true">IF(TRIM($A137)="Finalized","Closed",IF($BD137="","No review date set",IF($BD137&lt;TODAY(),"OVERDUE",IF($BD137-TODAY()&lt;=7,"Due within 7 days","Scheduled"))))</f>
        <v>Closed</v>
      </c>
      <c r="BG137" s="14" t="n">
        <f aca="true">IF($K137="","",TODAY()-$K137)</f>
        <v>56</v>
      </c>
      <c r="BH137" s="15" t="str">
        <f aca="false">IFERROR(LEFT(IF($B137="","Notes, ","")&amp;IF($K137="","Latest Date Worked, ","")&amp;IF($AY137="","Last Action, ","")&amp;IF(AND(OR(TRIM($A137)="Denied",TRIM($A137)="Rejected"),$BA137=""),"Denial Reason, ","")&amp;IF(AND(TRIM($A137)="Denied",$BB137="",TRIM($BA137)&lt;&gt;"NO DENIAL"),"Denial Code, ","")&amp;IF(AND(TRIM($A137)&lt;&gt;"Finalized",$BD137=""),"Next Review Date, ","")&amp;IF(AND(TRIM($A137)&lt;&gt;"Finalized",$BE137=""),"Next Step, ","")&amp;IF(AND(TRIM($A137)="Finalized",$AV137="",$AR137="",$AT137="",$AX137="",$AW137=""),"CPT outcome, ",""),LEN(IF($B137="","Notes, ","")&amp;IF($K137="","Latest Date Worked, ","")&amp;IF($AY137="","Last Action, ","")&amp;IF(AND(OR(TRIM($A137)="Denied",TRIM($A137)="Rejected"),$BA137=""),"Denial Reason, ","")&amp;IF(AND(TRIM($A137)="Denied",$BB137="",TRIM($BA137)&lt;&gt;"NO DENIAL"),"Denial Code, ","")&amp;IF(AND(TRIM($A137)&lt;&gt;"Finalized",$BD137=""),"Next Review Date, ","")&amp;IF(AND(TRIM($A137)&lt;&gt;"Finalized",$BE137=""),"Next Step, ","")&amp;IF(AND(TRIM($A137)="Finalized",$AV137="",$AR137="",$AT137="",$AX137="",$AW137=""),"CPT outcome, ",""))-2),"")</f>
        <v/>
      </c>
      <c r="BI137" s="15" t="str">
        <f aca="false">IF($BB137="","",IFERROR(INDEX('Denial Codes'!$C:$C,MATCH(LEFT($BB137,FIND(" - ",$BB137&amp;" - ")+2)&amp;"*",'Denial Codes'!$A:$A,0)),""))</f>
        <v>Timely filing</v>
      </c>
      <c r="BJ137" s="15" t="str">
        <f aca="false">IF($BA137="","",IFERROR(INDEX(Lists!$B:$B,MATCH(TRIM($BA137),Lists!$A:$A,0))&amp;"",""))</f>
        <v>Find proof of timely filing (clearinghouse acceptance or earlier submission) and appeal with it; if none, adjust the balance.</v>
      </c>
    </row>
    <row r="138" customFormat="false" ht="15" hidden="false" customHeight="false" outlineLevel="0" collapsed="false">
      <c r="A138" s="7" t="s">
        <v>17</v>
      </c>
      <c r="B138" s="7" t="s">
        <v>794</v>
      </c>
      <c r="C138" s="8" t="n">
        <v>561729597</v>
      </c>
      <c r="D138" s="9" t="n">
        <v>46196</v>
      </c>
      <c r="E138" s="10" t="s">
        <v>795</v>
      </c>
      <c r="F138" s="11" t="n">
        <v>46153</v>
      </c>
      <c r="G138" s="10" t="s">
        <v>347</v>
      </c>
      <c r="H138" s="10" t="s">
        <v>347</v>
      </c>
      <c r="I138" s="10" t="s">
        <v>129</v>
      </c>
      <c r="J138" s="10" t="s">
        <v>796</v>
      </c>
      <c r="K138" s="9" t="n">
        <v>46256</v>
      </c>
      <c r="L138" s="12" t="n">
        <f aca="true">IF($O138="","",$O138-TODAY())</f>
        <v>-68</v>
      </c>
      <c r="M138" s="12" t="n">
        <f aca="true">IF(AND(TRIM($A138)="Finalized",$K138&lt;&gt;""),"",IF($F138="","",$F138+90-TODAY()))</f>
        <v>-68</v>
      </c>
      <c r="N138" s="12" t="n">
        <f aca="true">IF(AND(TRIM($A138)="Finalized",$K138&lt;&gt;""),"",IF($D138="","",$D138+540-TODAY()))</f>
        <v>425</v>
      </c>
      <c r="O138" s="11" t="n">
        <f aca="false">IF(AND(TRIM($A138)="Finalized",$K138&lt;&gt;""),"",DATE(2026,8,9))</f>
        <v>46243</v>
      </c>
      <c r="P138" s="10" t="s">
        <v>165</v>
      </c>
      <c r="Q138" s="10" t="s">
        <v>348</v>
      </c>
      <c r="R138" s="10" t="s">
        <v>165</v>
      </c>
      <c r="S138" s="10" t="s">
        <v>149</v>
      </c>
      <c r="T138" s="10" t="s">
        <v>349</v>
      </c>
      <c r="U138" s="10" t="s">
        <v>116</v>
      </c>
      <c r="V138" s="10" t="s">
        <v>266</v>
      </c>
      <c r="W138" s="10" t="s">
        <v>434</v>
      </c>
      <c r="X138" s="10" t="s">
        <v>619</v>
      </c>
      <c r="Y138" s="10" t="s">
        <v>758</v>
      </c>
      <c r="Z138" s="10" t="s">
        <v>436</v>
      </c>
      <c r="AA138" s="10" t="s">
        <v>797</v>
      </c>
      <c r="AB138" s="8" t="n">
        <f aca="true">IF($F138="","",TODAY()-$F138)</f>
        <v>158</v>
      </c>
      <c r="AC138" s="10" t="s">
        <v>438</v>
      </c>
      <c r="AD138" s="10" t="s">
        <v>657</v>
      </c>
      <c r="AE138" s="10" t="s">
        <v>441</v>
      </c>
      <c r="AF138" s="10" t="s">
        <v>439</v>
      </c>
      <c r="AG138" s="10" t="s">
        <v>442</v>
      </c>
      <c r="AH138" s="10"/>
      <c r="AI138" s="10"/>
      <c r="AJ138" s="10" t="s">
        <v>444</v>
      </c>
      <c r="AK138" s="10" t="s">
        <v>445</v>
      </c>
      <c r="AL138" s="10" t="s">
        <v>446</v>
      </c>
      <c r="AM138" s="10"/>
      <c r="AN138" s="8"/>
      <c r="AO138" s="10" t="s">
        <v>447</v>
      </c>
      <c r="AP138" s="10" t="s">
        <v>175</v>
      </c>
      <c r="AQ138" s="11" t="n">
        <v>46182</v>
      </c>
      <c r="AR138" s="13"/>
      <c r="AS138" s="13"/>
      <c r="AT138" s="13" t="s">
        <v>798</v>
      </c>
      <c r="AU138" s="13" t="s">
        <v>464</v>
      </c>
      <c r="AV138" s="13" t="s">
        <v>799</v>
      </c>
      <c r="AW138" s="13"/>
      <c r="AX138" s="13" t="s">
        <v>800</v>
      </c>
      <c r="AY138" s="7" t="s">
        <v>354</v>
      </c>
      <c r="AZ138" s="7"/>
      <c r="BA138" s="7" t="s">
        <v>34</v>
      </c>
      <c r="BB138" s="7" t="s">
        <v>464</v>
      </c>
      <c r="BC138" s="7"/>
      <c r="BD138" s="9" t="n">
        <v>46287</v>
      </c>
      <c r="BE138" s="7"/>
      <c r="BF138" s="14" t="str">
        <f aca="true">IF(TRIM($A138)="Finalized","Closed",IF($BD138="","No review date set",IF($BD138&lt;TODAY(),"OVERDUE",IF($BD138-TODAY()&lt;=7,"Due within 7 days","Scheduled"))))</f>
        <v>OVERDUE</v>
      </c>
      <c r="BG138" s="14" t="n">
        <f aca="true">IF($K138="","",TODAY()-$K138)</f>
        <v>55</v>
      </c>
      <c r="BH138" s="15" t="str">
        <f aca="false">IFERROR(LEFT(IF($B138="","Notes, ","")&amp;IF($K138="","Latest Date Worked, ","")&amp;IF($AY138="","Last Action, ","")&amp;IF(AND(OR(TRIM($A138)="Denied",TRIM($A138)="Rejected"),$BA138=""),"Denial Reason, ","")&amp;IF(AND(TRIM($A138)="Denied",$BB138="",TRIM($BA138)&lt;&gt;"NO DENIAL"),"Denial Code, ","")&amp;IF(AND(TRIM($A138)&lt;&gt;"Finalized",$BD138=""),"Next Review Date, ","")&amp;IF(AND(TRIM($A138)&lt;&gt;"Finalized",$BE138=""),"Next Step, ","")&amp;IF(AND(TRIM($A138)="Finalized",$AV138="",$AR138="",$AT138="",$AX138="",$AW138=""),"CPT outcome, ",""),LEN(IF($B138="","Notes, ","")&amp;IF($K138="","Latest Date Worked, ","")&amp;IF($AY138="","Last Action, ","")&amp;IF(AND(OR(TRIM($A138)="Denied",TRIM($A138)="Rejected"),$BA138=""),"Denial Reason, ","")&amp;IF(AND(TRIM($A138)="Denied",$BB138="",TRIM($BA138)&lt;&gt;"NO DENIAL"),"Denial Code, ","")&amp;IF(AND(TRIM($A138)&lt;&gt;"Finalized",$BD138=""),"Next Review Date, ","")&amp;IF(AND(TRIM($A138)&lt;&gt;"Finalized",$BE138=""),"Next Step, ","")&amp;IF(AND(TRIM($A138)="Finalized",$AV138="",$AR138="",$AT138="",$AX138="",$AW138=""),"CPT outcome, ",""))-2),"")</f>
        <v>Next Step</v>
      </c>
      <c r="BI138" s="15" t="str">
        <f aca="false">IF($BB138="","",IFERROR(INDEX('Denial Codes'!$C:$C,MATCH(LEFT($BB138,FIND(" - ",$BB138&amp;" - ")+2)&amp;"*",'Denial Codes'!$A:$A,0)),""))</f>
        <v>No authorization</v>
      </c>
      <c r="BJ138" s="15" t="str">
        <f aca="false">IF($BA138="","",IFERROR(INDEX(Lists!$B:$B,MATCH(TRIM($BA138),Lists!$A:$A,0))&amp;"",""))</f>
        <v>Check the portal for an auth; request a retro-auth or file an appeal with the auth number, then resubmit.</v>
      </c>
    </row>
    <row r="139" customFormat="false" ht="15" hidden="false" customHeight="false" outlineLevel="0" collapsed="false">
      <c r="A139" s="7" t="s">
        <v>16</v>
      </c>
      <c r="B139" s="7" t="s">
        <v>801</v>
      </c>
      <c r="C139" s="8" t="n">
        <v>567453889</v>
      </c>
      <c r="D139" s="9" t="n">
        <v>46248</v>
      </c>
      <c r="E139" s="10" t="s">
        <v>802</v>
      </c>
      <c r="F139" s="11" t="n">
        <v>46154</v>
      </c>
      <c r="G139" s="10" t="s">
        <v>218</v>
      </c>
      <c r="H139" s="10" t="s">
        <v>218</v>
      </c>
      <c r="I139" s="10" t="s">
        <v>129</v>
      </c>
      <c r="J139" s="10" t="s">
        <v>803</v>
      </c>
      <c r="K139" s="9" t="n">
        <v>46237</v>
      </c>
      <c r="L139" s="12" t="str">
        <f aca="true">IF($O139="","",$O139-TODAY())</f>
        <v/>
      </c>
      <c r="M139" s="12" t="str">
        <f aca="true">IF(AND(TRIM($A139)="Finalized",$K139&lt;&gt;""),"",IF($F139="","",$F139+90-TODAY()))</f>
        <v/>
      </c>
      <c r="N139" s="12" t="str">
        <f aca="true">IF(AND(TRIM($A139)="Finalized",$K139&lt;&gt;""),"",IF($D139="","",$D139+180-TODAY()))</f>
        <v/>
      </c>
      <c r="O139" s="11" t="str">
        <f aca="false">IF(AND(TRIM($A139)="Finalized",$K139&lt;&gt;""),"",DATE(2026,8,10))</f>
        <v/>
      </c>
      <c r="P139" s="10" t="s">
        <v>165</v>
      </c>
      <c r="Q139" s="10" t="s">
        <v>220</v>
      </c>
      <c r="R139" s="10" t="s">
        <v>165</v>
      </c>
      <c r="S139" s="10" t="s">
        <v>149</v>
      </c>
      <c r="T139" s="10" t="s">
        <v>147</v>
      </c>
      <c r="U139" s="10" t="s">
        <v>116</v>
      </c>
      <c r="V139" s="10" t="s">
        <v>266</v>
      </c>
      <c r="W139" s="10" t="s">
        <v>196</v>
      </c>
      <c r="X139" s="10"/>
      <c r="Y139" s="10"/>
      <c r="Z139" s="10"/>
      <c r="AA139" s="10" t="s">
        <v>197</v>
      </c>
      <c r="AB139" s="8" t="n">
        <f aca="true">IF($F139="","",TODAY()-$F139)</f>
        <v>157</v>
      </c>
      <c r="AC139" s="10" t="s">
        <v>487</v>
      </c>
      <c r="AD139" s="10" t="s">
        <v>222</v>
      </c>
      <c r="AE139" s="10"/>
      <c r="AF139" s="10"/>
      <c r="AG139" s="10"/>
      <c r="AH139" s="10"/>
      <c r="AI139" s="10"/>
      <c r="AJ139" s="10" t="s">
        <v>804</v>
      </c>
      <c r="AK139" s="10" t="s">
        <v>267</v>
      </c>
      <c r="AL139" s="10"/>
      <c r="AM139" s="10"/>
      <c r="AN139" s="8"/>
      <c r="AO139" s="10" t="s">
        <v>201</v>
      </c>
      <c r="AP139" s="10" t="s">
        <v>202</v>
      </c>
      <c r="AQ139" s="11" t="n">
        <v>46164</v>
      </c>
      <c r="AR139" s="13"/>
      <c r="AS139" s="13"/>
      <c r="AT139" s="13"/>
      <c r="AU139" s="13"/>
      <c r="AV139" s="13" t="s">
        <v>805</v>
      </c>
      <c r="AW139" s="13"/>
      <c r="AX139" s="13" t="s">
        <v>805</v>
      </c>
      <c r="AY139" s="7" t="s">
        <v>363</v>
      </c>
      <c r="AZ139" s="7" t="s">
        <v>159</v>
      </c>
      <c r="BA139" s="7" t="s">
        <v>39</v>
      </c>
      <c r="BB139" s="7" t="s">
        <v>806</v>
      </c>
      <c r="BC139" s="7"/>
      <c r="BD139" s="9"/>
      <c r="BE139" s="7"/>
      <c r="BF139" s="14" t="str">
        <f aca="true">IF(TRIM($A139)="Finalized","Closed",IF($BD139="","No review date set",IF($BD139&lt;TODAY(),"OVERDUE",IF($BD139-TODAY()&lt;=7,"Due within 7 days","Scheduled"))))</f>
        <v>Closed</v>
      </c>
      <c r="BG139" s="14" t="n">
        <f aca="true">IF($K139="","",TODAY()-$K139)</f>
        <v>74</v>
      </c>
      <c r="BH139" s="15" t="str">
        <f aca="false">IFERROR(LEFT(IF($B139="","Notes, ","")&amp;IF($K139="","Latest Date Worked, ","")&amp;IF($AY139="","Last Action, ","")&amp;IF(AND(OR(TRIM($A139)="Denied",TRIM($A139)="Rejected"),$BA139=""),"Denial Reason, ","")&amp;IF(AND(TRIM($A139)="Denied",$BB139="",TRIM($BA139)&lt;&gt;"NO DENIAL"),"Denial Code, ","")&amp;IF(AND(TRIM($A139)&lt;&gt;"Finalized",$BD139=""),"Next Review Date, ","")&amp;IF(AND(TRIM($A139)&lt;&gt;"Finalized",$BE139=""),"Next Step, ","")&amp;IF(AND(TRIM($A139)="Finalized",$AV139="",$AR139="",$AT139="",$AX139="",$AW139=""),"CPT outcome, ",""),LEN(IF($B139="","Notes, ","")&amp;IF($K139="","Latest Date Worked, ","")&amp;IF($AY139="","Last Action, ","")&amp;IF(AND(OR(TRIM($A139)="Denied",TRIM($A139)="Rejected"),$BA139=""),"Denial Reason, ","")&amp;IF(AND(TRIM($A139)="Denied",$BB139="",TRIM($BA139)&lt;&gt;"NO DENIAL"),"Denial Code, ","")&amp;IF(AND(TRIM($A139)&lt;&gt;"Finalized",$BD139=""),"Next Review Date, ","")&amp;IF(AND(TRIM($A139)&lt;&gt;"Finalized",$BE139=""),"Next Step, ","")&amp;IF(AND(TRIM($A139)="Finalized",$AV139="",$AR139="",$AT139="",$AX139="",$AW139=""),"CPT outcome, ",""))-2),"")</f>
        <v/>
      </c>
      <c r="BI139" s="15" t="str">
        <f aca="false">IF($BB139="","",IFERROR(INDEX('Denial Codes'!$C:$C,MATCH(LEFT($BB139,FIND(" - ",$BB139&amp;" - ")+2)&amp;"*",'Denial Codes'!$A:$A,0)),""))</f>
        <v>Diagnosis issue</v>
      </c>
      <c r="BJ139" s="15" t="str">
        <f aca="false">IF($BA139="","",IFERROR(INDEX(Lists!$B:$B,MATCH(TRIM($BA139),Lists!$A:$A,0))&amp;"",""))</f>
        <v>Review the diagnosis codes and pointers with the chart; correct and resubmit.</v>
      </c>
    </row>
    <row r="140" customFormat="false" ht="15" hidden="false" customHeight="false" outlineLevel="0" collapsed="false">
      <c r="A140" s="7" t="s">
        <v>17</v>
      </c>
      <c r="B140" s="7" t="s">
        <v>807</v>
      </c>
      <c r="C140" s="8" t="n">
        <v>568203238</v>
      </c>
      <c r="D140" s="9" t="n">
        <v>46276</v>
      </c>
      <c r="E140" s="10" t="s">
        <v>808</v>
      </c>
      <c r="F140" s="11" t="n">
        <v>46155</v>
      </c>
      <c r="G140" s="10" t="s">
        <v>369</v>
      </c>
      <c r="H140" s="10" t="s">
        <v>369</v>
      </c>
      <c r="I140" s="10" t="s">
        <v>129</v>
      </c>
      <c r="J140" s="10" t="s">
        <v>809</v>
      </c>
      <c r="K140" s="9" t="n">
        <v>46244</v>
      </c>
      <c r="L140" s="12" t="n">
        <f aca="true">IF($O140="","",$O140-TODAY())</f>
        <v>-66</v>
      </c>
      <c r="M140" s="12" t="n">
        <f aca="true">IF(AND(TRIM($A140)="Finalized",$K140&lt;&gt;""),"",IF($D140="","",$D140+365-TODAY()))</f>
        <v>330</v>
      </c>
      <c r="N140" s="12" t="n">
        <f aca="true">IF(AND(TRIM($A140)="Finalized",$K140&lt;&gt;""),"",IF($D140="","",$D140+365-TODAY()))</f>
        <v>330</v>
      </c>
      <c r="O140" s="11" t="n">
        <f aca="false">IF(AND(TRIM($A140)="Finalized",$K140&lt;&gt;""),"",DATE(2026,8,11))</f>
        <v>46245</v>
      </c>
      <c r="P140" s="10" t="s">
        <v>165</v>
      </c>
      <c r="Q140" s="10" t="s">
        <v>371</v>
      </c>
      <c r="R140" s="10" t="s">
        <v>114</v>
      </c>
      <c r="S140" s="10" t="s">
        <v>116</v>
      </c>
      <c r="T140" s="10" t="s">
        <v>114</v>
      </c>
      <c r="U140" s="10" t="s">
        <v>116</v>
      </c>
      <c r="V140" s="10" t="s">
        <v>266</v>
      </c>
      <c r="W140" s="10" t="s">
        <v>132</v>
      </c>
      <c r="X140" s="10" t="s">
        <v>134</v>
      </c>
      <c r="Y140" s="10"/>
      <c r="Z140" s="10"/>
      <c r="AA140" s="10" t="s">
        <v>197</v>
      </c>
      <c r="AB140" s="8" t="n">
        <f aca="true">IF($F140="","",TODAY()-$F140)</f>
        <v>156</v>
      </c>
      <c r="AC140" s="10" t="s">
        <v>136</v>
      </c>
      <c r="AD140" s="10" t="s">
        <v>137</v>
      </c>
      <c r="AE140" s="10" t="s">
        <v>524</v>
      </c>
      <c r="AF140" s="10" t="s">
        <v>137</v>
      </c>
      <c r="AG140" s="10"/>
      <c r="AH140" s="10"/>
      <c r="AI140" s="10"/>
      <c r="AJ140" s="10" t="s">
        <v>810</v>
      </c>
      <c r="AK140" s="10" t="s">
        <v>811</v>
      </c>
      <c r="AL140" s="10" t="s">
        <v>812</v>
      </c>
      <c r="AM140" s="10" t="s">
        <v>813</v>
      </c>
      <c r="AN140" s="8"/>
      <c r="AO140" s="10" t="s">
        <v>255</v>
      </c>
      <c r="AP140" s="10" t="s">
        <v>175</v>
      </c>
      <c r="AQ140" s="11" t="n">
        <v>46161</v>
      </c>
      <c r="AR140" s="13"/>
      <c r="AS140" s="13"/>
      <c r="AT140" s="13"/>
      <c r="AU140" s="13"/>
      <c r="AV140" s="13"/>
      <c r="AW140" s="13"/>
      <c r="AX140" s="13" t="s">
        <v>663</v>
      </c>
      <c r="AY140" s="7" t="s">
        <v>159</v>
      </c>
      <c r="AZ140" s="7"/>
      <c r="BA140" s="7" t="s">
        <v>37</v>
      </c>
      <c r="BB140" s="7"/>
      <c r="BC140" s="7"/>
      <c r="BD140" s="9" t="n">
        <v>46275</v>
      </c>
      <c r="BE140" s="7"/>
      <c r="BF140" s="14" t="str">
        <f aca="true">IF(TRIM($A140)="Finalized","Closed",IF($BD140="","No review date set",IF($BD140&lt;TODAY(),"OVERDUE",IF($BD140-TODAY()&lt;=7,"Due within 7 days","Scheduled"))))</f>
        <v>OVERDUE</v>
      </c>
      <c r="BG140" s="14" t="n">
        <f aca="true">IF($K140="","",TODAY()-$K140)</f>
        <v>67</v>
      </c>
      <c r="BH140" s="15" t="str">
        <f aca="false">IFERROR(LEFT(IF($B140="","Notes, ","")&amp;IF($K140="","Latest Date Worked, ","")&amp;IF($AY140="","Last Action, ","")&amp;IF(AND(OR(TRIM($A140)="Denied",TRIM($A140)="Rejected"),$BA140=""),"Denial Reason, ","")&amp;IF(AND(TRIM($A140)="Denied",$BB140="",TRIM($BA140)&lt;&gt;"NO DENIAL"),"Denial Code, ","")&amp;IF(AND(TRIM($A140)&lt;&gt;"Finalized",$BD140=""),"Next Review Date, ","")&amp;IF(AND(TRIM($A140)&lt;&gt;"Finalized",$BE140=""),"Next Step, ","")&amp;IF(AND(TRIM($A140)="Finalized",$AV140="",$AR140="",$AT140="",$AX140="",$AW140=""),"CPT outcome, ",""),LEN(IF($B140="","Notes, ","")&amp;IF($K140="","Latest Date Worked, ","")&amp;IF($AY140="","Last Action, ","")&amp;IF(AND(OR(TRIM($A140)="Denied",TRIM($A140)="Rejected"),$BA140=""),"Denial Reason, ","")&amp;IF(AND(TRIM($A140)="Denied",$BB140="",TRIM($BA140)&lt;&gt;"NO DENIAL"),"Denial Code, ","")&amp;IF(AND(TRIM($A140)&lt;&gt;"Finalized",$BD140=""),"Next Review Date, ","")&amp;IF(AND(TRIM($A140)&lt;&gt;"Finalized",$BE140=""),"Next Step, ","")&amp;IF(AND(TRIM($A140)="Finalized",$AV140="",$AR140="",$AT140="",$AX140="",$AW140=""),"CPT outcome, ",""))-2),"")</f>
        <v>Denial Code, Next Step</v>
      </c>
      <c r="BI140" s="15" t="str">
        <f aca="false">IF($BB140="","",IFERROR(INDEX('Denial Codes'!$C:$C,MATCH(LEFT($BB140,FIND(" - ",$BB140&amp;" - ")+2)&amp;"*",'Denial Codes'!$A:$A,0)),""))</f>
        <v/>
      </c>
      <c r="BJ140" s="15" t="str">
        <f aca="false">IF($BA140="","",IFERROR(INDEX(Lists!$B:$B,MATCH(TRIM($BA140),Lists!$A:$A,0))&amp;"",""))</f>
        <v>Check the NCCI pair; if the service was distinct, add 59/XU (or XS) and resubmit; otherwise adjust.</v>
      </c>
    </row>
    <row r="141" customFormat="false" ht="15" hidden="false" customHeight="false" outlineLevel="0" collapsed="false">
      <c r="A141" s="7" t="s">
        <v>17</v>
      </c>
      <c r="B141" s="7" t="s">
        <v>203</v>
      </c>
      <c r="C141" s="8" t="n">
        <v>560081393</v>
      </c>
      <c r="D141" s="9" t="n">
        <v>46170</v>
      </c>
      <c r="E141" s="10" t="s">
        <v>814</v>
      </c>
      <c r="F141" s="11" t="n">
        <v>46155</v>
      </c>
      <c r="G141" s="10" t="s">
        <v>180</v>
      </c>
      <c r="H141" s="10" t="s">
        <v>180</v>
      </c>
      <c r="I141" s="10" t="s">
        <v>129</v>
      </c>
      <c r="J141" s="10" t="s">
        <v>815</v>
      </c>
      <c r="K141" s="9" t="n">
        <v>46245</v>
      </c>
      <c r="L141" s="12" t="n">
        <f aca="true">IF($O141="","",$O141-TODAY())</f>
        <v>-66</v>
      </c>
      <c r="M141" s="12" t="n">
        <f aca="true">IF(AND(TRIM($A141)="Finalized",$K141&lt;&gt;""),"",IF($D141="","",$D141+180-TODAY()))</f>
        <v>39</v>
      </c>
      <c r="N141" s="12" t="n">
        <f aca="true">IF(AND(TRIM($A141)="Finalized",$K141&lt;&gt;""),"",IF($D141="","",$D141+365-TODAY()))</f>
        <v>224</v>
      </c>
      <c r="O141" s="11" t="n">
        <f aca="false">IF(AND(TRIM($A141)="Finalized",$K141&lt;&gt;""),"",DATE(2026,8,11))</f>
        <v>46245</v>
      </c>
      <c r="P141" s="10" t="s">
        <v>165</v>
      </c>
      <c r="Q141" s="10" t="s">
        <v>182</v>
      </c>
      <c r="R141" s="10" t="s">
        <v>147</v>
      </c>
      <c r="S141" s="10" t="s">
        <v>116</v>
      </c>
      <c r="T141" s="10" t="s">
        <v>114</v>
      </c>
      <c r="U141" s="10" t="s">
        <v>116</v>
      </c>
      <c r="V141" s="10" t="s">
        <v>266</v>
      </c>
      <c r="W141" s="10" t="s">
        <v>196</v>
      </c>
      <c r="X141" s="10"/>
      <c r="Y141" s="10"/>
      <c r="Z141" s="10"/>
      <c r="AA141" s="10" t="s">
        <v>197</v>
      </c>
      <c r="AB141" s="8" t="n">
        <f aca="true">IF($F141="","",TODAY()-$F141)</f>
        <v>156</v>
      </c>
      <c r="AC141" s="10" t="s">
        <v>487</v>
      </c>
      <c r="AD141" s="10" t="s">
        <v>198</v>
      </c>
      <c r="AE141" s="10" t="s">
        <v>222</v>
      </c>
      <c r="AF141" s="10"/>
      <c r="AG141" s="10"/>
      <c r="AH141" s="10"/>
      <c r="AI141" s="10"/>
      <c r="AJ141" s="10" t="s">
        <v>350</v>
      </c>
      <c r="AK141" s="10" t="s">
        <v>414</v>
      </c>
      <c r="AL141" s="10" t="s">
        <v>415</v>
      </c>
      <c r="AM141" s="10"/>
      <c r="AN141" s="8"/>
      <c r="AO141" s="10" t="s">
        <v>255</v>
      </c>
      <c r="AP141" s="10" t="s">
        <v>268</v>
      </c>
      <c r="AQ141" s="11" t="n">
        <v>46164</v>
      </c>
      <c r="AR141" s="13"/>
      <c r="AS141" s="13"/>
      <c r="AT141" s="13"/>
      <c r="AU141" s="13"/>
      <c r="AV141" s="13" t="s">
        <v>222</v>
      </c>
      <c r="AW141" s="13"/>
      <c r="AX141" s="13" t="s">
        <v>816</v>
      </c>
      <c r="AY141" s="7" t="s">
        <v>203</v>
      </c>
      <c r="AZ141" s="7"/>
      <c r="BA141" s="7" t="s">
        <v>36</v>
      </c>
      <c r="BB141" s="7" t="s">
        <v>204</v>
      </c>
      <c r="BC141" s="7" t="s">
        <v>817</v>
      </c>
      <c r="BD141" s="9" t="n">
        <v>46276</v>
      </c>
      <c r="BE141" s="7"/>
      <c r="BF141" s="14" t="str">
        <f aca="true">IF(TRIM($A141)="Finalized","Closed",IF($BD141="","No review date set",IF($BD141&lt;TODAY(),"OVERDUE",IF($BD141-TODAY()&lt;=7,"Due within 7 days","Scheduled"))))</f>
        <v>OVERDUE</v>
      </c>
      <c r="BG141" s="14" t="n">
        <f aca="true">IF($K141="","",TODAY()-$K141)</f>
        <v>66</v>
      </c>
      <c r="BH141" s="15" t="str">
        <f aca="false">IFERROR(LEFT(IF($B141="","Notes, ","")&amp;IF($K141="","Latest Date Worked, ","")&amp;IF($AY141="","Last Action, ","")&amp;IF(AND(OR(TRIM($A141)="Denied",TRIM($A141)="Rejected"),$BA141=""),"Denial Reason, ","")&amp;IF(AND(TRIM($A141)="Denied",$BB141="",TRIM($BA141)&lt;&gt;"NO DENIAL"),"Denial Code, ","")&amp;IF(AND(TRIM($A141)&lt;&gt;"Finalized",$BD141=""),"Next Review Date, ","")&amp;IF(AND(TRIM($A141)&lt;&gt;"Finalized",$BE141=""),"Next Step, ","")&amp;IF(AND(TRIM($A141)="Finalized",$AV141="",$AR141="",$AT141="",$AX141="",$AW141=""),"CPT outcome, ",""),LEN(IF($B141="","Notes, ","")&amp;IF($K141="","Latest Date Worked, ","")&amp;IF($AY141="","Last Action, ","")&amp;IF(AND(OR(TRIM($A141)="Denied",TRIM($A141)="Rejected"),$BA141=""),"Denial Reason, ","")&amp;IF(AND(TRIM($A141)="Denied",$BB141="",TRIM($BA141)&lt;&gt;"NO DENIAL"),"Denial Code, ","")&amp;IF(AND(TRIM($A141)&lt;&gt;"Finalized",$BD141=""),"Next Review Date, ","")&amp;IF(AND(TRIM($A141)&lt;&gt;"Finalized",$BE141=""),"Next Step, ","")&amp;IF(AND(TRIM($A141)="Finalized",$AV141="",$AR141="",$AT141="",$AX141="",$AW141=""),"CPT outcome, ",""))-2),"")</f>
        <v>Next Step</v>
      </c>
      <c r="BI141" s="15" t="str">
        <f aca="false">IF($BB141="","",IFERROR(INDEX('Denial Codes'!$C:$C,MATCH(LEFT($BB141,FIND(" - ",$BB141&amp;" - ")+2)&amp;"*",'Denial Codes'!$A:$A,0)),""))</f>
        <v>Medical records needed</v>
      </c>
      <c r="BJ141" s="15" t="str">
        <f aca="false">IF($BA141="","",IFERROR(INDEX(Lists!$B:$B,MATCH(TRIM($BA141),Lists!$A:$A,0))&amp;"",""))</f>
        <v>Upload the MR on the payer portal, note the PIQ/reference number and set a review date.</v>
      </c>
    </row>
    <row r="142" customFormat="false" ht="15" hidden="false" customHeight="false" outlineLevel="0" collapsed="false">
      <c r="A142" s="7" t="s">
        <v>16</v>
      </c>
      <c r="B142" s="7" t="s">
        <v>475</v>
      </c>
      <c r="C142" s="8" t="n">
        <v>559331282</v>
      </c>
      <c r="D142" s="9"/>
      <c r="E142" s="10" t="s">
        <v>818</v>
      </c>
      <c r="F142" s="11" t="n">
        <v>46156</v>
      </c>
      <c r="G142" s="10" t="s">
        <v>180</v>
      </c>
      <c r="H142" s="10" t="s">
        <v>180</v>
      </c>
      <c r="I142" s="10" t="s">
        <v>129</v>
      </c>
      <c r="J142" s="10" t="s">
        <v>209</v>
      </c>
      <c r="K142" s="9" t="n">
        <v>46244</v>
      </c>
      <c r="L142" s="12" t="str">
        <f aca="true">IF($O142="","",$O142-TODAY())</f>
        <v/>
      </c>
      <c r="M142" s="12" t="str">
        <f aca="true">IF(AND(TRIM($A142)="Finalized",$K142&lt;&gt;""),"",IF($D142="","",$D142+180-TODAY()))</f>
        <v/>
      </c>
      <c r="N142" s="12" t="str">
        <f aca="true">IF(AND(TRIM($A142)="Finalized",$K142&lt;&gt;""),"",IF($D142="","",$D142+365-TODAY()))</f>
        <v/>
      </c>
      <c r="O142" s="11" t="str">
        <f aca="false">IF(AND(TRIM($A142)="Finalized",$K142&lt;&gt;""),"",DATE(2026,8,12))</f>
        <v/>
      </c>
      <c r="P142" s="10" t="s">
        <v>165</v>
      </c>
      <c r="Q142" s="10" t="s">
        <v>182</v>
      </c>
      <c r="R142" s="10" t="s">
        <v>147</v>
      </c>
      <c r="S142" s="10" t="s">
        <v>116</v>
      </c>
      <c r="T142" s="10" t="s">
        <v>114</v>
      </c>
      <c r="U142" s="10" t="s">
        <v>116</v>
      </c>
      <c r="V142" s="10" t="s">
        <v>266</v>
      </c>
      <c r="W142" s="10" t="s">
        <v>183</v>
      </c>
      <c r="X142" s="10"/>
      <c r="Y142" s="10"/>
      <c r="Z142" s="10"/>
      <c r="AA142" s="10" t="s">
        <v>197</v>
      </c>
      <c r="AB142" s="8" t="n">
        <f aca="true">IF($F142="","",TODAY()-$F142)</f>
        <v>155</v>
      </c>
      <c r="AC142" s="10" t="s">
        <v>184</v>
      </c>
      <c r="AD142" s="10" t="s">
        <v>211</v>
      </c>
      <c r="AE142" s="10"/>
      <c r="AF142" s="10"/>
      <c r="AG142" s="10"/>
      <c r="AH142" s="10"/>
      <c r="AI142" s="10"/>
      <c r="AJ142" s="10" t="s">
        <v>819</v>
      </c>
      <c r="AK142" s="10"/>
      <c r="AL142" s="10"/>
      <c r="AM142" s="10"/>
      <c r="AN142" s="8"/>
      <c r="AO142" s="10" t="s">
        <v>341</v>
      </c>
      <c r="AP142" s="10" t="s">
        <v>188</v>
      </c>
      <c r="AQ142" s="11" t="n">
        <v>46180</v>
      </c>
      <c r="AR142" s="13"/>
      <c r="AS142" s="13"/>
      <c r="AT142" s="13"/>
      <c r="AU142" s="13"/>
      <c r="AV142" s="13" t="s">
        <v>659</v>
      </c>
      <c r="AW142" s="13"/>
      <c r="AX142" s="13" t="s">
        <v>659</v>
      </c>
      <c r="AY142" s="7" t="s">
        <v>363</v>
      </c>
      <c r="AZ142" s="7" t="s">
        <v>203</v>
      </c>
      <c r="BA142" s="7" t="s">
        <v>36</v>
      </c>
      <c r="BB142" s="7" t="s">
        <v>204</v>
      </c>
      <c r="BC142" s="7" t="s">
        <v>820</v>
      </c>
      <c r="BD142" s="9"/>
      <c r="BE142" s="7"/>
      <c r="BF142" s="14" t="str">
        <f aca="true">IF(TRIM($A142)="Finalized","Closed",IF($BD142="","No review date set",IF($BD142&lt;TODAY(),"OVERDUE",IF($BD142-TODAY()&lt;=7,"Due within 7 days","Scheduled"))))</f>
        <v>Closed</v>
      </c>
      <c r="BG142" s="14" t="n">
        <f aca="true">IF($K142="","",TODAY()-$K142)</f>
        <v>67</v>
      </c>
      <c r="BH142" s="15" t="str">
        <f aca="false">IFERROR(LEFT(IF($B142="","Notes, ","")&amp;IF($K142="","Latest Date Worked, ","")&amp;IF($AY142="","Last Action, ","")&amp;IF(AND(OR(TRIM($A142)="Denied",TRIM($A142)="Rejected"),$BA142=""),"Denial Reason, ","")&amp;IF(AND(TRIM($A142)="Denied",$BB142="",TRIM($BA142)&lt;&gt;"NO DENIAL"),"Denial Code, ","")&amp;IF(AND(TRIM($A142)&lt;&gt;"Finalized",$BD142=""),"Next Review Date, ","")&amp;IF(AND(TRIM($A142)&lt;&gt;"Finalized",$BE142=""),"Next Step, ","")&amp;IF(AND(TRIM($A142)="Finalized",$AV142="",$AR142="",$AT142="",$AX142="",$AW142=""),"CPT outcome, ",""),LEN(IF($B142="","Notes, ","")&amp;IF($K142="","Latest Date Worked, ","")&amp;IF($AY142="","Last Action, ","")&amp;IF(AND(OR(TRIM($A142)="Denied",TRIM($A142)="Rejected"),$BA142=""),"Denial Reason, ","")&amp;IF(AND(TRIM($A142)="Denied",$BB142="",TRIM($BA142)&lt;&gt;"NO DENIAL"),"Denial Code, ","")&amp;IF(AND(TRIM($A142)&lt;&gt;"Finalized",$BD142=""),"Next Review Date, ","")&amp;IF(AND(TRIM($A142)&lt;&gt;"Finalized",$BE142=""),"Next Step, ","")&amp;IF(AND(TRIM($A142)="Finalized",$AV142="",$AR142="",$AT142="",$AX142="",$AW142=""),"CPT outcome, ",""))-2),"")</f>
        <v/>
      </c>
      <c r="BI142" s="15" t="str">
        <f aca="false">IF($BB142="","",IFERROR(INDEX('Denial Codes'!$C:$C,MATCH(LEFT($BB142,FIND(" - ",$BB142&amp;" - ")+2)&amp;"*",'Denial Codes'!$A:$A,0)),""))</f>
        <v>Medical records needed</v>
      </c>
      <c r="BJ142" s="15" t="str">
        <f aca="false">IF($BA142="","",IFERROR(INDEX(Lists!$B:$B,MATCH(TRIM($BA142),Lists!$A:$A,0))&amp;"",""))</f>
        <v>Upload the MR on the payer portal, note the PIQ/reference number and set a review date.</v>
      </c>
    </row>
    <row r="143" customFormat="false" ht="15" hidden="false" customHeight="false" outlineLevel="0" collapsed="false">
      <c r="A143" s="7" t="s">
        <v>16</v>
      </c>
      <c r="B143" s="7" t="s">
        <v>475</v>
      </c>
      <c r="C143" s="8" t="n">
        <v>559334288</v>
      </c>
      <c r="D143" s="9"/>
      <c r="E143" s="10" t="s">
        <v>821</v>
      </c>
      <c r="F143" s="11" t="n">
        <v>46156</v>
      </c>
      <c r="G143" s="10" t="s">
        <v>180</v>
      </c>
      <c r="H143" s="10" t="s">
        <v>180</v>
      </c>
      <c r="I143" s="10" t="s">
        <v>129</v>
      </c>
      <c r="J143" s="10" t="s">
        <v>181</v>
      </c>
      <c r="K143" s="9" t="n">
        <v>46244</v>
      </c>
      <c r="L143" s="12" t="str">
        <f aca="true">IF($O143="","",$O143-TODAY())</f>
        <v/>
      </c>
      <c r="M143" s="12" t="str">
        <f aca="true">IF(AND(TRIM($A143)="Finalized",$K143&lt;&gt;""),"",IF($D143="","",$D143+180-TODAY()))</f>
        <v/>
      </c>
      <c r="N143" s="12" t="str">
        <f aca="true">IF(AND(TRIM($A143)="Finalized",$K143&lt;&gt;""),"",IF($D143="","",$D143+365-TODAY()))</f>
        <v/>
      </c>
      <c r="O143" s="11" t="str">
        <f aca="false">IF(AND(TRIM($A143)="Finalized",$K143&lt;&gt;""),"",DATE(2026,8,12))</f>
        <v/>
      </c>
      <c r="P143" s="10" t="s">
        <v>165</v>
      </c>
      <c r="Q143" s="10" t="s">
        <v>182</v>
      </c>
      <c r="R143" s="10" t="s">
        <v>147</v>
      </c>
      <c r="S143" s="10" t="s">
        <v>116</v>
      </c>
      <c r="T143" s="10" t="s">
        <v>114</v>
      </c>
      <c r="U143" s="10" t="s">
        <v>116</v>
      </c>
      <c r="V143" s="10" t="s">
        <v>266</v>
      </c>
      <c r="W143" s="10" t="s">
        <v>183</v>
      </c>
      <c r="X143" s="10"/>
      <c r="Y143" s="10"/>
      <c r="Z143" s="10"/>
      <c r="AA143" s="10" t="s">
        <v>197</v>
      </c>
      <c r="AB143" s="8" t="n">
        <f aca="true">IF($F143="","",TODAY()-$F143)</f>
        <v>155</v>
      </c>
      <c r="AC143" s="10" t="s">
        <v>184</v>
      </c>
      <c r="AD143" s="10" t="s">
        <v>185</v>
      </c>
      <c r="AE143" s="10"/>
      <c r="AF143" s="10"/>
      <c r="AG143" s="10"/>
      <c r="AH143" s="10"/>
      <c r="AI143" s="10"/>
      <c r="AJ143" s="10" t="s">
        <v>340</v>
      </c>
      <c r="AK143" s="10"/>
      <c r="AL143" s="10"/>
      <c r="AM143" s="10"/>
      <c r="AN143" s="8"/>
      <c r="AO143" s="10" t="s">
        <v>341</v>
      </c>
      <c r="AP143" s="10" t="s">
        <v>188</v>
      </c>
      <c r="AQ143" s="11" t="n">
        <v>46180</v>
      </c>
      <c r="AR143" s="13"/>
      <c r="AS143" s="13"/>
      <c r="AT143" s="13"/>
      <c r="AU143" s="13"/>
      <c r="AV143" s="13" t="s">
        <v>507</v>
      </c>
      <c r="AW143" s="13"/>
      <c r="AX143" s="13" t="s">
        <v>507</v>
      </c>
      <c r="AY143" s="7" t="s">
        <v>363</v>
      </c>
      <c r="AZ143" s="7" t="s">
        <v>203</v>
      </c>
      <c r="BA143" s="7" t="s">
        <v>36</v>
      </c>
      <c r="BB143" s="7" t="s">
        <v>204</v>
      </c>
      <c r="BC143" s="7" t="s">
        <v>822</v>
      </c>
      <c r="BD143" s="9"/>
      <c r="BE143" s="7"/>
      <c r="BF143" s="14" t="str">
        <f aca="true">IF(TRIM($A143)="Finalized","Closed",IF($BD143="","No review date set",IF($BD143&lt;TODAY(),"OVERDUE",IF($BD143-TODAY()&lt;=7,"Due within 7 days","Scheduled"))))</f>
        <v>Closed</v>
      </c>
      <c r="BG143" s="14" t="n">
        <f aca="true">IF($K143="","",TODAY()-$K143)</f>
        <v>67</v>
      </c>
      <c r="BH143" s="15" t="str">
        <f aca="false">IFERROR(LEFT(IF($B143="","Notes, ","")&amp;IF($K143="","Latest Date Worked, ","")&amp;IF($AY143="","Last Action, ","")&amp;IF(AND(OR(TRIM($A143)="Denied",TRIM($A143)="Rejected"),$BA143=""),"Denial Reason, ","")&amp;IF(AND(TRIM($A143)="Denied",$BB143="",TRIM($BA143)&lt;&gt;"NO DENIAL"),"Denial Code, ","")&amp;IF(AND(TRIM($A143)&lt;&gt;"Finalized",$BD143=""),"Next Review Date, ","")&amp;IF(AND(TRIM($A143)&lt;&gt;"Finalized",$BE143=""),"Next Step, ","")&amp;IF(AND(TRIM($A143)="Finalized",$AV143="",$AR143="",$AT143="",$AX143="",$AW143=""),"CPT outcome, ",""),LEN(IF($B143="","Notes, ","")&amp;IF($K143="","Latest Date Worked, ","")&amp;IF($AY143="","Last Action, ","")&amp;IF(AND(OR(TRIM($A143)="Denied",TRIM($A143)="Rejected"),$BA143=""),"Denial Reason, ","")&amp;IF(AND(TRIM($A143)="Denied",$BB143="",TRIM($BA143)&lt;&gt;"NO DENIAL"),"Denial Code, ","")&amp;IF(AND(TRIM($A143)&lt;&gt;"Finalized",$BD143=""),"Next Review Date, ","")&amp;IF(AND(TRIM($A143)&lt;&gt;"Finalized",$BE143=""),"Next Step, ","")&amp;IF(AND(TRIM($A143)="Finalized",$AV143="",$AR143="",$AT143="",$AX143="",$AW143=""),"CPT outcome, ",""))-2),"")</f>
        <v/>
      </c>
      <c r="BI143" s="15" t="str">
        <f aca="false">IF($BB143="","",IFERROR(INDEX('Denial Codes'!$C:$C,MATCH(LEFT($BB143,FIND(" - ",$BB143&amp;" - ")+2)&amp;"*",'Denial Codes'!$A:$A,0)),""))</f>
        <v>Medical records needed</v>
      </c>
      <c r="BJ143" s="15" t="str">
        <f aca="false">IF($BA143="","",IFERROR(INDEX(Lists!$B:$B,MATCH(TRIM($BA143),Lists!$A:$A,0))&amp;"",""))</f>
        <v>Upload the MR on the payer portal, note the PIQ/reference number and set a review date.</v>
      </c>
    </row>
    <row r="144" customFormat="false" ht="15" hidden="false" customHeight="false" outlineLevel="0" collapsed="false">
      <c r="A144" s="7" t="s">
        <v>16</v>
      </c>
      <c r="B144" s="7" t="s">
        <v>823</v>
      </c>
      <c r="C144" s="8" t="n">
        <v>559356030</v>
      </c>
      <c r="D144" s="9" t="n">
        <v>46170</v>
      </c>
      <c r="E144" s="10" t="s">
        <v>824</v>
      </c>
      <c r="F144" s="11" t="n">
        <v>46156</v>
      </c>
      <c r="G144" s="10" t="s">
        <v>218</v>
      </c>
      <c r="H144" s="10" t="s">
        <v>218</v>
      </c>
      <c r="I144" s="10" t="s">
        <v>129</v>
      </c>
      <c r="J144" s="10" t="s">
        <v>244</v>
      </c>
      <c r="K144" s="9" t="n">
        <v>46247</v>
      </c>
      <c r="L144" s="12" t="str">
        <f aca="true">IF($O144="","",$O144-TODAY())</f>
        <v/>
      </c>
      <c r="M144" s="12" t="str">
        <f aca="true">IF(AND(TRIM($A144)="Finalized",$K144&lt;&gt;""),"",IF($F144="","",$F144+90-TODAY()))</f>
        <v/>
      </c>
      <c r="N144" s="12" t="str">
        <f aca="true">IF(AND(TRIM($A144)="Finalized",$K144&lt;&gt;""),"",IF($D144="","",$D144+180-TODAY()))</f>
        <v/>
      </c>
      <c r="O144" s="11" t="str">
        <f aca="false">IF(AND(TRIM($A144)="Finalized",$K144&lt;&gt;""),"",DATE(2026,8,12))</f>
        <v/>
      </c>
      <c r="P144" s="10" t="s">
        <v>165</v>
      </c>
      <c r="Q144" s="10" t="s">
        <v>220</v>
      </c>
      <c r="R144" s="10" t="s">
        <v>165</v>
      </c>
      <c r="S144" s="10" t="s">
        <v>149</v>
      </c>
      <c r="T144" s="10" t="s">
        <v>147</v>
      </c>
      <c r="U144" s="10" t="s">
        <v>116</v>
      </c>
      <c r="V144" s="10" t="s">
        <v>266</v>
      </c>
      <c r="W144" s="10" t="s">
        <v>132</v>
      </c>
      <c r="X144" s="10"/>
      <c r="Y144" s="10"/>
      <c r="Z144" s="10"/>
      <c r="AA144" s="10" t="s">
        <v>197</v>
      </c>
      <c r="AB144" s="8" t="n">
        <f aca="true">IF($F144="","",TODAY()-$F144)</f>
        <v>155</v>
      </c>
      <c r="AC144" s="10" t="s">
        <v>246</v>
      </c>
      <c r="AD144" s="10"/>
      <c r="AE144" s="10"/>
      <c r="AF144" s="10"/>
      <c r="AG144" s="10"/>
      <c r="AH144" s="10"/>
      <c r="AI144" s="10"/>
      <c r="AJ144" s="10" t="s">
        <v>124</v>
      </c>
      <c r="AK144" s="10"/>
      <c r="AL144" s="10"/>
      <c r="AM144" s="10"/>
      <c r="AN144" s="8"/>
      <c r="AO144" s="10" t="s">
        <v>506</v>
      </c>
      <c r="AP144" s="10" t="s">
        <v>175</v>
      </c>
      <c r="AQ144" s="11" t="n">
        <v>46160</v>
      </c>
      <c r="AR144" s="13"/>
      <c r="AS144" s="13"/>
      <c r="AT144" s="13"/>
      <c r="AU144" s="13"/>
      <c r="AV144" s="13" t="s">
        <v>825</v>
      </c>
      <c r="AW144" s="13"/>
      <c r="AX144" s="13" t="s">
        <v>826</v>
      </c>
      <c r="AY144" s="7" t="s">
        <v>363</v>
      </c>
      <c r="AZ144" s="7" t="s">
        <v>159</v>
      </c>
      <c r="BA144" s="7" t="s">
        <v>40</v>
      </c>
      <c r="BB144" s="7" t="s">
        <v>416</v>
      </c>
      <c r="BC144" s="7"/>
      <c r="BD144" s="9"/>
      <c r="BE144" s="7"/>
      <c r="BF144" s="14" t="str">
        <f aca="true">IF(TRIM($A144)="Finalized","Closed",IF($BD144="","No review date set",IF($BD144&lt;TODAY(),"OVERDUE",IF($BD144-TODAY()&lt;=7,"Due within 7 days","Scheduled"))))</f>
        <v>Closed</v>
      </c>
      <c r="BG144" s="14" t="n">
        <f aca="true">IF($K144="","",TODAY()-$K144)</f>
        <v>64</v>
      </c>
      <c r="BH144" s="15" t="str">
        <f aca="false">IFERROR(LEFT(IF($B144="","Notes, ","")&amp;IF($K144="","Latest Date Worked, ","")&amp;IF($AY144="","Last Action, ","")&amp;IF(AND(OR(TRIM($A144)="Denied",TRIM($A144)="Rejected"),$BA144=""),"Denial Reason, ","")&amp;IF(AND(TRIM($A144)="Denied",$BB144="",TRIM($BA144)&lt;&gt;"NO DENIAL"),"Denial Code, ","")&amp;IF(AND(TRIM($A144)&lt;&gt;"Finalized",$BD144=""),"Next Review Date, ","")&amp;IF(AND(TRIM($A144)&lt;&gt;"Finalized",$BE144=""),"Next Step, ","")&amp;IF(AND(TRIM($A144)="Finalized",$AV144="",$AR144="",$AT144="",$AX144="",$AW144=""),"CPT outcome, ",""),LEN(IF($B144="","Notes, ","")&amp;IF($K144="","Latest Date Worked, ","")&amp;IF($AY144="","Last Action, ","")&amp;IF(AND(OR(TRIM($A144)="Denied",TRIM($A144)="Rejected"),$BA144=""),"Denial Reason, ","")&amp;IF(AND(TRIM($A144)="Denied",$BB144="",TRIM($BA144)&lt;&gt;"NO DENIAL"),"Denial Code, ","")&amp;IF(AND(TRIM($A144)&lt;&gt;"Finalized",$BD144=""),"Next Review Date, ","")&amp;IF(AND(TRIM($A144)&lt;&gt;"Finalized",$BE144=""),"Next Step, ","")&amp;IF(AND(TRIM($A144)="Finalized",$AV144="",$AR144="",$AT144="",$AX144="",$AW144=""),"CPT outcome, ",""))-2),"")</f>
        <v/>
      </c>
      <c r="BI144" s="15" t="str">
        <f aca="false">IF($BB144="","",IFERROR(INDEX('Denial Codes'!$C:$C,MATCH(LEFT($BB144,FIND(" - ",$BB144&amp;" - ")+2)&amp;"*",'Denial Codes'!$A:$A,0)),""))</f>
        <v>Medical necessity / frequency</v>
      </c>
      <c r="BJ144" s="15" t="str">
        <f aca="false">IF($BA144="","",IFERROR(INDEX(Lists!$B:$B,MATCH(TRIM($BA144),Lists!$A:$A,0))&amp;"",""))</f>
        <v>Fix the code, units, charge or other claim data and resubmit as a corrected claim.</v>
      </c>
    </row>
    <row r="145" customFormat="false" ht="15" hidden="false" customHeight="false" outlineLevel="0" collapsed="false">
      <c r="A145" s="7" t="s">
        <v>18</v>
      </c>
      <c r="B145" s="7" t="s">
        <v>827</v>
      </c>
      <c r="C145" s="8" t="n">
        <v>568211905</v>
      </c>
      <c r="D145" s="9" t="n">
        <v>46275</v>
      </c>
      <c r="E145" s="10" t="s">
        <v>808</v>
      </c>
      <c r="F145" s="11" t="n">
        <v>46157</v>
      </c>
      <c r="G145" s="10" t="s">
        <v>369</v>
      </c>
      <c r="H145" s="10" t="s">
        <v>369</v>
      </c>
      <c r="I145" s="10" t="s">
        <v>828</v>
      </c>
      <c r="J145" s="10" t="s">
        <v>261</v>
      </c>
      <c r="K145" s="9" t="n">
        <v>46244</v>
      </c>
      <c r="L145" s="12" t="n">
        <f aca="true">IF($O145="","",$O145-TODAY())</f>
        <v>-64</v>
      </c>
      <c r="M145" s="12" t="n">
        <f aca="true">IF(AND(TRIM($A145)="Finalized",$K145&lt;&gt;""),"",IF($D145="","",$D145+365-TODAY()))</f>
        <v>329</v>
      </c>
      <c r="N145" s="12" t="n">
        <f aca="true">IF(AND(TRIM($A145)="Finalized",$K145&lt;&gt;""),"",IF($D145="","",$D145+365-TODAY()))</f>
        <v>329</v>
      </c>
      <c r="O145" s="11" t="n">
        <f aca="false">IF(AND(TRIM($A145)="Finalized",$K145&lt;&gt;""),"",DATE(2026,8,13))</f>
        <v>46247</v>
      </c>
      <c r="P145" s="10" t="s">
        <v>165</v>
      </c>
      <c r="Q145" s="10" t="s">
        <v>371</v>
      </c>
      <c r="R145" s="10" t="s">
        <v>114</v>
      </c>
      <c r="S145" s="10" t="s">
        <v>116</v>
      </c>
      <c r="T145" s="10" t="s">
        <v>114</v>
      </c>
      <c r="U145" s="10" t="s">
        <v>116</v>
      </c>
      <c r="V145" s="10" t="s">
        <v>266</v>
      </c>
      <c r="W145" s="10" t="s">
        <v>119</v>
      </c>
      <c r="X145" s="10" t="s">
        <v>120</v>
      </c>
      <c r="Y145" s="10"/>
      <c r="Z145" s="10"/>
      <c r="AA145" s="10" t="s">
        <v>230</v>
      </c>
      <c r="AB145" s="8" t="n">
        <f aca="true">IF($F145="","",TODAY()-$F145)</f>
        <v>154</v>
      </c>
      <c r="AC145" s="10" t="s">
        <v>122</v>
      </c>
      <c r="AD145" s="10"/>
      <c r="AE145" s="10"/>
      <c r="AF145" s="10"/>
      <c r="AG145" s="10"/>
      <c r="AH145" s="10"/>
      <c r="AI145" s="10"/>
      <c r="AJ145" s="10" t="s">
        <v>123</v>
      </c>
      <c r="AK145" s="10" t="s">
        <v>829</v>
      </c>
      <c r="AL145" s="10" t="s">
        <v>830</v>
      </c>
      <c r="AM145" s="10" t="s">
        <v>831</v>
      </c>
      <c r="AN145" s="8"/>
      <c r="AO145" s="10" t="s">
        <v>174</v>
      </c>
      <c r="AP145" s="10" t="s">
        <v>308</v>
      </c>
      <c r="AQ145" s="11" t="n">
        <v>46217</v>
      </c>
      <c r="AR145" s="13"/>
      <c r="AS145" s="13"/>
      <c r="AT145" s="13"/>
      <c r="AU145" s="13"/>
      <c r="AV145" s="13"/>
      <c r="AW145" s="13"/>
      <c r="AX145" s="13" t="s">
        <v>832</v>
      </c>
      <c r="AY145" s="7" t="s">
        <v>159</v>
      </c>
      <c r="AZ145" s="7"/>
      <c r="BA145" s="7" t="s">
        <v>36</v>
      </c>
      <c r="BB145" s="7"/>
      <c r="BC145" s="7"/>
      <c r="BD145" s="9" t="n">
        <v>46275</v>
      </c>
      <c r="BE145" s="7" t="s">
        <v>833</v>
      </c>
      <c r="BF145" s="14" t="str">
        <f aca="true">IF(TRIM($A145)="Finalized","Closed",IF($BD145="","No review date set",IF($BD145&lt;TODAY(),"OVERDUE",IF($BD145-TODAY()&lt;=7,"Due within 7 days","Scheduled"))))</f>
        <v>OVERDUE</v>
      </c>
      <c r="BG145" s="14" t="n">
        <f aca="true">IF($K145="","",TODAY()-$K145)</f>
        <v>67</v>
      </c>
      <c r="BH145" s="15" t="str">
        <f aca="false">IFERROR(LEFT(IF($B145="","Notes, ","")&amp;IF($K145="","Latest Date Worked, ","")&amp;IF($AY145="","Last Action, ","")&amp;IF(AND(OR(TRIM($A145)="Denied",TRIM($A145)="Rejected"),$BA145=""),"Denial Reason, ","")&amp;IF(AND(TRIM($A145)="Denied",$BB145="",TRIM($BA145)&lt;&gt;"NO DENIAL"),"Denial Code, ","")&amp;IF(AND(TRIM($A145)&lt;&gt;"Finalized",$BD145=""),"Next Review Date, ","")&amp;IF(AND(TRIM($A145)&lt;&gt;"Finalized",$BE145=""),"Next Step, ","")&amp;IF(AND(TRIM($A145)="Finalized",$AV145="",$AR145="",$AT145="",$AX145="",$AW145=""),"CPT outcome, ",""),LEN(IF($B145="","Notes, ","")&amp;IF($K145="","Latest Date Worked, ","")&amp;IF($AY145="","Last Action, ","")&amp;IF(AND(OR(TRIM($A145)="Denied",TRIM($A145)="Rejected"),$BA145=""),"Denial Reason, ","")&amp;IF(AND(TRIM($A145)="Denied",$BB145="",TRIM($BA145)&lt;&gt;"NO DENIAL"),"Denial Code, ","")&amp;IF(AND(TRIM($A145)&lt;&gt;"Finalized",$BD145=""),"Next Review Date, ","")&amp;IF(AND(TRIM($A145)&lt;&gt;"Finalized",$BE145=""),"Next Step, ","")&amp;IF(AND(TRIM($A145)="Finalized",$AV145="",$AR145="",$AT145="",$AX145="",$AW145=""),"CPT outcome, ",""))-2),"")</f>
        <v/>
      </c>
      <c r="BI145" s="15" t="str">
        <f aca="false">IF($BB145="","",IFERROR(INDEX('Denial Codes'!$C:$C,MATCH(LEFT($BB145,FIND(" - ",$BB145&amp;" - ")+2)&amp;"*",'Denial Codes'!$A:$A,0)),""))</f>
        <v/>
      </c>
      <c r="BJ145" s="15" t="str">
        <f aca="false">IF($BA145="","",IFERROR(INDEX(Lists!$B:$B,MATCH(TRIM($BA145),Lists!$A:$A,0))&amp;"",""))</f>
        <v>Upload the MR on the payer portal, note the PIQ/reference number and set a review date.</v>
      </c>
    </row>
    <row r="146" customFormat="false" ht="15" hidden="false" customHeight="false" outlineLevel="0" collapsed="false">
      <c r="A146" s="7" t="s">
        <v>19</v>
      </c>
      <c r="B146" s="7" t="s">
        <v>834</v>
      </c>
      <c r="C146" s="8" t="n">
        <v>558887755</v>
      </c>
      <c r="D146" s="9"/>
      <c r="E146" s="10" t="s">
        <v>835</v>
      </c>
      <c r="F146" s="11" t="n">
        <v>46153</v>
      </c>
      <c r="G146" s="10" t="s">
        <v>393</v>
      </c>
      <c r="H146" s="10" t="s">
        <v>393</v>
      </c>
      <c r="I146" s="10" t="s">
        <v>279</v>
      </c>
      <c r="J146" s="10" t="s">
        <v>370</v>
      </c>
      <c r="K146" s="9" t="n">
        <v>46245</v>
      </c>
      <c r="L146" s="12" t="n">
        <f aca="true">IF($O146="","",$O146-TODAY())</f>
        <v>-63</v>
      </c>
      <c r="M146" s="12" t="str">
        <f aca="true">IF(AND(TRIM($A146)="Finalized",$K146&lt;&gt;""),"",IF($D146="","",$D146+90-TODAY()))</f>
        <v/>
      </c>
      <c r="N146" s="12" t="str">
        <f aca="true">IF(AND(TRIM($A146)="Finalized",$K146&lt;&gt;""),"",IF($D146="","",$D146+90-TODAY()))</f>
        <v/>
      </c>
      <c r="O146" s="11" t="n">
        <f aca="false">IF(AND(TRIM($A146)="Finalized",$K146&lt;&gt;""),"",DATE(2026,8,14))</f>
        <v>46248</v>
      </c>
      <c r="P146" s="10" t="s">
        <v>395</v>
      </c>
      <c r="Q146" s="10" t="s">
        <v>396</v>
      </c>
      <c r="R146" s="10" t="s">
        <v>165</v>
      </c>
      <c r="S146" s="10" t="s">
        <v>116</v>
      </c>
      <c r="T146" s="10" t="s">
        <v>165</v>
      </c>
      <c r="U146" s="10" t="s">
        <v>116</v>
      </c>
      <c r="V146" s="10" t="s">
        <v>266</v>
      </c>
      <c r="W146" s="10" t="s">
        <v>183</v>
      </c>
      <c r="X146" s="10"/>
      <c r="Y146" s="10"/>
      <c r="Z146" s="10"/>
      <c r="AA146" s="10" t="s">
        <v>197</v>
      </c>
      <c r="AB146" s="8" t="n">
        <f aca="true">IF($F146="","",TODAY()-$F146)</f>
        <v>158</v>
      </c>
      <c r="AC146" s="10" t="s">
        <v>211</v>
      </c>
      <c r="AD146" s="10"/>
      <c r="AE146" s="10"/>
      <c r="AF146" s="10"/>
      <c r="AG146" s="10"/>
      <c r="AH146" s="10"/>
      <c r="AI146" s="10"/>
      <c r="AJ146" s="10" t="s">
        <v>340</v>
      </c>
      <c r="AK146" s="10"/>
      <c r="AL146" s="10"/>
      <c r="AM146" s="10"/>
      <c r="AN146" s="8"/>
      <c r="AO146" s="10" t="s">
        <v>344</v>
      </c>
      <c r="AP146" s="10" t="s">
        <v>308</v>
      </c>
      <c r="AQ146" s="11" t="n">
        <v>46180</v>
      </c>
      <c r="AR146" s="13"/>
      <c r="AS146" s="13"/>
      <c r="AT146" s="13"/>
      <c r="AU146" s="13"/>
      <c r="AV146" s="13"/>
      <c r="AW146" s="13"/>
      <c r="AX146" s="13"/>
      <c r="AY146" s="7" t="s">
        <v>203</v>
      </c>
      <c r="AZ146" s="7"/>
      <c r="BA146" s="7" t="s">
        <v>36</v>
      </c>
      <c r="BB146" s="7" t="s">
        <v>204</v>
      </c>
      <c r="BC146" s="7"/>
      <c r="BD146" s="9" t="n">
        <v>46276</v>
      </c>
      <c r="BE146" s="7"/>
      <c r="BF146" s="14" t="str">
        <f aca="true">IF(TRIM($A146)="Finalized","Closed",IF($BD146="","No review date set",IF($BD146&lt;TODAY(),"OVERDUE",IF($BD146-TODAY()&lt;=7,"Due within 7 days","Scheduled"))))</f>
        <v>OVERDUE</v>
      </c>
      <c r="BG146" s="14" t="n">
        <f aca="true">IF($K146="","",TODAY()-$K146)</f>
        <v>66</v>
      </c>
      <c r="BH146" s="15" t="str">
        <f aca="false">IFERROR(LEFT(IF($B146="","Notes, ","")&amp;IF($K146="","Latest Date Worked, ","")&amp;IF($AY146="","Last Action, ","")&amp;IF(AND(OR(TRIM($A146)="Denied",TRIM($A146)="Rejected"),$BA146=""),"Denial Reason, ","")&amp;IF(AND(TRIM($A146)="Denied",$BB146="",TRIM($BA146)&lt;&gt;"NO DENIAL"),"Denial Code, ","")&amp;IF(AND(TRIM($A146)&lt;&gt;"Finalized",$BD146=""),"Next Review Date, ","")&amp;IF(AND(TRIM($A146)&lt;&gt;"Finalized",$BE146=""),"Next Step, ","")&amp;IF(AND(TRIM($A146)="Finalized",$AV146="",$AR146="",$AT146="",$AX146="",$AW146=""),"CPT outcome, ",""),LEN(IF($B146="","Notes, ","")&amp;IF($K146="","Latest Date Worked, ","")&amp;IF($AY146="","Last Action, ","")&amp;IF(AND(OR(TRIM($A146)="Denied",TRIM($A146)="Rejected"),$BA146=""),"Denial Reason, ","")&amp;IF(AND(TRIM($A146)="Denied",$BB146="",TRIM($BA146)&lt;&gt;"NO DENIAL"),"Denial Code, ","")&amp;IF(AND(TRIM($A146)&lt;&gt;"Finalized",$BD146=""),"Next Review Date, ","")&amp;IF(AND(TRIM($A146)&lt;&gt;"Finalized",$BE146=""),"Next Step, ","")&amp;IF(AND(TRIM($A146)="Finalized",$AV146="",$AR146="",$AT146="",$AX146="",$AW146=""),"CPT outcome, ",""))-2),"")</f>
        <v>Next Step</v>
      </c>
      <c r="BI146" s="15" t="str">
        <f aca="false">IF($BB146="","",IFERROR(INDEX('Denial Codes'!$C:$C,MATCH(LEFT($BB146,FIND(" - ",$BB146&amp;" - ")+2)&amp;"*",'Denial Codes'!$A:$A,0)),""))</f>
        <v>Medical records needed</v>
      </c>
      <c r="BJ146" s="15" t="str">
        <f aca="false">IF($BA146="","",IFERROR(INDEX(Lists!$B:$B,MATCH(TRIM($BA146),Lists!$A:$A,0))&amp;"",""))</f>
        <v>Upload the MR on the payer portal, note the PIQ/reference number and set a review date.</v>
      </c>
    </row>
    <row r="147" customFormat="false" ht="15" hidden="false" customHeight="false" outlineLevel="0" collapsed="false">
      <c r="A147" s="7" t="s">
        <v>17</v>
      </c>
      <c r="B147" s="7" t="s">
        <v>836</v>
      </c>
      <c r="C147" s="8" t="n">
        <v>559742691</v>
      </c>
      <c r="D147" s="9" t="n">
        <v>46196</v>
      </c>
      <c r="E147" s="10" t="s">
        <v>837</v>
      </c>
      <c r="F147" s="11" t="n">
        <v>46160</v>
      </c>
      <c r="G147" s="10" t="s">
        <v>369</v>
      </c>
      <c r="H147" s="10" t="s">
        <v>369</v>
      </c>
      <c r="I147" s="10" t="s">
        <v>129</v>
      </c>
      <c r="J147" s="10" t="s">
        <v>646</v>
      </c>
      <c r="K147" s="9" t="n">
        <v>46245</v>
      </c>
      <c r="L147" s="12" t="n">
        <f aca="true">IF($O147="","",$O147-TODAY())</f>
        <v>-61</v>
      </c>
      <c r="M147" s="12" t="n">
        <f aca="true">IF(AND(TRIM($A147)="Finalized",$K147&lt;&gt;""),"",IF($D147="","",$D147+365-TODAY()))</f>
        <v>250</v>
      </c>
      <c r="N147" s="12" t="n">
        <f aca="true">IF(AND(TRIM($A147)="Finalized",$K147&lt;&gt;""),"",IF($D147="","",$D147+365-TODAY()))</f>
        <v>250</v>
      </c>
      <c r="O147" s="11" t="n">
        <f aca="false">IF(AND(TRIM($A147)="Finalized",$K147&lt;&gt;""),"",DATE(2026,8,16))</f>
        <v>46250</v>
      </c>
      <c r="P147" s="10" t="s">
        <v>165</v>
      </c>
      <c r="Q147" s="10" t="s">
        <v>371</v>
      </c>
      <c r="R147" s="10" t="s">
        <v>114</v>
      </c>
      <c r="S147" s="10" t="s">
        <v>116</v>
      </c>
      <c r="T147" s="10" t="s">
        <v>114</v>
      </c>
      <c r="U147" s="10" t="s">
        <v>116</v>
      </c>
      <c r="V147" s="10" t="s">
        <v>266</v>
      </c>
      <c r="W147" s="10" t="s">
        <v>119</v>
      </c>
      <c r="X147" s="10" t="s">
        <v>229</v>
      </c>
      <c r="Y147" s="10"/>
      <c r="Z147" s="10"/>
      <c r="AA147" s="10" t="s">
        <v>230</v>
      </c>
      <c r="AB147" s="8" t="n">
        <f aca="true">IF($F147="","",TODAY()-$F147)</f>
        <v>151</v>
      </c>
      <c r="AC147" s="10" t="s">
        <v>273</v>
      </c>
      <c r="AD147" s="10"/>
      <c r="AE147" s="10"/>
      <c r="AF147" s="10"/>
      <c r="AG147" s="10"/>
      <c r="AH147" s="10"/>
      <c r="AI147" s="10"/>
      <c r="AJ147" s="10" t="s">
        <v>123</v>
      </c>
      <c r="AK147" s="10"/>
      <c r="AL147" s="10"/>
      <c r="AM147" s="10"/>
      <c r="AN147" s="8"/>
      <c r="AO147" s="10" t="s">
        <v>838</v>
      </c>
      <c r="AP147" s="10" t="s">
        <v>404</v>
      </c>
      <c r="AQ147" s="11" t="n">
        <v>46162</v>
      </c>
      <c r="AR147" s="13"/>
      <c r="AS147" s="13"/>
      <c r="AT147" s="13"/>
      <c r="AU147" s="13"/>
      <c r="AV147" s="13"/>
      <c r="AW147" s="13"/>
      <c r="AX147" s="13"/>
      <c r="AY147" s="7"/>
      <c r="AZ147" s="7"/>
      <c r="BA147" s="7" t="s">
        <v>34</v>
      </c>
      <c r="BB147" s="7"/>
      <c r="BC147" s="7"/>
      <c r="BD147" s="9" t="n">
        <v>46276</v>
      </c>
      <c r="BE147" s="7" t="s">
        <v>839</v>
      </c>
      <c r="BF147" s="14" t="str">
        <f aca="true">IF(TRIM($A147)="Finalized","Closed",IF($BD147="","No review date set",IF($BD147&lt;TODAY(),"OVERDUE",IF($BD147-TODAY()&lt;=7,"Due within 7 days","Scheduled"))))</f>
        <v>OVERDUE</v>
      </c>
      <c r="BG147" s="14" t="n">
        <f aca="true">IF($K147="","",TODAY()-$K147)</f>
        <v>66</v>
      </c>
      <c r="BH147" s="15" t="str">
        <f aca="false">IFERROR(LEFT(IF($B147="","Notes, ","")&amp;IF($K147="","Latest Date Worked, ","")&amp;IF($AY147="","Last Action, ","")&amp;IF(AND(OR(TRIM($A147)="Denied",TRIM($A147)="Rejected"),$BA147=""),"Denial Reason, ","")&amp;IF(AND(TRIM($A147)="Denied",$BB147="",TRIM($BA147)&lt;&gt;"NO DENIAL"),"Denial Code, ","")&amp;IF(AND(TRIM($A147)&lt;&gt;"Finalized",$BD147=""),"Next Review Date, ","")&amp;IF(AND(TRIM($A147)&lt;&gt;"Finalized",$BE147=""),"Next Step, ","")&amp;IF(AND(TRIM($A147)="Finalized",$AV147="",$AR147="",$AT147="",$AX147="",$AW147=""),"CPT outcome, ",""),LEN(IF($B147="","Notes, ","")&amp;IF($K147="","Latest Date Worked, ","")&amp;IF($AY147="","Last Action, ","")&amp;IF(AND(OR(TRIM($A147)="Denied",TRIM($A147)="Rejected"),$BA147=""),"Denial Reason, ","")&amp;IF(AND(TRIM($A147)="Denied",$BB147="",TRIM($BA147)&lt;&gt;"NO DENIAL"),"Denial Code, ","")&amp;IF(AND(TRIM($A147)&lt;&gt;"Finalized",$BD147=""),"Next Review Date, ","")&amp;IF(AND(TRIM($A147)&lt;&gt;"Finalized",$BE147=""),"Next Step, ","")&amp;IF(AND(TRIM($A147)="Finalized",$AV147="",$AR147="",$AT147="",$AX147="",$AW147=""),"CPT outcome, ",""))-2),"")</f>
        <v>Last Action, Denial Code</v>
      </c>
      <c r="BI147" s="15" t="str">
        <f aca="false">IF($BB147="","",IFERROR(INDEX('Denial Codes'!$C:$C,MATCH(LEFT($BB147,FIND(" - ",$BB147&amp;" - ")+2)&amp;"*",'Denial Codes'!$A:$A,0)),""))</f>
        <v/>
      </c>
      <c r="BJ147" s="15" t="str">
        <f aca="false">IF($BA147="","",IFERROR(INDEX(Lists!$B:$B,MATCH(TRIM($BA147),Lists!$A:$A,0))&amp;"",""))</f>
        <v>Check the portal for an auth; request a retro-auth or file an appeal with the auth number, then resubmit.</v>
      </c>
    </row>
    <row r="148" customFormat="false" ht="15" hidden="false" customHeight="false" outlineLevel="0" collapsed="false">
      <c r="A148" s="7" t="s">
        <v>17</v>
      </c>
      <c r="B148" s="7" t="s">
        <v>840</v>
      </c>
      <c r="C148" s="8" t="n">
        <v>568306831</v>
      </c>
      <c r="D148" s="9" t="n">
        <v>46251</v>
      </c>
      <c r="E148" s="10" t="s">
        <v>841</v>
      </c>
      <c r="F148" s="11" t="n">
        <v>46160</v>
      </c>
      <c r="G148" s="10" t="s">
        <v>347</v>
      </c>
      <c r="H148" s="10" t="s">
        <v>347</v>
      </c>
      <c r="I148" s="10" t="s">
        <v>129</v>
      </c>
      <c r="J148" s="10" t="s">
        <v>842</v>
      </c>
      <c r="K148" s="9" t="n">
        <v>46245</v>
      </c>
      <c r="L148" s="12" t="n">
        <f aca="true">IF($O148="","",$O148-TODAY())</f>
        <v>-61</v>
      </c>
      <c r="M148" s="12" t="n">
        <f aca="true">IF(AND(TRIM($A148)="Finalized",$K148&lt;&gt;""),"",IF($F148="","",$F148+90-TODAY()))</f>
        <v>-61</v>
      </c>
      <c r="N148" s="12" t="n">
        <f aca="true">IF(AND(TRIM($A148)="Finalized",$K148&lt;&gt;""),"",IF($D148="","",$D148+540-TODAY()))</f>
        <v>480</v>
      </c>
      <c r="O148" s="11" t="n">
        <f aca="false">IF(AND(TRIM($A148)="Finalized",$K148&lt;&gt;""),"",DATE(2026,8,16))</f>
        <v>46250</v>
      </c>
      <c r="P148" s="10" t="s">
        <v>165</v>
      </c>
      <c r="Q148" s="10" t="s">
        <v>348</v>
      </c>
      <c r="R148" s="10" t="s">
        <v>165</v>
      </c>
      <c r="S148" s="10" t="s">
        <v>149</v>
      </c>
      <c r="T148" s="10" t="s">
        <v>349</v>
      </c>
      <c r="U148" s="10" t="s">
        <v>116</v>
      </c>
      <c r="V148" s="10" t="s">
        <v>266</v>
      </c>
      <c r="W148" s="10" t="s">
        <v>119</v>
      </c>
      <c r="X148" s="10" t="s">
        <v>229</v>
      </c>
      <c r="Y148" s="10"/>
      <c r="Z148" s="10"/>
      <c r="AA148" s="10" t="s">
        <v>793</v>
      </c>
      <c r="AB148" s="8" t="n">
        <f aca="true">IF($F148="","",TODAY()-$F148)</f>
        <v>151</v>
      </c>
      <c r="AC148" s="10" t="s">
        <v>122</v>
      </c>
      <c r="AD148" s="10"/>
      <c r="AE148" s="10"/>
      <c r="AF148" s="10"/>
      <c r="AG148" s="10"/>
      <c r="AH148" s="10"/>
      <c r="AI148" s="10"/>
      <c r="AJ148" s="10" t="s">
        <v>123</v>
      </c>
      <c r="AK148" s="10" t="s">
        <v>362</v>
      </c>
      <c r="AL148" s="10"/>
      <c r="AM148" s="10"/>
      <c r="AN148" s="8"/>
      <c r="AO148" s="10" t="s">
        <v>843</v>
      </c>
      <c r="AP148" s="10" t="s">
        <v>202</v>
      </c>
      <c r="AQ148" s="11" t="n">
        <v>46183</v>
      </c>
      <c r="AR148" s="13"/>
      <c r="AS148" s="13"/>
      <c r="AT148" s="13"/>
      <c r="AU148" s="13"/>
      <c r="AV148" s="13"/>
      <c r="AW148" s="13"/>
      <c r="AX148" s="13"/>
      <c r="AY148" s="7" t="s">
        <v>159</v>
      </c>
      <c r="AZ148" s="7"/>
      <c r="BA148" s="7" t="s">
        <v>47</v>
      </c>
      <c r="BB148" s="7"/>
      <c r="BC148" s="7"/>
      <c r="BD148" s="9" t="n">
        <v>46276</v>
      </c>
      <c r="BE148" s="7"/>
      <c r="BF148" s="14" t="str">
        <f aca="true">IF(TRIM($A148)="Finalized","Closed",IF($BD148="","No review date set",IF($BD148&lt;TODAY(),"OVERDUE",IF($BD148-TODAY()&lt;=7,"Due within 7 days","Scheduled"))))</f>
        <v>OVERDUE</v>
      </c>
      <c r="BG148" s="14" t="n">
        <f aca="true">IF($K148="","",TODAY()-$K148)</f>
        <v>66</v>
      </c>
      <c r="BH148" s="15" t="str">
        <f aca="false">IFERROR(LEFT(IF($B148="","Notes, ","")&amp;IF($K148="","Latest Date Worked, ","")&amp;IF($AY148="","Last Action, ","")&amp;IF(AND(OR(TRIM($A148)="Denied",TRIM($A148)="Rejected"),$BA148=""),"Denial Reason, ","")&amp;IF(AND(TRIM($A148)="Denied",$BB148="",TRIM($BA148)&lt;&gt;"NO DENIAL"),"Denial Code, ","")&amp;IF(AND(TRIM($A148)&lt;&gt;"Finalized",$BD148=""),"Next Review Date, ","")&amp;IF(AND(TRIM($A148)&lt;&gt;"Finalized",$BE148=""),"Next Step, ","")&amp;IF(AND(TRIM($A148)="Finalized",$AV148="",$AR148="",$AT148="",$AX148="",$AW148=""),"CPT outcome, ",""),LEN(IF($B148="","Notes, ","")&amp;IF($K148="","Latest Date Worked, ","")&amp;IF($AY148="","Last Action, ","")&amp;IF(AND(OR(TRIM($A148)="Denied",TRIM($A148)="Rejected"),$BA148=""),"Denial Reason, ","")&amp;IF(AND(TRIM($A148)="Denied",$BB148="",TRIM($BA148)&lt;&gt;"NO DENIAL"),"Denial Code, ","")&amp;IF(AND(TRIM($A148)&lt;&gt;"Finalized",$BD148=""),"Next Review Date, ","")&amp;IF(AND(TRIM($A148)&lt;&gt;"Finalized",$BE148=""),"Next Step, ","")&amp;IF(AND(TRIM($A148)="Finalized",$AV148="",$AR148="",$AT148="",$AX148="",$AW148=""),"CPT outcome, ",""))-2),"")</f>
        <v>Denial Code, Next Step</v>
      </c>
      <c r="BI148" s="15" t="str">
        <f aca="false">IF($BB148="","",IFERROR(INDEX('Denial Codes'!$C:$C,MATCH(LEFT($BB148,FIND(" - ",$BB148&amp;" - ")+2)&amp;"*",'Denial Codes'!$A:$A,0)),""))</f>
        <v/>
      </c>
      <c r="BJ148" s="15" t="str">
        <f aca="false">IF($BA148="","",IFERROR(INDEX(Lists!$B:$B,MATCH(TRIM($BA148),Lists!$A:$A,0))&amp;"",""))</f>
        <v>Check provider enrollment, NPI/TIN and network status; appeal once credentialing is confirmed.</v>
      </c>
    </row>
    <row r="149" customFormat="false" ht="15" hidden="false" customHeight="false" outlineLevel="0" collapsed="false">
      <c r="A149" s="7" t="s">
        <v>17</v>
      </c>
      <c r="B149" s="7" t="s">
        <v>844</v>
      </c>
      <c r="C149" s="8" t="n">
        <v>568526020</v>
      </c>
      <c r="D149" s="9" t="n">
        <v>46261</v>
      </c>
      <c r="E149" s="10" t="s">
        <v>845</v>
      </c>
      <c r="F149" s="11" t="n">
        <v>46160</v>
      </c>
      <c r="G149" s="10" t="s">
        <v>180</v>
      </c>
      <c r="H149" s="10" t="s">
        <v>180</v>
      </c>
      <c r="I149" s="10" t="s">
        <v>129</v>
      </c>
      <c r="J149" s="10" t="s">
        <v>595</v>
      </c>
      <c r="K149" s="9" t="n">
        <v>46252</v>
      </c>
      <c r="L149" s="12" t="n">
        <f aca="true">IF($O149="","",$O149-TODAY())</f>
        <v>-61</v>
      </c>
      <c r="M149" s="12" t="n">
        <f aca="true">IF(AND(TRIM($A149)="Finalized",$K149&lt;&gt;""),"",IF($D149="","",$D149+180-TODAY()))</f>
        <v>130</v>
      </c>
      <c r="N149" s="12" t="n">
        <f aca="true">IF(AND(TRIM($A149)="Finalized",$K149&lt;&gt;""),"",IF($D149="","",$D149+365-TODAY()))</f>
        <v>315</v>
      </c>
      <c r="O149" s="11" t="n">
        <f aca="false">IF(AND(TRIM($A149)="Finalized",$K149&lt;&gt;""),"",DATE(2026,8,16))</f>
        <v>46250</v>
      </c>
      <c r="P149" s="10" t="s">
        <v>165</v>
      </c>
      <c r="Q149" s="10" t="s">
        <v>182</v>
      </c>
      <c r="R149" s="10" t="s">
        <v>147</v>
      </c>
      <c r="S149" s="10" t="s">
        <v>116</v>
      </c>
      <c r="T149" s="10" t="s">
        <v>114</v>
      </c>
      <c r="U149" s="10" t="s">
        <v>116</v>
      </c>
      <c r="V149" s="10" t="s">
        <v>266</v>
      </c>
      <c r="W149" s="10" t="s">
        <v>132</v>
      </c>
      <c r="X149" s="10"/>
      <c r="Y149" s="10"/>
      <c r="Z149" s="10"/>
      <c r="AA149" s="10" t="s">
        <v>197</v>
      </c>
      <c r="AB149" s="8" t="n">
        <f aca="true">IF($F149="","",TODAY()-$F149)</f>
        <v>151</v>
      </c>
      <c r="AC149" s="10" t="s">
        <v>246</v>
      </c>
      <c r="AD149" s="10" t="s">
        <v>169</v>
      </c>
      <c r="AE149" s="10"/>
      <c r="AF149" s="10"/>
      <c r="AG149" s="10"/>
      <c r="AH149" s="10"/>
      <c r="AI149" s="10"/>
      <c r="AJ149" s="10" t="s">
        <v>139</v>
      </c>
      <c r="AK149" s="10" t="s">
        <v>312</v>
      </c>
      <c r="AL149" s="10" t="s">
        <v>846</v>
      </c>
      <c r="AM149" s="10"/>
      <c r="AN149" s="8"/>
      <c r="AO149" s="10" t="s">
        <v>535</v>
      </c>
      <c r="AP149" s="10" t="s">
        <v>175</v>
      </c>
      <c r="AQ149" s="11" t="n">
        <v>46177</v>
      </c>
      <c r="AR149" s="13"/>
      <c r="AS149" s="13"/>
      <c r="AT149" s="13"/>
      <c r="AU149" s="13"/>
      <c r="AV149" s="13"/>
      <c r="AW149" s="13"/>
      <c r="AX149" s="13"/>
      <c r="AY149" s="7" t="s">
        <v>354</v>
      </c>
      <c r="AZ149" s="7" t="s">
        <v>847</v>
      </c>
      <c r="BA149" s="7" t="s">
        <v>51</v>
      </c>
      <c r="BB149" s="7"/>
      <c r="BC149" s="7" t="s">
        <v>848</v>
      </c>
      <c r="BD149" s="9" t="n">
        <v>46283</v>
      </c>
      <c r="BE149" s="7"/>
      <c r="BF149" s="14" t="str">
        <f aca="true">IF(TRIM($A149)="Finalized","Closed",IF($BD149="","No review date set",IF($BD149&lt;TODAY(),"OVERDUE",IF($BD149-TODAY()&lt;=7,"Due within 7 days","Scheduled"))))</f>
        <v>OVERDUE</v>
      </c>
      <c r="BG149" s="14" t="n">
        <f aca="true">IF($K149="","",TODAY()-$K149)</f>
        <v>59</v>
      </c>
      <c r="BH149" s="15" t="str">
        <f aca="false">IFERROR(LEFT(IF($B149="","Notes, ","")&amp;IF($K149="","Latest Date Worked, ","")&amp;IF($AY149="","Last Action, ","")&amp;IF(AND(OR(TRIM($A149)="Denied",TRIM($A149)="Rejected"),$BA149=""),"Denial Reason, ","")&amp;IF(AND(TRIM($A149)="Denied",$BB149="",TRIM($BA149)&lt;&gt;"NO DENIAL"),"Denial Code, ","")&amp;IF(AND(TRIM($A149)&lt;&gt;"Finalized",$BD149=""),"Next Review Date, ","")&amp;IF(AND(TRIM($A149)&lt;&gt;"Finalized",$BE149=""),"Next Step, ","")&amp;IF(AND(TRIM($A149)="Finalized",$AV149="",$AR149="",$AT149="",$AX149="",$AW149=""),"CPT outcome, ",""),LEN(IF($B149="","Notes, ","")&amp;IF($K149="","Latest Date Worked, ","")&amp;IF($AY149="","Last Action, ","")&amp;IF(AND(OR(TRIM($A149)="Denied",TRIM($A149)="Rejected"),$BA149=""),"Denial Reason, ","")&amp;IF(AND(TRIM($A149)="Denied",$BB149="",TRIM($BA149)&lt;&gt;"NO DENIAL"),"Denial Code, ","")&amp;IF(AND(TRIM($A149)&lt;&gt;"Finalized",$BD149=""),"Next Review Date, ","")&amp;IF(AND(TRIM($A149)&lt;&gt;"Finalized",$BE149=""),"Next Step, ","")&amp;IF(AND(TRIM($A149)="Finalized",$AV149="",$AR149="",$AT149="",$AX149="",$AW149=""),"CPT outcome, ",""))-2),"")</f>
        <v>Denial Code, Next Step</v>
      </c>
      <c r="BI149" s="15" t="str">
        <f aca="false">IF($BB149="","",IFERROR(INDEX('Denial Codes'!$C:$C,MATCH(LEFT($BB149,FIND(" - ",$BB149&amp;" - ")+2)&amp;"*",'Denial Codes'!$A:$A,0)),""))</f>
        <v/>
      </c>
      <c r="BJ149" s="15" t="str">
        <f aca="false">IF($BA149="","",IFERROR(INDEX(Lists!$B:$B,MATCH(TRIM($BA149),Lists!$A:$A,0))&amp;"",""))</f>
        <v>Get the accident details or workers' comp carrier from the patient; update the claim or bill the WC carrier.</v>
      </c>
    </row>
    <row r="150" customFormat="false" ht="15" hidden="false" customHeight="false" outlineLevel="0" collapsed="false">
      <c r="A150" s="7" t="s">
        <v>16</v>
      </c>
      <c r="B150" s="7" t="s">
        <v>849</v>
      </c>
      <c r="C150" s="8" t="n">
        <v>559931934</v>
      </c>
      <c r="D150" s="9" t="n">
        <v>46189</v>
      </c>
      <c r="E150" s="10" t="s">
        <v>850</v>
      </c>
      <c r="F150" s="11" t="n">
        <v>46162</v>
      </c>
      <c r="G150" s="10" t="s">
        <v>208</v>
      </c>
      <c r="H150" s="10" t="s">
        <v>208</v>
      </c>
      <c r="I150" s="10" t="s">
        <v>129</v>
      </c>
      <c r="J150" s="10" t="s">
        <v>851</v>
      </c>
      <c r="K150" s="9" t="n">
        <v>46245</v>
      </c>
      <c r="L150" s="12" t="str">
        <f aca="true">IF($O150="","",$O150-TODAY())</f>
        <v/>
      </c>
      <c r="M150" s="12" t="str">
        <f aca="true">IF(AND(TRIM($A150)="Finalized",$K150&lt;&gt;""),"",IF($D150="","",$D150+180-TODAY()))</f>
        <v/>
      </c>
      <c r="N150" s="12" t="str">
        <f aca="true">IF(AND(TRIM($A150)="Finalized",$K150&lt;&gt;""),"",IF($D150="","",$D150+365-TODAY()))</f>
        <v/>
      </c>
      <c r="O150" s="11" t="str">
        <f aca="false">IF(AND(TRIM($A150)="Finalized",$K150&lt;&gt;""),"",DATE(2026,8,18))</f>
        <v/>
      </c>
      <c r="P150" s="10" t="s">
        <v>165</v>
      </c>
      <c r="Q150" s="10" t="s">
        <v>210</v>
      </c>
      <c r="R150" s="10" t="s">
        <v>147</v>
      </c>
      <c r="S150" s="10" t="s">
        <v>116</v>
      </c>
      <c r="T150" s="10" t="s">
        <v>114</v>
      </c>
      <c r="U150" s="10" t="s">
        <v>116</v>
      </c>
      <c r="V150" s="10" t="s">
        <v>266</v>
      </c>
      <c r="W150" s="10" t="s">
        <v>183</v>
      </c>
      <c r="X150" s="10"/>
      <c r="Y150" s="10"/>
      <c r="Z150" s="10"/>
      <c r="AA150" s="10" t="s">
        <v>197</v>
      </c>
      <c r="AB150" s="8" t="n">
        <f aca="true">IF($F150="","",TODAY()-$F150)</f>
        <v>149</v>
      </c>
      <c r="AC150" s="10" t="s">
        <v>184</v>
      </c>
      <c r="AD150" s="10" t="s">
        <v>184</v>
      </c>
      <c r="AE150" s="10"/>
      <c r="AF150" s="10"/>
      <c r="AG150" s="10"/>
      <c r="AH150" s="10"/>
      <c r="AI150" s="10"/>
      <c r="AJ150" s="10" t="s">
        <v>852</v>
      </c>
      <c r="AK150" s="10" t="s">
        <v>385</v>
      </c>
      <c r="AL150" s="10"/>
      <c r="AM150" s="10"/>
      <c r="AN150" s="8"/>
      <c r="AO150" s="10" t="s">
        <v>359</v>
      </c>
      <c r="AP150" s="10" t="s">
        <v>188</v>
      </c>
      <c r="AQ150" s="11" t="n">
        <v>46182</v>
      </c>
      <c r="AR150" s="13"/>
      <c r="AS150" s="13"/>
      <c r="AT150" s="13"/>
      <c r="AU150" s="13"/>
      <c r="AV150" s="13" t="s">
        <v>189</v>
      </c>
      <c r="AW150" s="13"/>
      <c r="AX150" s="13" t="s">
        <v>189</v>
      </c>
      <c r="AY150" s="7" t="s">
        <v>363</v>
      </c>
      <c r="AZ150" s="7" t="s">
        <v>159</v>
      </c>
      <c r="BA150" s="7" t="s">
        <v>40</v>
      </c>
      <c r="BB150" s="7" t="s">
        <v>853</v>
      </c>
      <c r="BC150" s="7"/>
      <c r="BD150" s="9"/>
      <c r="BE150" s="7"/>
      <c r="BF150" s="14" t="str">
        <f aca="true">IF(TRIM($A150)="Finalized","Closed",IF($BD150="","No review date set",IF($BD150&lt;TODAY(),"OVERDUE",IF($BD150-TODAY()&lt;=7,"Due within 7 days","Scheduled"))))</f>
        <v>Closed</v>
      </c>
      <c r="BG150" s="14" t="n">
        <f aca="true">IF($K150="","",TODAY()-$K150)</f>
        <v>66</v>
      </c>
      <c r="BH150" s="15" t="str">
        <f aca="false">IFERROR(LEFT(IF($B150="","Notes, ","")&amp;IF($K150="","Latest Date Worked, ","")&amp;IF($AY150="","Last Action, ","")&amp;IF(AND(OR(TRIM($A150)="Denied",TRIM($A150)="Rejected"),$BA150=""),"Denial Reason, ","")&amp;IF(AND(TRIM($A150)="Denied",$BB150="",TRIM($BA150)&lt;&gt;"NO DENIAL"),"Denial Code, ","")&amp;IF(AND(TRIM($A150)&lt;&gt;"Finalized",$BD150=""),"Next Review Date, ","")&amp;IF(AND(TRIM($A150)&lt;&gt;"Finalized",$BE150=""),"Next Step, ","")&amp;IF(AND(TRIM($A150)="Finalized",$AV150="",$AR150="",$AT150="",$AX150="",$AW150=""),"CPT outcome, ",""),LEN(IF($B150="","Notes, ","")&amp;IF($K150="","Latest Date Worked, ","")&amp;IF($AY150="","Last Action, ","")&amp;IF(AND(OR(TRIM($A150)="Denied",TRIM($A150)="Rejected"),$BA150=""),"Denial Reason, ","")&amp;IF(AND(TRIM($A150)="Denied",$BB150="",TRIM($BA150)&lt;&gt;"NO DENIAL"),"Denial Code, ","")&amp;IF(AND(TRIM($A150)&lt;&gt;"Finalized",$BD150=""),"Next Review Date, ","")&amp;IF(AND(TRIM($A150)&lt;&gt;"Finalized",$BE150=""),"Next Step, ","")&amp;IF(AND(TRIM($A150)="Finalized",$AV150="",$AR150="",$AT150="",$AX150="",$AW150=""),"CPT outcome, ",""))-2),"")</f>
        <v/>
      </c>
      <c r="BI150" s="15" t="str">
        <f aca="false">IF($BB150="","",IFERROR(INDEX('Denial Codes'!$C:$C,MATCH(LEFT($BB150,FIND(" - ",$BB150&amp;" - ")+2)&amp;"*",'Denial Codes'!$A:$A,0)),""))</f>
        <v>Bundled / NCCI edit</v>
      </c>
      <c r="BJ150" s="15" t="str">
        <f aca="false">IF($BA150="","",IFERROR(INDEX(Lists!$B:$B,MATCH(TRIM($BA150),Lists!$A:$A,0))&amp;"",""))</f>
        <v>Fix the code, units, charge or other claim data and resubmit as a corrected claim.</v>
      </c>
    </row>
    <row r="151" customFormat="false" ht="15" hidden="false" customHeight="false" outlineLevel="0" collapsed="false">
      <c r="A151" s="7" t="s">
        <v>16</v>
      </c>
      <c r="B151" s="7" t="s">
        <v>854</v>
      </c>
      <c r="C151" s="8" t="n">
        <v>560175340</v>
      </c>
      <c r="D151" s="9" t="n">
        <v>46183</v>
      </c>
      <c r="E151" s="10" t="s">
        <v>855</v>
      </c>
      <c r="F151" s="11" t="n">
        <v>46162</v>
      </c>
      <c r="G151" s="10" t="s">
        <v>208</v>
      </c>
      <c r="H151" s="10" t="s">
        <v>208</v>
      </c>
      <c r="I151" s="10" t="s">
        <v>208</v>
      </c>
      <c r="J151" s="10" t="s">
        <v>339</v>
      </c>
      <c r="K151" s="9" t="n">
        <v>46245</v>
      </c>
      <c r="L151" s="12" t="str">
        <f aca="true">IF($O151="","",$O151-TODAY())</f>
        <v/>
      </c>
      <c r="M151" s="12" t="str">
        <f aca="true">IF(AND(TRIM($A151)="Finalized",$K151&lt;&gt;""),"",IF($D151="","",$D151+180-TODAY()))</f>
        <v/>
      </c>
      <c r="N151" s="12" t="str">
        <f aca="true">IF(AND(TRIM($A151)="Finalized",$K151&lt;&gt;""),"",IF($D151="","",$D151+365-TODAY()))</f>
        <v/>
      </c>
      <c r="O151" s="11" t="str">
        <f aca="false">IF(AND(TRIM($A151)="Finalized",$K151&lt;&gt;""),"",DATE(2026,8,18))</f>
        <v/>
      </c>
      <c r="P151" s="10" t="s">
        <v>165</v>
      </c>
      <c r="Q151" s="10" t="s">
        <v>210</v>
      </c>
      <c r="R151" s="10" t="s">
        <v>147</v>
      </c>
      <c r="S151" s="10" t="s">
        <v>116</v>
      </c>
      <c r="T151" s="10" t="s">
        <v>114</v>
      </c>
      <c r="U151" s="10" t="s">
        <v>116</v>
      </c>
      <c r="V151" s="10" t="s">
        <v>266</v>
      </c>
      <c r="W151" s="10" t="s">
        <v>183</v>
      </c>
      <c r="X151" s="10"/>
      <c r="Y151" s="10"/>
      <c r="Z151" s="10"/>
      <c r="AA151" s="10" t="s">
        <v>197</v>
      </c>
      <c r="AB151" s="8" t="n">
        <f aca="true">IF($F151="","",TODAY()-$F151)</f>
        <v>149</v>
      </c>
      <c r="AC151" s="10" t="s">
        <v>184</v>
      </c>
      <c r="AD151" s="10"/>
      <c r="AE151" s="10"/>
      <c r="AF151" s="10"/>
      <c r="AG151" s="10"/>
      <c r="AH151" s="10"/>
      <c r="AI151" s="10"/>
      <c r="AJ151" s="10" t="s">
        <v>186</v>
      </c>
      <c r="AK151" s="10" t="s">
        <v>852</v>
      </c>
      <c r="AL151" s="10"/>
      <c r="AM151" s="10"/>
      <c r="AN151" s="8"/>
      <c r="AO151" s="10" t="s">
        <v>213</v>
      </c>
      <c r="AP151" s="10" t="s">
        <v>188</v>
      </c>
      <c r="AQ151" s="11" t="n">
        <v>46182</v>
      </c>
      <c r="AR151" s="13"/>
      <c r="AS151" s="13"/>
      <c r="AT151" s="13"/>
      <c r="AU151" s="13"/>
      <c r="AV151" s="13" t="s">
        <v>185</v>
      </c>
      <c r="AW151" s="13"/>
      <c r="AX151" s="13" t="s">
        <v>189</v>
      </c>
      <c r="AY151" s="7" t="s">
        <v>363</v>
      </c>
      <c r="AZ151" s="7" t="s">
        <v>159</v>
      </c>
      <c r="BA151" s="7" t="s">
        <v>40</v>
      </c>
      <c r="BB151" s="7" t="s">
        <v>853</v>
      </c>
      <c r="BC151" s="7"/>
      <c r="BD151" s="9"/>
      <c r="BE151" s="7"/>
      <c r="BF151" s="14" t="str">
        <f aca="true">IF(TRIM($A151)="Finalized","Closed",IF($BD151="","No review date set",IF($BD151&lt;TODAY(),"OVERDUE",IF($BD151-TODAY()&lt;=7,"Due within 7 days","Scheduled"))))</f>
        <v>Closed</v>
      </c>
      <c r="BG151" s="14" t="n">
        <f aca="true">IF($K151="","",TODAY()-$K151)</f>
        <v>66</v>
      </c>
      <c r="BH151" s="15" t="str">
        <f aca="false">IFERROR(LEFT(IF($B151="","Notes, ","")&amp;IF($K151="","Latest Date Worked, ","")&amp;IF($AY151="","Last Action, ","")&amp;IF(AND(OR(TRIM($A151)="Denied",TRIM($A151)="Rejected"),$BA151=""),"Denial Reason, ","")&amp;IF(AND(TRIM($A151)="Denied",$BB151="",TRIM($BA151)&lt;&gt;"NO DENIAL"),"Denial Code, ","")&amp;IF(AND(TRIM($A151)&lt;&gt;"Finalized",$BD151=""),"Next Review Date, ","")&amp;IF(AND(TRIM($A151)&lt;&gt;"Finalized",$BE151=""),"Next Step, ","")&amp;IF(AND(TRIM($A151)="Finalized",$AV151="",$AR151="",$AT151="",$AX151="",$AW151=""),"CPT outcome, ",""),LEN(IF($B151="","Notes, ","")&amp;IF($K151="","Latest Date Worked, ","")&amp;IF($AY151="","Last Action, ","")&amp;IF(AND(OR(TRIM($A151)="Denied",TRIM($A151)="Rejected"),$BA151=""),"Denial Reason, ","")&amp;IF(AND(TRIM($A151)="Denied",$BB151="",TRIM($BA151)&lt;&gt;"NO DENIAL"),"Denial Code, ","")&amp;IF(AND(TRIM($A151)&lt;&gt;"Finalized",$BD151=""),"Next Review Date, ","")&amp;IF(AND(TRIM($A151)&lt;&gt;"Finalized",$BE151=""),"Next Step, ","")&amp;IF(AND(TRIM($A151)="Finalized",$AV151="",$AR151="",$AT151="",$AX151="",$AW151=""),"CPT outcome, ",""))-2),"")</f>
        <v/>
      </c>
      <c r="BI151" s="15" t="str">
        <f aca="false">IF($BB151="","",IFERROR(INDEX('Denial Codes'!$C:$C,MATCH(LEFT($BB151,FIND(" - ",$BB151&amp;" - ")+2)&amp;"*",'Denial Codes'!$A:$A,0)),""))</f>
        <v>Bundled / NCCI edit</v>
      </c>
      <c r="BJ151" s="15" t="str">
        <f aca="false">IF($BA151="","",IFERROR(INDEX(Lists!$B:$B,MATCH(TRIM($BA151),Lists!$A:$A,0))&amp;"",""))</f>
        <v>Fix the code, units, charge or other claim data and resubmit as a corrected claim.</v>
      </c>
    </row>
    <row r="152" customFormat="false" ht="15" hidden="false" customHeight="false" outlineLevel="0" collapsed="false">
      <c r="A152" s="7" t="s">
        <v>16</v>
      </c>
      <c r="B152" s="7" t="s">
        <v>475</v>
      </c>
      <c r="C152" s="8" t="n">
        <v>561246589</v>
      </c>
      <c r="D152" s="9" t="n">
        <v>46242</v>
      </c>
      <c r="E152" s="10" t="s">
        <v>856</v>
      </c>
      <c r="F152" s="11" t="n">
        <v>46163</v>
      </c>
      <c r="G152" s="10" t="s">
        <v>208</v>
      </c>
      <c r="H152" s="10" t="s">
        <v>208</v>
      </c>
      <c r="I152" s="10" t="s">
        <v>129</v>
      </c>
      <c r="J152" s="10" t="s">
        <v>857</v>
      </c>
      <c r="K152" s="9" t="n">
        <v>46245</v>
      </c>
      <c r="L152" s="12" t="str">
        <f aca="true">IF($O152="","",$O152-TODAY())</f>
        <v/>
      </c>
      <c r="M152" s="12" t="str">
        <f aca="true">IF(AND(TRIM($A152)="Finalized",$K152&lt;&gt;""),"",IF($D152="","",$D152+180-TODAY()))</f>
        <v/>
      </c>
      <c r="N152" s="12" t="str">
        <f aca="true">IF(AND(TRIM($A152)="Finalized",$K152&lt;&gt;""),"",IF($D152="","",$D152+365-TODAY()))</f>
        <v/>
      </c>
      <c r="O152" s="11" t="str">
        <f aca="false">IF(AND(TRIM($A152)="Finalized",$K152&lt;&gt;""),"",DATE(2026,8,19))</f>
        <v/>
      </c>
      <c r="P152" s="10" t="s">
        <v>165</v>
      </c>
      <c r="Q152" s="10" t="s">
        <v>210</v>
      </c>
      <c r="R152" s="10" t="s">
        <v>147</v>
      </c>
      <c r="S152" s="10" t="s">
        <v>116</v>
      </c>
      <c r="T152" s="10" t="s">
        <v>114</v>
      </c>
      <c r="U152" s="10" t="s">
        <v>116</v>
      </c>
      <c r="V152" s="10" t="s">
        <v>266</v>
      </c>
      <c r="W152" s="10" t="s">
        <v>132</v>
      </c>
      <c r="X152" s="10" t="s">
        <v>436</v>
      </c>
      <c r="Y152" s="10"/>
      <c r="Z152" s="10"/>
      <c r="AA152" s="10" t="s">
        <v>197</v>
      </c>
      <c r="AB152" s="8" t="n">
        <f aca="true">IF($F152="","",TODAY()-$F152)</f>
        <v>148</v>
      </c>
      <c r="AC152" s="10" t="s">
        <v>858</v>
      </c>
      <c r="AD152" s="10"/>
      <c r="AE152" s="10"/>
      <c r="AF152" s="10"/>
      <c r="AG152" s="10"/>
      <c r="AH152" s="10"/>
      <c r="AI152" s="10"/>
      <c r="AJ152" s="10" t="s">
        <v>859</v>
      </c>
      <c r="AK152" s="10" t="s">
        <v>751</v>
      </c>
      <c r="AL152" s="10" t="s">
        <v>642</v>
      </c>
      <c r="AM152" s="10"/>
      <c r="AN152" s="8"/>
      <c r="AO152" s="10" t="s">
        <v>546</v>
      </c>
      <c r="AP152" s="10" t="s">
        <v>175</v>
      </c>
      <c r="AQ152" s="11" t="n">
        <v>46177</v>
      </c>
      <c r="AR152" s="13"/>
      <c r="AS152" s="13"/>
      <c r="AT152" s="13"/>
      <c r="AU152" s="13"/>
      <c r="AV152" s="13" t="s">
        <v>858</v>
      </c>
      <c r="AW152" s="13"/>
      <c r="AX152" s="13" t="s">
        <v>858</v>
      </c>
      <c r="AY152" s="7" t="s">
        <v>363</v>
      </c>
      <c r="AZ152" s="7" t="s">
        <v>203</v>
      </c>
      <c r="BA152" s="7" t="s">
        <v>36</v>
      </c>
      <c r="BB152" s="7" t="s">
        <v>204</v>
      </c>
      <c r="BC152" s="7" t="s">
        <v>860</v>
      </c>
      <c r="BD152" s="9"/>
      <c r="BE152" s="7"/>
      <c r="BF152" s="14" t="str">
        <f aca="true">IF(TRIM($A152)="Finalized","Closed",IF($BD152="","No review date set",IF($BD152&lt;TODAY(),"OVERDUE",IF($BD152-TODAY()&lt;=7,"Due within 7 days","Scheduled"))))</f>
        <v>Closed</v>
      </c>
      <c r="BG152" s="14" t="n">
        <f aca="true">IF($K152="","",TODAY()-$K152)</f>
        <v>66</v>
      </c>
      <c r="BH152" s="15" t="str">
        <f aca="false">IFERROR(LEFT(IF($B152="","Notes, ","")&amp;IF($K152="","Latest Date Worked, ","")&amp;IF($AY152="","Last Action, ","")&amp;IF(AND(OR(TRIM($A152)="Denied",TRIM($A152)="Rejected"),$BA152=""),"Denial Reason, ","")&amp;IF(AND(TRIM($A152)="Denied",$BB152="",TRIM($BA152)&lt;&gt;"NO DENIAL"),"Denial Code, ","")&amp;IF(AND(TRIM($A152)&lt;&gt;"Finalized",$BD152=""),"Next Review Date, ","")&amp;IF(AND(TRIM($A152)&lt;&gt;"Finalized",$BE152=""),"Next Step, ","")&amp;IF(AND(TRIM($A152)="Finalized",$AV152="",$AR152="",$AT152="",$AX152="",$AW152=""),"CPT outcome, ",""),LEN(IF($B152="","Notes, ","")&amp;IF($K152="","Latest Date Worked, ","")&amp;IF($AY152="","Last Action, ","")&amp;IF(AND(OR(TRIM($A152)="Denied",TRIM($A152)="Rejected"),$BA152=""),"Denial Reason, ","")&amp;IF(AND(TRIM($A152)="Denied",$BB152="",TRIM($BA152)&lt;&gt;"NO DENIAL"),"Denial Code, ","")&amp;IF(AND(TRIM($A152)&lt;&gt;"Finalized",$BD152=""),"Next Review Date, ","")&amp;IF(AND(TRIM($A152)&lt;&gt;"Finalized",$BE152=""),"Next Step, ","")&amp;IF(AND(TRIM($A152)="Finalized",$AV152="",$AR152="",$AT152="",$AX152="",$AW152=""),"CPT outcome, ",""))-2),"")</f>
        <v/>
      </c>
      <c r="BI152" s="15" t="str">
        <f aca="false">IF($BB152="","",IFERROR(INDEX('Denial Codes'!$C:$C,MATCH(LEFT($BB152,FIND(" - ",$BB152&amp;" - ")+2)&amp;"*",'Denial Codes'!$A:$A,0)),""))</f>
        <v>Medical records needed</v>
      </c>
      <c r="BJ152" s="15" t="str">
        <f aca="false">IF($BA152="","",IFERROR(INDEX(Lists!$B:$B,MATCH(TRIM($BA152),Lists!$A:$A,0))&amp;"",""))</f>
        <v>Upload the MR on the payer portal, note the PIQ/reference number and set a review date.</v>
      </c>
    </row>
    <row r="153" customFormat="false" ht="15" hidden="false" customHeight="false" outlineLevel="0" collapsed="false">
      <c r="A153" s="7" t="s">
        <v>17</v>
      </c>
      <c r="B153" s="7" t="s">
        <v>203</v>
      </c>
      <c r="C153" s="8" t="n">
        <v>560710074</v>
      </c>
      <c r="D153" s="9" t="n">
        <v>46259</v>
      </c>
      <c r="E153" s="10" t="s">
        <v>861</v>
      </c>
      <c r="F153" s="11" t="n">
        <v>46163</v>
      </c>
      <c r="G153" s="10" t="s">
        <v>180</v>
      </c>
      <c r="H153" s="10" t="s">
        <v>180</v>
      </c>
      <c r="I153" s="10" t="s">
        <v>129</v>
      </c>
      <c r="J153" s="10" t="s">
        <v>556</v>
      </c>
      <c r="K153" s="9" t="n">
        <v>46246</v>
      </c>
      <c r="L153" s="12" t="n">
        <f aca="true">IF($O153="","",$O153-TODAY())</f>
        <v>-58</v>
      </c>
      <c r="M153" s="12" t="n">
        <f aca="true">IF(AND(TRIM($A153)="Finalized",$K153&lt;&gt;""),"",IF($D153="","",$D153+180-TODAY()))</f>
        <v>128</v>
      </c>
      <c r="N153" s="12" t="n">
        <f aca="true">IF(AND(TRIM($A153)="Finalized",$K153&lt;&gt;""),"",IF($D153="","",$D153+365-TODAY()))</f>
        <v>313</v>
      </c>
      <c r="O153" s="11" t="n">
        <f aca="false">IF(AND(TRIM($A153)="Finalized",$K153&lt;&gt;""),"",DATE(2026,8,19))</f>
        <v>46253</v>
      </c>
      <c r="P153" s="10" t="s">
        <v>165</v>
      </c>
      <c r="Q153" s="10" t="s">
        <v>182</v>
      </c>
      <c r="R153" s="10" t="s">
        <v>147</v>
      </c>
      <c r="S153" s="10" t="s">
        <v>116</v>
      </c>
      <c r="T153" s="10" t="s">
        <v>114</v>
      </c>
      <c r="U153" s="10" t="s">
        <v>116</v>
      </c>
      <c r="V153" s="10" t="s">
        <v>266</v>
      </c>
      <c r="W153" s="10" t="s">
        <v>196</v>
      </c>
      <c r="X153" s="10"/>
      <c r="Y153" s="10"/>
      <c r="Z153" s="10"/>
      <c r="AA153" s="10" t="s">
        <v>197</v>
      </c>
      <c r="AB153" s="8" t="n">
        <f aca="true">IF($F153="","",TODAY()-$F153)</f>
        <v>148</v>
      </c>
      <c r="AC153" s="10" t="s">
        <v>198</v>
      </c>
      <c r="AD153" s="10" t="s">
        <v>487</v>
      </c>
      <c r="AE153" s="10" t="s">
        <v>222</v>
      </c>
      <c r="AF153" s="10"/>
      <c r="AG153" s="10"/>
      <c r="AH153" s="10"/>
      <c r="AI153" s="10"/>
      <c r="AJ153" s="10" t="s">
        <v>862</v>
      </c>
      <c r="AK153" s="10"/>
      <c r="AL153" s="10"/>
      <c r="AM153" s="10"/>
      <c r="AN153" s="8"/>
      <c r="AO153" s="10" t="s">
        <v>213</v>
      </c>
      <c r="AP153" s="10" t="s">
        <v>224</v>
      </c>
      <c r="AQ153" s="11" t="n">
        <v>46171</v>
      </c>
      <c r="AR153" s="13"/>
      <c r="AS153" s="13"/>
      <c r="AT153" s="13"/>
      <c r="AU153" s="13"/>
      <c r="AV153" s="13" t="s">
        <v>222</v>
      </c>
      <c r="AW153" s="13"/>
      <c r="AX153" s="13" t="s">
        <v>558</v>
      </c>
      <c r="AY153" s="7" t="s">
        <v>203</v>
      </c>
      <c r="AZ153" s="7"/>
      <c r="BA153" s="7" t="s">
        <v>36</v>
      </c>
      <c r="BB153" s="7" t="s">
        <v>204</v>
      </c>
      <c r="BC153" s="7" t="s">
        <v>863</v>
      </c>
      <c r="BD153" s="9" t="n">
        <v>46277</v>
      </c>
      <c r="BE153" s="7"/>
      <c r="BF153" s="14" t="str">
        <f aca="true">IF(TRIM($A153)="Finalized","Closed",IF($BD153="","No review date set",IF($BD153&lt;TODAY(),"OVERDUE",IF($BD153-TODAY()&lt;=7,"Due within 7 days","Scheduled"))))</f>
        <v>OVERDUE</v>
      </c>
      <c r="BG153" s="14" t="n">
        <f aca="true">IF($K153="","",TODAY()-$K153)</f>
        <v>65</v>
      </c>
      <c r="BH153" s="15" t="str">
        <f aca="false">IFERROR(LEFT(IF($B153="","Notes, ","")&amp;IF($K153="","Latest Date Worked, ","")&amp;IF($AY153="","Last Action, ","")&amp;IF(AND(OR(TRIM($A153)="Denied",TRIM($A153)="Rejected"),$BA153=""),"Denial Reason, ","")&amp;IF(AND(TRIM($A153)="Denied",$BB153="",TRIM($BA153)&lt;&gt;"NO DENIAL"),"Denial Code, ","")&amp;IF(AND(TRIM($A153)&lt;&gt;"Finalized",$BD153=""),"Next Review Date, ","")&amp;IF(AND(TRIM($A153)&lt;&gt;"Finalized",$BE153=""),"Next Step, ","")&amp;IF(AND(TRIM($A153)="Finalized",$AV153="",$AR153="",$AT153="",$AX153="",$AW153=""),"CPT outcome, ",""),LEN(IF($B153="","Notes, ","")&amp;IF($K153="","Latest Date Worked, ","")&amp;IF($AY153="","Last Action, ","")&amp;IF(AND(OR(TRIM($A153)="Denied",TRIM($A153)="Rejected"),$BA153=""),"Denial Reason, ","")&amp;IF(AND(TRIM($A153)="Denied",$BB153="",TRIM($BA153)&lt;&gt;"NO DENIAL"),"Denial Code, ","")&amp;IF(AND(TRIM($A153)&lt;&gt;"Finalized",$BD153=""),"Next Review Date, ","")&amp;IF(AND(TRIM($A153)&lt;&gt;"Finalized",$BE153=""),"Next Step, ","")&amp;IF(AND(TRIM($A153)="Finalized",$AV153="",$AR153="",$AT153="",$AX153="",$AW153=""),"CPT outcome, ",""))-2),"")</f>
        <v>Next Step</v>
      </c>
      <c r="BI153" s="15" t="str">
        <f aca="false">IF($BB153="","",IFERROR(INDEX('Denial Codes'!$C:$C,MATCH(LEFT($BB153,FIND(" - ",$BB153&amp;" - ")+2)&amp;"*",'Denial Codes'!$A:$A,0)),""))</f>
        <v>Medical records needed</v>
      </c>
      <c r="BJ153" s="15" t="str">
        <f aca="false">IF($BA153="","",IFERROR(INDEX(Lists!$B:$B,MATCH(TRIM($BA153),Lists!$A:$A,0))&amp;"",""))</f>
        <v>Upload the MR on the payer portal, note the PIQ/reference number and set a review date.</v>
      </c>
    </row>
    <row r="154" customFormat="false" ht="15" hidden="false" customHeight="false" outlineLevel="0" collapsed="false">
      <c r="A154" s="7" t="s">
        <v>16</v>
      </c>
      <c r="B154" s="7" t="s">
        <v>475</v>
      </c>
      <c r="C154" s="8" t="n">
        <v>560027331</v>
      </c>
      <c r="D154" s="9"/>
      <c r="E154" s="10" t="s">
        <v>864</v>
      </c>
      <c r="F154" s="11" t="n">
        <v>46164</v>
      </c>
      <c r="G154" s="10" t="s">
        <v>180</v>
      </c>
      <c r="H154" s="10" t="s">
        <v>180</v>
      </c>
      <c r="I154" s="10" t="s">
        <v>129</v>
      </c>
      <c r="J154" s="10" t="s">
        <v>181</v>
      </c>
      <c r="K154" s="9" t="n">
        <v>46245</v>
      </c>
      <c r="L154" s="12" t="str">
        <f aca="true">IF($O154="","",$O154-TODAY())</f>
        <v/>
      </c>
      <c r="M154" s="12" t="str">
        <f aca="true">IF(AND(TRIM($A154)="Finalized",$K154&lt;&gt;""),"",IF($D154="","",$D154+180-TODAY()))</f>
        <v/>
      </c>
      <c r="N154" s="12" t="str">
        <f aca="true">IF(AND(TRIM($A154)="Finalized",$K154&lt;&gt;""),"",IF($D154="","",$D154+365-TODAY()))</f>
        <v/>
      </c>
      <c r="O154" s="11" t="str">
        <f aca="false">IF(AND(TRIM($A154)="Finalized",$K154&lt;&gt;""),"",DATE(2026,8,20))</f>
        <v/>
      </c>
      <c r="P154" s="10" t="s">
        <v>165</v>
      </c>
      <c r="Q154" s="10" t="s">
        <v>182</v>
      </c>
      <c r="R154" s="10" t="s">
        <v>147</v>
      </c>
      <c r="S154" s="10" t="s">
        <v>116</v>
      </c>
      <c r="T154" s="10" t="s">
        <v>114</v>
      </c>
      <c r="U154" s="10" t="s">
        <v>116</v>
      </c>
      <c r="V154" s="10" t="s">
        <v>266</v>
      </c>
      <c r="W154" s="10" t="s">
        <v>183</v>
      </c>
      <c r="X154" s="10"/>
      <c r="Y154" s="10"/>
      <c r="Z154" s="10"/>
      <c r="AA154" s="10" t="s">
        <v>197</v>
      </c>
      <c r="AB154" s="8" t="n">
        <f aca="true">IF($F154="","",TODAY()-$F154)</f>
        <v>147</v>
      </c>
      <c r="AC154" s="10" t="s">
        <v>184</v>
      </c>
      <c r="AD154" s="10" t="s">
        <v>185</v>
      </c>
      <c r="AE154" s="10"/>
      <c r="AF154" s="10"/>
      <c r="AG154" s="10"/>
      <c r="AH154" s="10"/>
      <c r="AI154" s="10"/>
      <c r="AJ154" s="10" t="s">
        <v>511</v>
      </c>
      <c r="AK154" s="10"/>
      <c r="AL154" s="10"/>
      <c r="AM154" s="10"/>
      <c r="AN154" s="8"/>
      <c r="AO154" s="10" t="s">
        <v>187</v>
      </c>
      <c r="AP154" s="10" t="s">
        <v>202</v>
      </c>
      <c r="AQ154" s="11" t="n">
        <v>46182</v>
      </c>
      <c r="AR154" s="13"/>
      <c r="AS154" s="13"/>
      <c r="AT154" s="13"/>
      <c r="AU154" s="13"/>
      <c r="AV154" s="13" t="s">
        <v>507</v>
      </c>
      <c r="AW154" s="13"/>
      <c r="AX154" s="13" t="s">
        <v>507</v>
      </c>
      <c r="AY154" s="7" t="s">
        <v>363</v>
      </c>
      <c r="AZ154" s="7" t="s">
        <v>203</v>
      </c>
      <c r="BA154" s="7" t="s">
        <v>36</v>
      </c>
      <c r="BB154" s="7" t="s">
        <v>204</v>
      </c>
      <c r="BC154" s="7" t="s">
        <v>865</v>
      </c>
      <c r="BD154" s="9"/>
      <c r="BE154" s="7"/>
      <c r="BF154" s="14" t="str">
        <f aca="true">IF(TRIM($A154)="Finalized","Closed",IF($BD154="","No review date set",IF($BD154&lt;TODAY(),"OVERDUE",IF($BD154-TODAY()&lt;=7,"Due within 7 days","Scheduled"))))</f>
        <v>Closed</v>
      </c>
      <c r="BG154" s="14" t="n">
        <f aca="true">IF($K154="","",TODAY()-$K154)</f>
        <v>66</v>
      </c>
      <c r="BH154" s="15" t="str">
        <f aca="false">IFERROR(LEFT(IF($B154="","Notes, ","")&amp;IF($K154="","Latest Date Worked, ","")&amp;IF($AY154="","Last Action, ","")&amp;IF(AND(OR(TRIM($A154)="Denied",TRIM($A154)="Rejected"),$BA154=""),"Denial Reason, ","")&amp;IF(AND(TRIM($A154)="Denied",$BB154="",TRIM($BA154)&lt;&gt;"NO DENIAL"),"Denial Code, ","")&amp;IF(AND(TRIM($A154)&lt;&gt;"Finalized",$BD154=""),"Next Review Date, ","")&amp;IF(AND(TRIM($A154)&lt;&gt;"Finalized",$BE154=""),"Next Step, ","")&amp;IF(AND(TRIM($A154)="Finalized",$AV154="",$AR154="",$AT154="",$AX154="",$AW154=""),"CPT outcome, ",""),LEN(IF($B154="","Notes, ","")&amp;IF($K154="","Latest Date Worked, ","")&amp;IF($AY154="","Last Action, ","")&amp;IF(AND(OR(TRIM($A154)="Denied",TRIM($A154)="Rejected"),$BA154=""),"Denial Reason, ","")&amp;IF(AND(TRIM($A154)="Denied",$BB154="",TRIM($BA154)&lt;&gt;"NO DENIAL"),"Denial Code, ","")&amp;IF(AND(TRIM($A154)&lt;&gt;"Finalized",$BD154=""),"Next Review Date, ","")&amp;IF(AND(TRIM($A154)&lt;&gt;"Finalized",$BE154=""),"Next Step, ","")&amp;IF(AND(TRIM($A154)="Finalized",$AV154="",$AR154="",$AT154="",$AX154="",$AW154=""),"CPT outcome, ",""))-2),"")</f>
        <v/>
      </c>
      <c r="BI154" s="15" t="str">
        <f aca="false">IF($BB154="","",IFERROR(INDEX('Denial Codes'!$C:$C,MATCH(LEFT($BB154,FIND(" - ",$BB154&amp;" - ")+2)&amp;"*",'Denial Codes'!$A:$A,0)),""))</f>
        <v>Medical records needed</v>
      </c>
      <c r="BJ154" s="15" t="str">
        <f aca="false">IF($BA154="","",IFERROR(INDEX(Lists!$B:$B,MATCH(TRIM($BA154),Lists!$A:$A,0))&amp;"",""))</f>
        <v>Upload the MR on the payer portal, note the PIQ/reference number and set a review date.</v>
      </c>
    </row>
    <row r="155" customFormat="false" ht="15" hidden="false" customHeight="false" outlineLevel="0" collapsed="false">
      <c r="A155" s="7" t="s">
        <v>17</v>
      </c>
      <c r="B155" s="7" t="s">
        <v>866</v>
      </c>
      <c r="C155" s="8" t="n">
        <v>568293538</v>
      </c>
      <c r="D155" s="9" t="n">
        <v>46276</v>
      </c>
      <c r="E155" s="10" t="s">
        <v>867</v>
      </c>
      <c r="F155" s="11" t="n">
        <v>46164</v>
      </c>
      <c r="G155" s="10" t="s">
        <v>637</v>
      </c>
      <c r="H155" s="10" t="s">
        <v>637</v>
      </c>
      <c r="I155" s="10" t="s">
        <v>129</v>
      </c>
      <c r="J155" s="10" t="s">
        <v>424</v>
      </c>
      <c r="K155" s="9" t="n">
        <v>46245</v>
      </c>
      <c r="L155" s="12" t="str">
        <f aca="true">IF($O155="","",$O155-TODAY())</f>
        <v/>
      </c>
      <c r="M155" s="12"/>
      <c r="N155" s="12"/>
      <c r="O155" s="11"/>
      <c r="P155" s="10"/>
      <c r="Q155" s="10" t="s">
        <v>131</v>
      </c>
      <c r="R155" s="10"/>
      <c r="S155" s="10"/>
      <c r="T155" s="10"/>
      <c r="U155" s="10"/>
      <c r="V155" s="10" t="s">
        <v>266</v>
      </c>
      <c r="W155" s="10" t="s">
        <v>183</v>
      </c>
      <c r="X155" s="10"/>
      <c r="Y155" s="10"/>
      <c r="Z155" s="10"/>
      <c r="AA155" s="10" t="s">
        <v>197</v>
      </c>
      <c r="AB155" s="8" t="n">
        <f aca="true">IF($F155="","",TODAY()-$F155)</f>
        <v>147</v>
      </c>
      <c r="AC155" s="10" t="s">
        <v>211</v>
      </c>
      <c r="AD155" s="10" t="s">
        <v>184</v>
      </c>
      <c r="AE155" s="10"/>
      <c r="AF155" s="10"/>
      <c r="AG155" s="10"/>
      <c r="AH155" s="10"/>
      <c r="AI155" s="10"/>
      <c r="AJ155" s="10" t="s">
        <v>403</v>
      </c>
      <c r="AK155" s="10" t="s">
        <v>385</v>
      </c>
      <c r="AL155" s="10"/>
      <c r="AM155" s="10"/>
      <c r="AN155" s="8"/>
      <c r="AO155" s="10" t="s">
        <v>341</v>
      </c>
      <c r="AP155" s="10" t="s">
        <v>188</v>
      </c>
      <c r="AQ155" s="11" t="n">
        <v>46181</v>
      </c>
      <c r="AR155" s="13"/>
      <c r="AS155" s="13"/>
      <c r="AT155" s="13"/>
      <c r="AU155" s="13"/>
      <c r="AV155" s="13"/>
      <c r="AW155" s="13"/>
      <c r="AX155" s="13"/>
      <c r="AY155" s="7" t="s">
        <v>159</v>
      </c>
      <c r="AZ155" s="7"/>
      <c r="BA155" s="7" t="s">
        <v>46</v>
      </c>
      <c r="BB155" s="7"/>
      <c r="BC155" s="7"/>
      <c r="BD155" s="9" t="n">
        <v>46276</v>
      </c>
      <c r="BE155" s="7"/>
      <c r="BF155" s="14" t="str">
        <f aca="true">IF(TRIM($A155)="Finalized","Closed",IF($BD155="","No review date set",IF($BD155&lt;TODAY(),"OVERDUE",IF($BD155-TODAY()&lt;=7,"Due within 7 days","Scheduled"))))</f>
        <v>OVERDUE</v>
      </c>
      <c r="BG155" s="14" t="n">
        <f aca="true">IF($K155="","",TODAY()-$K155)</f>
        <v>66</v>
      </c>
      <c r="BH155" s="15" t="str">
        <f aca="false">IFERROR(LEFT(IF($B155="","Notes, ","")&amp;IF($K155="","Latest Date Worked, ","")&amp;IF($AY155="","Last Action, ","")&amp;IF(AND(OR(TRIM($A155)="Denied",TRIM($A155)="Rejected"),$BA155=""),"Denial Reason, ","")&amp;IF(AND(TRIM($A155)="Denied",$BB155="",TRIM($BA155)&lt;&gt;"NO DENIAL"),"Denial Code, ","")&amp;IF(AND(TRIM($A155)&lt;&gt;"Finalized",$BD155=""),"Next Review Date, ","")&amp;IF(AND(TRIM($A155)&lt;&gt;"Finalized",$BE155=""),"Next Step, ","")&amp;IF(AND(TRIM($A155)="Finalized",$AV155="",$AR155="",$AT155="",$AX155="",$AW155=""),"CPT outcome, ",""),LEN(IF($B155="","Notes, ","")&amp;IF($K155="","Latest Date Worked, ","")&amp;IF($AY155="","Last Action, ","")&amp;IF(AND(OR(TRIM($A155)="Denied",TRIM($A155)="Rejected"),$BA155=""),"Denial Reason, ","")&amp;IF(AND(TRIM($A155)="Denied",$BB155="",TRIM($BA155)&lt;&gt;"NO DENIAL"),"Denial Code, ","")&amp;IF(AND(TRIM($A155)&lt;&gt;"Finalized",$BD155=""),"Next Review Date, ","")&amp;IF(AND(TRIM($A155)&lt;&gt;"Finalized",$BE155=""),"Next Step, ","")&amp;IF(AND(TRIM($A155)="Finalized",$AV155="",$AR155="",$AT155="",$AX155="",$AW155=""),"CPT outcome, ",""))-2),"")</f>
        <v>Denial Code, Next Step</v>
      </c>
      <c r="BI155" s="15" t="str">
        <f aca="false">IF($BB155="","",IFERROR(INDEX('Denial Codes'!$C:$C,MATCH(LEFT($BB155,FIND(" - ",$BB155&amp;" - ")+2)&amp;"*",'Denial Codes'!$A:$A,0)),""))</f>
        <v/>
      </c>
      <c r="BJ155" s="15" t="str">
        <f aca="false">IF($BA155="","",IFERROR(INDEX(Lists!$B:$B,MATCH(TRIM($BA155),Lists!$A:$A,0))&amp;"",""))</f>
        <v>Verify eligibility; correct the member ID/MBI, name or DOB and resubmit.</v>
      </c>
    </row>
    <row r="156" customFormat="false" ht="15" hidden="false" customHeight="false" outlineLevel="0" collapsed="false">
      <c r="A156" s="7" t="s">
        <v>16</v>
      </c>
      <c r="B156" s="7" t="s">
        <v>868</v>
      </c>
      <c r="C156" s="8" t="n">
        <v>560711490</v>
      </c>
      <c r="D156" s="9" t="n">
        <v>46181</v>
      </c>
      <c r="E156" s="10" t="s">
        <v>869</v>
      </c>
      <c r="F156" s="11" t="n">
        <v>46168</v>
      </c>
      <c r="G156" s="10" t="s">
        <v>218</v>
      </c>
      <c r="H156" s="10" t="s">
        <v>218</v>
      </c>
      <c r="I156" s="10" t="s">
        <v>129</v>
      </c>
      <c r="J156" s="10" t="s">
        <v>194</v>
      </c>
      <c r="K156" s="9" t="n">
        <v>46250</v>
      </c>
      <c r="L156" s="12" t="str">
        <f aca="true">IF($O156="","",$O156-TODAY())</f>
        <v/>
      </c>
      <c r="M156" s="12" t="str">
        <f aca="true">IF(AND(TRIM($A156)="Finalized",$K156&lt;&gt;""),"",IF($F156="","",$F156+90-TODAY()))</f>
        <v/>
      </c>
      <c r="N156" s="12" t="str">
        <f aca="true">IF(AND(TRIM($A156)="Finalized",$K156&lt;&gt;""),"",IF($D156="","",$D156+180-TODAY()))</f>
        <v/>
      </c>
      <c r="O156" s="11" t="str">
        <f aca="false">IF(AND(TRIM($A156)="Finalized",$K156&lt;&gt;""),"",DATE(2026,8,24))</f>
        <v/>
      </c>
      <c r="P156" s="10" t="s">
        <v>165</v>
      </c>
      <c r="Q156" s="10" t="s">
        <v>220</v>
      </c>
      <c r="R156" s="10" t="s">
        <v>165</v>
      </c>
      <c r="S156" s="10" t="s">
        <v>149</v>
      </c>
      <c r="T156" s="10" t="s">
        <v>147</v>
      </c>
      <c r="U156" s="10" t="s">
        <v>116</v>
      </c>
      <c r="V156" s="10" t="s">
        <v>266</v>
      </c>
      <c r="W156" s="10" t="s">
        <v>196</v>
      </c>
      <c r="X156" s="10"/>
      <c r="Y156" s="10"/>
      <c r="Z156" s="10"/>
      <c r="AA156" s="10" t="s">
        <v>197</v>
      </c>
      <c r="AB156" s="8" t="n">
        <f aca="true">IF($F156="","",TODAY()-$F156)</f>
        <v>143</v>
      </c>
      <c r="AC156" s="10" t="s">
        <v>198</v>
      </c>
      <c r="AD156" s="10"/>
      <c r="AE156" s="10"/>
      <c r="AF156" s="10"/>
      <c r="AG156" s="10"/>
      <c r="AH156" s="10"/>
      <c r="AI156" s="10"/>
      <c r="AJ156" s="10" t="s">
        <v>350</v>
      </c>
      <c r="AK156" s="10" t="s">
        <v>415</v>
      </c>
      <c r="AL156" s="10" t="s">
        <v>414</v>
      </c>
      <c r="AM156" s="10"/>
      <c r="AN156" s="8"/>
      <c r="AO156" s="10" t="s">
        <v>201</v>
      </c>
      <c r="AP156" s="10" t="s">
        <v>202</v>
      </c>
      <c r="AQ156" s="11" t="n">
        <v>46171</v>
      </c>
      <c r="AR156" s="13"/>
      <c r="AS156" s="13"/>
      <c r="AT156" s="13"/>
      <c r="AU156" s="13"/>
      <c r="AV156" s="13" t="s">
        <v>198</v>
      </c>
      <c r="AW156" s="13"/>
      <c r="AX156" s="13" t="s">
        <v>198</v>
      </c>
      <c r="AY156" s="7" t="s">
        <v>363</v>
      </c>
      <c r="AZ156" s="7" t="s">
        <v>159</v>
      </c>
      <c r="BA156" s="7" t="s">
        <v>39</v>
      </c>
      <c r="BB156" s="7" t="s">
        <v>806</v>
      </c>
      <c r="BC156" s="7"/>
      <c r="BD156" s="9"/>
      <c r="BE156" s="7"/>
      <c r="BF156" s="14" t="str">
        <f aca="true">IF(TRIM($A156)="Finalized","Closed",IF($BD156="","No review date set",IF($BD156&lt;TODAY(),"OVERDUE",IF($BD156-TODAY()&lt;=7,"Due within 7 days","Scheduled"))))</f>
        <v>Closed</v>
      </c>
      <c r="BG156" s="14" t="n">
        <f aca="true">IF($K156="","",TODAY()-$K156)</f>
        <v>61</v>
      </c>
      <c r="BH156" s="15" t="str">
        <f aca="false">IFERROR(LEFT(IF($B156="","Notes, ","")&amp;IF($K156="","Latest Date Worked, ","")&amp;IF($AY156="","Last Action, ","")&amp;IF(AND(OR(TRIM($A156)="Denied",TRIM($A156)="Rejected"),$BA156=""),"Denial Reason, ","")&amp;IF(AND(TRIM($A156)="Denied",$BB156="",TRIM($BA156)&lt;&gt;"NO DENIAL"),"Denial Code, ","")&amp;IF(AND(TRIM($A156)&lt;&gt;"Finalized",$BD156=""),"Next Review Date, ","")&amp;IF(AND(TRIM($A156)&lt;&gt;"Finalized",$BE156=""),"Next Step, ","")&amp;IF(AND(TRIM($A156)="Finalized",$AV156="",$AR156="",$AT156="",$AX156="",$AW156=""),"CPT outcome, ",""),LEN(IF($B156="","Notes, ","")&amp;IF($K156="","Latest Date Worked, ","")&amp;IF($AY156="","Last Action, ","")&amp;IF(AND(OR(TRIM($A156)="Denied",TRIM($A156)="Rejected"),$BA156=""),"Denial Reason, ","")&amp;IF(AND(TRIM($A156)="Denied",$BB156="",TRIM($BA156)&lt;&gt;"NO DENIAL"),"Denial Code, ","")&amp;IF(AND(TRIM($A156)&lt;&gt;"Finalized",$BD156=""),"Next Review Date, ","")&amp;IF(AND(TRIM($A156)&lt;&gt;"Finalized",$BE156=""),"Next Step, ","")&amp;IF(AND(TRIM($A156)="Finalized",$AV156="",$AR156="",$AT156="",$AX156="",$AW156=""),"CPT outcome, ",""))-2),"")</f>
        <v/>
      </c>
      <c r="BI156" s="15" t="str">
        <f aca="false">IF($BB156="","",IFERROR(INDEX('Denial Codes'!$C:$C,MATCH(LEFT($BB156,FIND(" - ",$BB156&amp;" - ")+2)&amp;"*",'Denial Codes'!$A:$A,0)),""))</f>
        <v>Diagnosis issue</v>
      </c>
      <c r="BJ156" s="15" t="str">
        <f aca="false">IF($BA156="","",IFERROR(INDEX(Lists!$B:$B,MATCH(TRIM($BA156),Lists!$A:$A,0))&amp;"",""))</f>
        <v>Review the diagnosis codes and pointers with the chart; correct and resubmit.</v>
      </c>
    </row>
    <row r="157" customFormat="false" ht="15" hidden="false" customHeight="false" outlineLevel="0" collapsed="false">
      <c r="A157" s="7" t="s">
        <v>16</v>
      </c>
      <c r="B157" s="7" t="s">
        <v>870</v>
      </c>
      <c r="C157" s="8" t="n">
        <v>563202144</v>
      </c>
      <c r="D157" s="9" t="n">
        <v>46219</v>
      </c>
      <c r="E157" s="10" t="s">
        <v>871</v>
      </c>
      <c r="F157" s="11" t="n">
        <v>46169</v>
      </c>
      <c r="G157" s="10" t="s">
        <v>180</v>
      </c>
      <c r="H157" s="10" t="s">
        <v>180</v>
      </c>
      <c r="I157" s="10" t="s">
        <v>129</v>
      </c>
      <c r="J157" s="10" t="s">
        <v>872</v>
      </c>
      <c r="K157" s="9" t="n">
        <v>46250</v>
      </c>
      <c r="L157" s="12" t="str">
        <f aca="true">IF($O157="","",$O157-TODAY())</f>
        <v/>
      </c>
      <c r="M157" s="12" t="str">
        <f aca="true">IF(AND(TRIM($A157)="Finalized",$K157&lt;&gt;""),"",IF($D157="","",$D157+180-TODAY()))</f>
        <v/>
      </c>
      <c r="N157" s="12" t="str">
        <f aca="true">IF(AND(TRIM($A157)="Finalized",$K157&lt;&gt;""),"",IF($D157="","",$D157+365-TODAY()))</f>
        <v/>
      </c>
      <c r="O157" s="11" t="str">
        <f aca="false">IF(AND(TRIM($A157)="Finalized",$K157&lt;&gt;""),"",DATE(2026,8,25))</f>
        <v/>
      </c>
      <c r="P157" s="10" t="s">
        <v>165</v>
      </c>
      <c r="Q157" s="10" t="s">
        <v>182</v>
      </c>
      <c r="R157" s="10" t="s">
        <v>147</v>
      </c>
      <c r="S157" s="10" t="s">
        <v>116</v>
      </c>
      <c r="T157" s="10" t="s">
        <v>114</v>
      </c>
      <c r="U157" s="10" t="s">
        <v>116</v>
      </c>
      <c r="V157" s="10" t="s">
        <v>266</v>
      </c>
      <c r="W157" s="10" t="s">
        <v>132</v>
      </c>
      <c r="X157" s="10"/>
      <c r="Y157" s="10"/>
      <c r="Z157" s="10"/>
      <c r="AA157" s="10" t="s">
        <v>197</v>
      </c>
      <c r="AB157" s="8" t="n">
        <f aca="true">IF($F157="","",TODAY()-$F157)</f>
        <v>142</v>
      </c>
      <c r="AC157" s="10" t="s">
        <v>702</v>
      </c>
      <c r="AD157" s="10"/>
      <c r="AE157" s="10"/>
      <c r="AF157" s="10"/>
      <c r="AG157" s="10"/>
      <c r="AH157" s="10"/>
      <c r="AI157" s="10"/>
      <c r="AJ157" s="10" t="s">
        <v>170</v>
      </c>
      <c r="AK157" s="10" t="s">
        <v>525</v>
      </c>
      <c r="AL157" s="10" t="s">
        <v>291</v>
      </c>
      <c r="AM157" s="10" t="s">
        <v>873</v>
      </c>
      <c r="AN157" s="8"/>
      <c r="AO157" s="10" t="s">
        <v>255</v>
      </c>
      <c r="AP157" s="10" t="s">
        <v>175</v>
      </c>
      <c r="AQ157" s="11" t="n">
        <v>46177</v>
      </c>
      <c r="AR157" s="13"/>
      <c r="AS157" s="13"/>
      <c r="AT157" s="13"/>
      <c r="AU157" s="13"/>
      <c r="AV157" s="13" t="s">
        <v>702</v>
      </c>
      <c r="AW157" s="13"/>
      <c r="AX157" s="13" t="s">
        <v>702</v>
      </c>
      <c r="AY157" s="7" t="s">
        <v>363</v>
      </c>
      <c r="AZ157" s="7" t="s">
        <v>354</v>
      </c>
      <c r="BA157" s="7" t="s">
        <v>34</v>
      </c>
      <c r="BB157" s="7" t="s">
        <v>464</v>
      </c>
      <c r="BC157" s="7" t="s">
        <v>874</v>
      </c>
      <c r="BD157" s="9"/>
      <c r="BE157" s="7"/>
      <c r="BF157" s="14" t="str">
        <f aca="true">IF(TRIM($A157)="Finalized","Closed",IF($BD157="","No review date set",IF($BD157&lt;TODAY(),"OVERDUE",IF($BD157-TODAY()&lt;=7,"Due within 7 days","Scheduled"))))</f>
        <v>Closed</v>
      </c>
      <c r="BG157" s="14" t="n">
        <f aca="true">IF($K157="","",TODAY()-$K157)</f>
        <v>61</v>
      </c>
      <c r="BH157" s="15" t="str">
        <f aca="false">IFERROR(LEFT(IF($B157="","Notes, ","")&amp;IF($K157="","Latest Date Worked, ","")&amp;IF($AY157="","Last Action, ","")&amp;IF(AND(OR(TRIM($A157)="Denied",TRIM($A157)="Rejected"),$BA157=""),"Denial Reason, ","")&amp;IF(AND(TRIM($A157)="Denied",$BB157="",TRIM($BA157)&lt;&gt;"NO DENIAL"),"Denial Code, ","")&amp;IF(AND(TRIM($A157)&lt;&gt;"Finalized",$BD157=""),"Next Review Date, ","")&amp;IF(AND(TRIM($A157)&lt;&gt;"Finalized",$BE157=""),"Next Step, ","")&amp;IF(AND(TRIM($A157)="Finalized",$AV157="",$AR157="",$AT157="",$AX157="",$AW157=""),"CPT outcome, ",""),LEN(IF($B157="","Notes, ","")&amp;IF($K157="","Latest Date Worked, ","")&amp;IF($AY157="","Last Action, ","")&amp;IF(AND(OR(TRIM($A157)="Denied",TRIM($A157)="Rejected"),$BA157=""),"Denial Reason, ","")&amp;IF(AND(TRIM($A157)="Denied",$BB157="",TRIM($BA157)&lt;&gt;"NO DENIAL"),"Denial Code, ","")&amp;IF(AND(TRIM($A157)&lt;&gt;"Finalized",$BD157=""),"Next Review Date, ","")&amp;IF(AND(TRIM($A157)&lt;&gt;"Finalized",$BE157=""),"Next Step, ","")&amp;IF(AND(TRIM($A157)="Finalized",$AV157="",$AR157="",$AT157="",$AX157="",$AW157=""),"CPT outcome, ",""))-2),"")</f>
        <v/>
      </c>
      <c r="BI157" s="15" t="str">
        <f aca="false">IF($BB157="","",IFERROR(INDEX('Denial Codes'!$C:$C,MATCH(LEFT($BB157,FIND(" - ",$BB157&amp;" - ")+2)&amp;"*",'Denial Codes'!$A:$A,0)),""))</f>
        <v>No authorization</v>
      </c>
      <c r="BJ157" s="15" t="str">
        <f aca="false">IF($BA157="","",IFERROR(INDEX(Lists!$B:$B,MATCH(TRIM($BA157),Lists!$A:$A,0))&amp;"",""))</f>
        <v>Check the portal for an auth; request a retro-auth or file an appeal with the auth number, then resubmit.</v>
      </c>
    </row>
    <row r="158" customFormat="false" ht="15" hidden="false" customHeight="false" outlineLevel="0" collapsed="false">
      <c r="A158" s="7" t="s">
        <v>16</v>
      </c>
      <c r="B158" s="7" t="s">
        <v>875</v>
      </c>
      <c r="C158" s="8" t="n">
        <v>560713422</v>
      </c>
      <c r="D158" s="9" t="n">
        <v>46177</v>
      </c>
      <c r="E158" s="10" t="s">
        <v>876</v>
      </c>
      <c r="F158" s="11" t="n">
        <v>46169</v>
      </c>
      <c r="G158" s="10" t="s">
        <v>218</v>
      </c>
      <c r="H158" s="10" t="s">
        <v>218</v>
      </c>
      <c r="I158" s="10" t="s">
        <v>129</v>
      </c>
      <c r="J158" s="10" t="s">
        <v>486</v>
      </c>
      <c r="K158" s="9" t="n">
        <v>46251</v>
      </c>
      <c r="L158" s="12" t="str">
        <f aca="true">IF($O158="","",$O158-TODAY())</f>
        <v/>
      </c>
      <c r="M158" s="12" t="str">
        <f aca="true">IF(AND(TRIM($A158)="Finalized",$K158&lt;&gt;""),"",IF($F158="","",$F158+90-TODAY()))</f>
        <v/>
      </c>
      <c r="N158" s="12" t="str">
        <f aca="true">IF(AND(TRIM($A158)="Finalized",$K158&lt;&gt;""),"",IF($D158="","",$D158+180-TODAY()))</f>
        <v/>
      </c>
      <c r="O158" s="11" t="str">
        <f aca="false">IF(AND(TRIM($A158)="Finalized",$K158&lt;&gt;""),"",DATE(2026,8,25))</f>
        <v/>
      </c>
      <c r="P158" s="10" t="s">
        <v>165</v>
      </c>
      <c r="Q158" s="10" t="s">
        <v>220</v>
      </c>
      <c r="R158" s="10" t="s">
        <v>165</v>
      </c>
      <c r="S158" s="10" t="s">
        <v>149</v>
      </c>
      <c r="T158" s="10" t="s">
        <v>147</v>
      </c>
      <c r="U158" s="10" t="s">
        <v>116</v>
      </c>
      <c r="V158" s="10" t="s">
        <v>266</v>
      </c>
      <c r="W158" s="10" t="s">
        <v>196</v>
      </c>
      <c r="X158" s="10"/>
      <c r="Y158" s="10"/>
      <c r="Z158" s="10"/>
      <c r="AA158" s="10" t="s">
        <v>197</v>
      </c>
      <c r="AB158" s="8" t="n">
        <f aca="true">IF($F158="","",TODAY()-$F158)</f>
        <v>142</v>
      </c>
      <c r="AC158" s="10" t="s">
        <v>198</v>
      </c>
      <c r="AD158" s="10" t="s">
        <v>487</v>
      </c>
      <c r="AE158" s="10"/>
      <c r="AF158" s="10"/>
      <c r="AG158" s="10"/>
      <c r="AH158" s="10"/>
      <c r="AI158" s="10"/>
      <c r="AJ158" s="10" t="s">
        <v>877</v>
      </c>
      <c r="AK158" s="10" t="s">
        <v>199</v>
      </c>
      <c r="AL158" s="10" t="s">
        <v>139</v>
      </c>
      <c r="AM158" s="10" t="s">
        <v>580</v>
      </c>
      <c r="AN158" s="8"/>
      <c r="AO158" s="10" t="s">
        <v>255</v>
      </c>
      <c r="AP158" s="10" t="s">
        <v>268</v>
      </c>
      <c r="AQ158" s="11" t="n">
        <v>46171</v>
      </c>
      <c r="AR158" s="13"/>
      <c r="AS158" s="13"/>
      <c r="AT158" s="13"/>
      <c r="AU158" s="13"/>
      <c r="AV158" s="13" t="s">
        <v>198</v>
      </c>
      <c r="AW158" s="13"/>
      <c r="AX158" s="13" t="s">
        <v>489</v>
      </c>
      <c r="AY158" s="7" t="s">
        <v>363</v>
      </c>
      <c r="AZ158" s="7" t="s">
        <v>159</v>
      </c>
      <c r="BA158" s="7" t="s">
        <v>39</v>
      </c>
      <c r="BB158" s="7" t="s">
        <v>806</v>
      </c>
      <c r="BC158" s="7"/>
      <c r="BD158" s="9"/>
      <c r="BE158" s="7"/>
      <c r="BF158" s="14" t="str">
        <f aca="true">IF(TRIM($A158)="Finalized","Closed",IF($BD158="","No review date set",IF($BD158&lt;TODAY(),"OVERDUE",IF($BD158-TODAY()&lt;=7,"Due within 7 days","Scheduled"))))</f>
        <v>Closed</v>
      </c>
      <c r="BG158" s="14" t="n">
        <f aca="true">IF($K158="","",TODAY()-$K158)</f>
        <v>60</v>
      </c>
      <c r="BH158" s="15" t="str">
        <f aca="false">IFERROR(LEFT(IF($B158="","Notes, ","")&amp;IF($K158="","Latest Date Worked, ","")&amp;IF($AY158="","Last Action, ","")&amp;IF(AND(OR(TRIM($A158)="Denied",TRIM($A158)="Rejected"),$BA158=""),"Denial Reason, ","")&amp;IF(AND(TRIM($A158)="Denied",$BB158="",TRIM($BA158)&lt;&gt;"NO DENIAL"),"Denial Code, ","")&amp;IF(AND(TRIM($A158)&lt;&gt;"Finalized",$BD158=""),"Next Review Date, ","")&amp;IF(AND(TRIM($A158)&lt;&gt;"Finalized",$BE158=""),"Next Step, ","")&amp;IF(AND(TRIM($A158)="Finalized",$AV158="",$AR158="",$AT158="",$AX158="",$AW158=""),"CPT outcome, ",""),LEN(IF($B158="","Notes, ","")&amp;IF($K158="","Latest Date Worked, ","")&amp;IF($AY158="","Last Action, ","")&amp;IF(AND(OR(TRIM($A158)="Denied",TRIM($A158)="Rejected"),$BA158=""),"Denial Reason, ","")&amp;IF(AND(TRIM($A158)="Denied",$BB158="",TRIM($BA158)&lt;&gt;"NO DENIAL"),"Denial Code, ","")&amp;IF(AND(TRIM($A158)&lt;&gt;"Finalized",$BD158=""),"Next Review Date, ","")&amp;IF(AND(TRIM($A158)&lt;&gt;"Finalized",$BE158=""),"Next Step, ","")&amp;IF(AND(TRIM($A158)="Finalized",$AV158="",$AR158="",$AT158="",$AX158="",$AW158=""),"CPT outcome, ",""))-2),"")</f>
        <v/>
      </c>
      <c r="BI158" s="15" t="str">
        <f aca="false">IF($BB158="","",IFERROR(INDEX('Denial Codes'!$C:$C,MATCH(LEFT($BB158,FIND(" - ",$BB158&amp;" - ")+2)&amp;"*",'Denial Codes'!$A:$A,0)),""))</f>
        <v>Diagnosis issue</v>
      </c>
      <c r="BJ158" s="15" t="str">
        <f aca="false">IF($BA158="","",IFERROR(INDEX(Lists!$B:$B,MATCH(TRIM($BA158),Lists!$A:$A,0))&amp;"",""))</f>
        <v>Review the diagnosis codes and pointers with the chart; correct and resubmit.</v>
      </c>
    </row>
    <row r="159" customFormat="false" ht="15" hidden="false" customHeight="false" outlineLevel="0" collapsed="false">
      <c r="A159" s="7" t="s">
        <v>17</v>
      </c>
      <c r="B159" s="7" t="s">
        <v>878</v>
      </c>
      <c r="C159" s="8" t="n">
        <v>564111540</v>
      </c>
      <c r="D159" s="9" t="n">
        <v>46211</v>
      </c>
      <c r="E159" s="10" t="s">
        <v>879</v>
      </c>
      <c r="F159" s="11" t="n">
        <v>46199</v>
      </c>
      <c r="G159" s="10" t="s">
        <v>627</v>
      </c>
      <c r="H159" s="10" t="s">
        <v>627</v>
      </c>
      <c r="I159" s="10" t="s">
        <v>227</v>
      </c>
      <c r="J159" s="10" t="s">
        <v>261</v>
      </c>
      <c r="K159" s="9" t="n">
        <v>46254</v>
      </c>
      <c r="L159" s="12" t="n">
        <f aca="true">IF($O159="","",$O159-TODAY())</f>
        <v>-52</v>
      </c>
      <c r="M159" s="12" t="n">
        <f aca="true">IF(AND(TRIM($A159)="Finalized",$K159&lt;&gt;""),"",IF($D159="","",$D159+365-TODAY()))</f>
        <v>265</v>
      </c>
      <c r="N159" s="12" t="n">
        <f aca="true">IF(AND(TRIM($A159)="Finalized",$K159&lt;&gt;""),"",IF($D159="","",$D159+90-TODAY()))</f>
        <v>-10</v>
      </c>
      <c r="O159" s="11" t="n">
        <f aca="false">IF(AND(TRIM($A159)="Finalized",$K159&lt;&gt;""),"",DATE(2026,8,25))</f>
        <v>46259</v>
      </c>
      <c r="P159" s="10" t="s">
        <v>324</v>
      </c>
      <c r="Q159" s="10" t="s">
        <v>628</v>
      </c>
      <c r="R159" s="10" t="s">
        <v>114</v>
      </c>
      <c r="S159" s="10" t="s">
        <v>116</v>
      </c>
      <c r="T159" s="10" t="s">
        <v>165</v>
      </c>
      <c r="U159" s="10" t="s">
        <v>116</v>
      </c>
      <c r="V159" s="10" t="s">
        <v>303</v>
      </c>
      <c r="W159" s="10" t="s">
        <v>119</v>
      </c>
      <c r="X159" s="10" t="s">
        <v>120</v>
      </c>
      <c r="Y159" s="10"/>
      <c r="Z159" s="10"/>
      <c r="AA159" s="10" t="s">
        <v>230</v>
      </c>
      <c r="AB159" s="8" t="n">
        <f aca="true">IF($F159="","",TODAY()-$F159)</f>
        <v>112</v>
      </c>
      <c r="AC159" s="10" t="s">
        <v>122</v>
      </c>
      <c r="AD159" s="10"/>
      <c r="AE159" s="10"/>
      <c r="AF159" s="10"/>
      <c r="AG159" s="10"/>
      <c r="AH159" s="10"/>
      <c r="AI159" s="10"/>
      <c r="AJ159" s="10" t="s">
        <v>123</v>
      </c>
      <c r="AK159" s="10" t="s">
        <v>124</v>
      </c>
      <c r="AL159" s="10"/>
      <c r="AM159" s="10"/>
      <c r="AN159" s="8"/>
      <c r="AO159" s="10" t="s">
        <v>262</v>
      </c>
      <c r="AP159" s="10" t="s">
        <v>156</v>
      </c>
      <c r="AQ159" s="11" t="n">
        <v>46205</v>
      </c>
      <c r="AR159" s="13"/>
      <c r="AS159" s="13"/>
      <c r="AT159" s="13"/>
      <c r="AU159" s="13"/>
      <c r="AV159" s="13"/>
      <c r="AW159" s="13"/>
      <c r="AX159" s="13" t="s">
        <v>122</v>
      </c>
      <c r="AY159" s="7" t="s">
        <v>203</v>
      </c>
      <c r="AZ159" s="7" t="s">
        <v>328</v>
      </c>
      <c r="BA159" s="7" t="s">
        <v>36</v>
      </c>
      <c r="BB159" s="7" t="s">
        <v>204</v>
      </c>
      <c r="BC159" s="7" t="s">
        <v>880</v>
      </c>
      <c r="BD159" s="9" t="n">
        <v>46285</v>
      </c>
      <c r="BE159" s="7"/>
      <c r="BF159" s="14" t="str">
        <f aca="true">IF(TRIM($A159)="Finalized","Closed",IF($BD159="","No review date set",IF($BD159&lt;TODAY(),"OVERDUE",IF($BD159-TODAY()&lt;=7,"Due within 7 days","Scheduled"))))</f>
        <v>OVERDUE</v>
      </c>
      <c r="BG159" s="14" t="n">
        <f aca="true">IF($K159="","",TODAY()-$K159)</f>
        <v>57</v>
      </c>
      <c r="BH159" s="15" t="str">
        <f aca="false">IFERROR(LEFT(IF($B159="","Notes, ","")&amp;IF($K159="","Latest Date Worked, ","")&amp;IF($AY159="","Last Action, ","")&amp;IF(AND(OR(TRIM($A159)="Denied",TRIM($A159)="Rejected"),$BA159=""),"Denial Reason, ","")&amp;IF(AND(TRIM($A159)="Denied",$BB159="",TRIM($BA159)&lt;&gt;"NO DENIAL"),"Denial Code, ","")&amp;IF(AND(TRIM($A159)&lt;&gt;"Finalized",$BD159=""),"Next Review Date, ","")&amp;IF(AND(TRIM($A159)&lt;&gt;"Finalized",$BE159=""),"Next Step, ","")&amp;IF(AND(TRIM($A159)="Finalized",$AV159="",$AR159="",$AT159="",$AX159="",$AW159=""),"CPT outcome, ",""),LEN(IF($B159="","Notes, ","")&amp;IF($K159="","Latest Date Worked, ","")&amp;IF($AY159="","Last Action, ","")&amp;IF(AND(OR(TRIM($A159)="Denied",TRIM($A159)="Rejected"),$BA159=""),"Denial Reason, ","")&amp;IF(AND(TRIM($A159)="Denied",$BB159="",TRIM($BA159)&lt;&gt;"NO DENIAL"),"Denial Code, ","")&amp;IF(AND(TRIM($A159)&lt;&gt;"Finalized",$BD159=""),"Next Review Date, ","")&amp;IF(AND(TRIM($A159)&lt;&gt;"Finalized",$BE159=""),"Next Step, ","")&amp;IF(AND(TRIM($A159)="Finalized",$AV159="",$AR159="",$AT159="",$AX159="",$AW159=""),"CPT outcome, ",""))-2),"")</f>
        <v>Next Step</v>
      </c>
      <c r="BI159" s="15" t="str">
        <f aca="false">IF($BB159="","",IFERROR(INDEX('Denial Codes'!$C:$C,MATCH(LEFT($BB159,FIND(" - ",$BB159&amp;" - ")+2)&amp;"*",'Denial Codes'!$A:$A,0)),""))</f>
        <v>Medical records needed</v>
      </c>
      <c r="BJ159" s="15" t="str">
        <f aca="false">IF($BA159="","",IFERROR(INDEX(Lists!$B:$B,MATCH(TRIM($BA159),Lists!$A:$A,0))&amp;"",""))</f>
        <v>Upload the MR on the payer portal, note the PIQ/reference number and set a review date.</v>
      </c>
    </row>
    <row r="160" customFormat="false" ht="15" hidden="false" customHeight="false" outlineLevel="0" collapsed="false">
      <c r="A160" s="7" t="s">
        <v>19</v>
      </c>
      <c r="B160" s="7" t="s">
        <v>881</v>
      </c>
      <c r="C160" s="8" t="n">
        <v>568675091</v>
      </c>
      <c r="D160" s="9" t="n">
        <v>46262</v>
      </c>
      <c r="E160" s="10" t="s">
        <v>882</v>
      </c>
      <c r="F160" s="11" t="n">
        <v>46140</v>
      </c>
      <c r="G160" s="10" t="s">
        <v>111</v>
      </c>
      <c r="H160" s="10" t="s">
        <v>111</v>
      </c>
      <c r="I160" s="10" t="s">
        <v>129</v>
      </c>
      <c r="J160" s="10" t="s">
        <v>724</v>
      </c>
      <c r="K160" s="9" t="n">
        <v>46248</v>
      </c>
      <c r="L160" s="12" t="n">
        <f aca="true">IF($O160="","",$O160-TODAY())</f>
        <v>-51</v>
      </c>
      <c r="M160" s="12" t="n">
        <f aca="true">IF(AND(TRIM($A160)="Finalized",$K160&lt;&gt;""),"",IF($D160="","",$D160+180-TODAY()))</f>
        <v>131</v>
      </c>
      <c r="N160" s="12" t="n">
        <f aca="true">IF(AND(TRIM($A160)="Finalized",$K160&lt;&gt;""),"",IF($D160="","",$D160+180-TODAY()))</f>
        <v>131</v>
      </c>
      <c r="O160" s="11" t="n">
        <f aca="false">IF(AND(TRIM($A160)="Finalized",$K160&lt;&gt;""),"",DATE(2026,8,26))</f>
        <v>46260</v>
      </c>
      <c r="P160" s="10" t="s">
        <v>117</v>
      </c>
      <c r="Q160" s="10" t="s">
        <v>609</v>
      </c>
      <c r="R160" s="10" t="s">
        <v>147</v>
      </c>
      <c r="S160" s="10" t="s">
        <v>116</v>
      </c>
      <c r="T160" s="10" t="s">
        <v>147</v>
      </c>
      <c r="U160" s="10" t="s">
        <v>116</v>
      </c>
      <c r="V160" s="10" t="s">
        <v>221</v>
      </c>
      <c r="W160" s="10" t="s">
        <v>196</v>
      </c>
      <c r="X160" s="10"/>
      <c r="Y160" s="10"/>
      <c r="Z160" s="10"/>
      <c r="AA160" s="10" t="s">
        <v>197</v>
      </c>
      <c r="AB160" s="8" t="n">
        <f aca="true">IF($F160="","",TODAY()-$F160)</f>
        <v>171</v>
      </c>
      <c r="AC160" s="10" t="s">
        <v>487</v>
      </c>
      <c r="AD160" s="10"/>
      <c r="AE160" s="10"/>
      <c r="AF160" s="10"/>
      <c r="AG160" s="10"/>
      <c r="AH160" s="10"/>
      <c r="AI160" s="10"/>
      <c r="AJ160" s="10" t="s">
        <v>306</v>
      </c>
      <c r="AK160" s="10" t="s">
        <v>883</v>
      </c>
      <c r="AL160" s="10" t="s">
        <v>884</v>
      </c>
      <c r="AM160" s="10"/>
      <c r="AN160" s="8"/>
      <c r="AO160" s="10" t="s">
        <v>201</v>
      </c>
      <c r="AP160" s="10" t="s">
        <v>202</v>
      </c>
      <c r="AQ160" s="11" t="n">
        <v>46248</v>
      </c>
      <c r="AR160" s="13"/>
      <c r="AS160" s="13"/>
      <c r="AT160" s="13"/>
      <c r="AU160" s="13"/>
      <c r="AV160" s="13"/>
      <c r="AW160" s="13"/>
      <c r="AX160" s="13" t="s">
        <v>487</v>
      </c>
      <c r="AY160" s="7" t="s">
        <v>159</v>
      </c>
      <c r="AZ160" s="7"/>
      <c r="BA160" s="7" t="s">
        <v>37</v>
      </c>
      <c r="BB160" s="7"/>
      <c r="BC160" s="7"/>
      <c r="BD160" s="9" t="n">
        <v>46279</v>
      </c>
      <c r="BE160" s="7"/>
      <c r="BF160" s="14" t="str">
        <f aca="true">IF(TRIM($A160)="Finalized","Closed",IF($BD160="","No review date set",IF($BD160&lt;TODAY(),"OVERDUE",IF($BD160-TODAY()&lt;=7,"Due within 7 days","Scheduled"))))</f>
        <v>OVERDUE</v>
      </c>
      <c r="BG160" s="14" t="n">
        <f aca="true">IF($K160="","",TODAY()-$K160)</f>
        <v>63</v>
      </c>
      <c r="BH160" s="15" t="str">
        <f aca="false">IFERROR(LEFT(IF($B160="","Notes, ","")&amp;IF($K160="","Latest Date Worked, ","")&amp;IF($AY160="","Last Action, ","")&amp;IF(AND(OR(TRIM($A160)="Denied",TRIM($A160)="Rejected"),$BA160=""),"Denial Reason, ","")&amp;IF(AND(TRIM($A160)="Denied",$BB160="",TRIM($BA160)&lt;&gt;"NO DENIAL"),"Denial Code, ","")&amp;IF(AND(TRIM($A160)&lt;&gt;"Finalized",$BD160=""),"Next Review Date, ","")&amp;IF(AND(TRIM($A160)&lt;&gt;"Finalized",$BE160=""),"Next Step, ","")&amp;IF(AND(TRIM($A160)="Finalized",$AV160="",$AR160="",$AT160="",$AX160="",$AW160=""),"CPT outcome, ",""),LEN(IF($B160="","Notes, ","")&amp;IF($K160="","Latest Date Worked, ","")&amp;IF($AY160="","Last Action, ","")&amp;IF(AND(OR(TRIM($A160)="Denied",TRIM($A160)="Rejected"),$BA160=""),"Denial Reason, ","")&amp;IF(AND(TRIM($A160)="Denied",$BB160="",TRIM($BA160)&lt;&gt;"NO DENIAL"),"Denial Code, ","")&amp;IF(AND(TRIM($A160)&lt;&gt;"Finalized",$BD160=""),"Next Review Date, ","")&amp;IF(AND(TRIM($A160)&lt;&gt;"Finalized",$BE160=""),"Next Step, ","")&amp;IF(AND(TRIM($A160)="Finalized",$AV160="",$AR160="",$AT160="",$AX160="",$AW160=""),"CPT outcome, ",""))-2),"")</f>
        <v>Next Step</v>
      </c>
      <c r="BI160" s="15" t="str">
        <f aca="false">IF($BB160="","",IFERROR(INDEX('Denial Codes'!$C:$C,MATCH(LEFT($BB160,FIND(" - ",$BB160&amp;" - ")+2)&amp;"*",'Denial Codes'!$A:$A,0)),""))</f>
        <v/>
      </c>
      <c r="BJ160" s="15" t="str">
        <f aca="false">IF($BA160="","",IFERROR(INDEX(Lists!$B:$B,MATCH(TRIM($BA160),Lists!$A:$A,0))&amp;"",""))</f>
        <v>Check the NCCI pair; if the service was distinct, add 59/XU (or XS) and resubmit; otherwise adjust.</v>
      </c>
    </row>
    <row r="161" customFormat="false" ht="15" hidden="false" customHeight="false" outlineLevel="0" collapsed="false">
      <c r="A161" s="7" t="s">
        <v>16</v>
      </c>
      <c r="B161" s="7" t="s">
        <v>885</v>
      </c>
      <c r="C161" s="8" t="n">
        <v>560664762</v>
      </c>
      <c r="D161" s="9" t="n">
        <v>46191</v>
      </c>
      <c r="E161" s="10" t="s">
        <v>468</v>
      </c>
      <c r="F161" s="11" t="n">
        <v>46171</v>
      </c>
      <c r="G161" s="10" t="s">
        <v>369</v>
      </c>
      <c r="H161" s="10" t="s">
        <v>369</v>
      </c>
      <c r="I161" s="10" t="s">
        <v>129</v>
      </c>
      <c r="J161" s="10" t="s">
        <v>424</v>
      </c>
      <c r="K161" s="9" t="n">
        <v>46245</v>
      </c>
      <c r="L161" s="12" t="str">
        <f aca="true">IF($O161="","",$O161-TODAY())</f>
        <v/>
      </c>
      <c r="M161" s="12" t="str">
        <f aca="true">IF(AND(TRIM($A161)="Finalized",$K161&lt;&gt;""),"",IF($D161="","",$D161+365-TODAY()))</f>
        <v/>
      </c>
      <c r="N161" s="12" t="str">
        <f aca="true">IF(AND(TRIM($A161)="Finalized",$K161&lt;&gt;""),"",IF($D161="","",$D161+365-TODAY()))</f>
        <v/>
      </c>
      <c r="O161" s="11" t="str">
        <f aca="false">IF(AND(TRIM($A161)="Finalized",$K161&lt;&gt;""),"",DATE(2026,8,27))</f>
        <v/>
      </c>
      <c r="P161" s="10" t="s">
        <v>165</v>
      </c>
      <c r="Q161" s="10" t="s">
        <v>371</v>
      </c>
      <c r="R161" s="10" t="s">
        <v>114</v>
      </c>
      <c r="S161" s="10" t="s">
        <v>116</v>
      </c>
      <c r="T161" s="10" t="s">
        <v>114</v>
      </c>
      <c r="U161" s="10" t="s">
        <v>116</v>
      </c>
      <c r="V161" s="10" t="s">
        <v>266</v>
      </c>
      <c r="W161" s="10" t="s">
        <v>183</v>
      </c>
      <c r="X161" s="10"/>
      <c r="Y161" s="10"/>
      <c r="Z161" s="10"/>
      <c r="AA161" s="10" t="s">
        <v>197</v>
      </c>
      <c r="AB161" s="8" t="n">
        <f aca="true">IF($F161="","",TODAY()-$F161)</f>
        <v>140</v>
      </c>
      <c r="AC161" s="10" t="s">
        <v>211</v>
      </c>
      <c r="AD161" s="10" t="s">
        <v>184</v>
      </c>
      <c r="AE161" s="10"/>
      <c r="AF161" s="10"/>
      <c r="AG161" s="10"/>
      <c r="AH161" s="10"/>
      <c r="AI161" s="10"/>
      <c r="AJ161" s="10" t="s">
        <v>186</v>
      </c>
      <c r="AK161" s="10"/>
      <c r="AL161" s="10"/>
      <c r="AM161" s="10"/>
      <c r="AN161" s="8"/>
      <c r="AO161" s="10" t="s">
        <v>201</v>
      </c>
      <c r="AP161" s="10" t="s">
        <v>202</v>
      </c>
      <c r="AQ161" s="11" t="n">
        <v>46182</v>
      </c>
      <c r="AR161" s="13"/>
      <c r="AS161" s="13"/>
      <c r="AT161" s="13"/>
      <c r="AU161" s="13"/>
      <c r="AV161" s="13"/>
      <c r="AW161" s="13"/>
      <c r="AX161" s="13" t="s">
        <v>214</v>
      </c>
      <c r="AY161" s="7" t="s">
        <v>159</v>
      </c>
      <c r="AZ161" s="7"/>
      <c r="BA161" s="7" t="s">
        <v>40</v>
      </c>
      <c r="BB161" s="7" t="s">
        <v>372</v>
      </c>
      <c r="BC161" s="7"/>
      <c r="BD161" s="9"/>
      <c r="BE161" s="7"/>
      <c r="BF161" s="14" t="str">
        <f aca="true">IF(TRIM($A161)="Finalized","Closed",IF($BD161="","No review date set",IF($BD161&lt;TODAY(),"OVERDUE",IF($BD161-TODAY()&lt;=7,"Due within 7 days","Scheduled"))))</f>
        <v>Closed</v>
      </c>
      <c r="BG161" s="14" t="n">
        <f aca="true">IF($K161="","",TODAY()-$K161)</f>
        <v>66</v>
      </c>
      <c r="BH161" s="15" t="str">
        <f aca="false">IFERROR(LEFT(IF($B161="","Notes, ","")&amp;IF($K161="","Latest Date Worked, ","")&amp;IF($AY161="","Last Action, ","")&amp;IF(AND(OR(TRIM($A161)="Denied",TRIM($A161)="Rejected"),$BA161=""),"Denial Reason, ","")&amp;IF(AND(TRIM($A161)="Denied",$BB161="",TRIM($BA161)&lt;&gt;"NO DENIAL"),"Denial Code, ","")&amp;IF(AND(TRIM($A161)&lt;&gt;"Finalized",$BD161=""),"Next Review Date, ","")&amp;IF(AND(TRIM($A161)&lt;&gt;"Finalized",$BE161=""),"Next Step, ","")&amp;IF(AND(TRIM($A161)="Finalized",$AV161="",$AR161="",$AT161="",$AX161="",$AW161=""),"CPT outcome, ",""),LEN(IF($B161="","Notes, ","")&amp;IF($K161="","Latest Date Worked, ","")&amp;IF($AY161="","Last Action, ","")&amp;IF(AND(OR(TRIM($A161)="Denied",TRIM($A161)="Rejected"),$BA161=""),"Denial Reason, ","")&amp;IF(AND(TRIM($A161)="Denied",$BB161="",TRIM($BA161)&lt;&gt;"NO DENIAL"),"Denial Code, ","")&amp;IF(AND(TRIM($A161)&lt;&gt;"Finalized",$BD161=""),"Next Review Date, ","")&amp;IF(AND(TRIM($A161)&lt;&gt;"Finalized",$BE161=""),"Next Step, ","")&amp;IF(AND(TRIM($A161)="Finalized",$AV161="",$AR161="",$AT161="",$AX161="",$AW161=""),"CPT outcome, ",""))-2),"")</f>
        <v/>
      </c>
      <c r="BI161" s="15" t="str">
        <f aca="false">IF($BB161="","",IFERROR(INDEX('Denial Codes'!$C:$C,MATCH(LEFT($BB161,FIND(" - ",$BB161&amp;" - ")+2)&amp;"*",'Denial Codes'!$A:$A,0)),""))</f>
        <v>Coding / billing error</v>
      </c>
      <c r="BJ161" s="15" t="str">
        <f aca="false">IF($BA161="","",IFERROR(INDEX(Lists!$B:$B,MATCH(TRIM($BA161),Lists!$A:$A,0))&amp;"",""))</f>
        <v>Fix the code, units, charge or other claim data and resubmit as a corrected claim.</v>
      </c>
    </row>
    <row r="162" customFormat="false" ht="15" hidden="false" customHeight="false" outlineLevel="0" collapsed="false">
      <c r="A162" s="7" t="s">
        <v>19</v>
      </c>
      <c r="B162" s="7" t="s">
        <v>886</v>
      </c>
      <c r="C162" s="8" t="n">
        <v>568676394</v>
      </c>
      <c r="D162" s="9" t="n">
        <v>46276</v>
      </c>
      <c r="E162" s="10" t="s">
        <v>887</v>
      </c>
      <c r="F162" s="11" t="n">
        <v>46141</v>
      </c>
      <c r="G162" s="10" t="s">
        <v>672</v>
      </c>
      <c r="H162" s="10" t="s">
        <v>672</v>
      </c>
      <c r="I162" s="10" t="s">
        <v>129</v>
      </c>
      <c r="J162" s="10" t="s">
        <v>724</v>
      </c>
      <c r="K162" s="9" t="n">
        <v>46248</v>
      </c>
      <c r="L162" s="12" t="n">
        <f aca="true">IF($O162="","",$O162-TODAY())</f>
        <v>-50</v>
      </c>
      <c r="M162" s="12" t="n">
        <f aca="true">IF(AND(TRIM($A162)="Finalized",$K162&lt;&gt;""),"",IF($D162="","",$D162+180-TODAY()))</f>
        <v>145</v>
      </c>
      <c r="N162" s="12" t="n">
        <f aca="true">IF(AND(TRIM($A162)="Finalized",$K162&lt;&gt;""),"",IF($D162="","",$D162+180-TODAY()))</f>
        <v>145</v>
      </c>
      <c r="O162" s="11" t="n">
        <f aca="false">IF(AND(TRIM($A162)="Finalized",$K162&lt;&gt;""),"",DATE(2026,8,27))</f>
        <v>46261</v>
      </c>
      <c r="P162" s="10" t="s">
        <v>117</v>
      </c>
      <c r="Q162" s="10" t="s">
        <v>740</v>
      </c>
      <c r="R162" s="10" t="s">
        <v>147</v>
      </c>
      <c r="S162" s="10" t="s">
        <v>116</v>
      </c>
      <c r="T162" s="10" t="s">
        <v>147</v>
      </c>
      <c r="U162" s="10" t="s">
        <v>116</v>
      </c>
      <c r="V162" s="10" t="s">
        <v>221</v>
      </c>
      <c r="W162" s="10" t="s">
        <v>196</v>
      </c>
      <c r="X162" s="10"/>
      <c r="Y162" s="10"/>
      <c r="Z162" s="10"/>
      <c r="AA162" s="10" t="s">
        <v>197</v>
      </c>
      <c r="AB162" s="8" t="n">
        <f aca="true">IF($F162="","",TODAY()-$F162)</f>
        <v>170</v>
      </c>
      <c r="AC162" s="10" t="s">
        <v>487</v>
      </c>
      <c r="AD162" s="10"/>
      <c r="AE162" s="10"/>
      <c r="AF162" s="10"/>
      <c r="AG162" s="10"/>
      <c r="AH162" s="10"/>
      <c r="AI162" s="10"/>
      <c r="AJ162" s="10" t="s">
        <v>350</v>
      </c>
      <c r="AK162" s="10" t="s">
        <v>267</v>
      </c>
      <c r="AL162" s="10"/>
      <c r="AM162" s="10"/>
      <c r="AN162" s="8"/>
      <c r="AO162" s="10" t="s">
        <v>255</v>
      </c>
      <c r="AP162" s="10" t="s">
        <v>188</v>
      </c>
      <c r="AQ162" s="11" t="n">
        <v>46248</v>
      </c>
      <c r="AR162" s="13"/>
      <c r="AS162" s="13"/>
      <c r="AT162" s="13"/>
      <c r="AU162" s="13"/>
      <c r="AV162" s="13"/>
      <c r="AW162" s="13"/>
      <c r="AX162" s="13" t="s">
        <v>487</v>
      </c>
      <c r="AY162" s="7" t="s">
        <v>159</v>
      </c>
      <c r="AZ162" s="7"/>
      <c r="BA162" s="7" t="s">
        <v>37</v>
      </c>
      <c r="BB162" s="7"/>
      <c r="BC162" s="7"/>
      <c r="BD162" s="9" t="n">
        <v>46279</v>
      </c>
      <c r="BE162" s="7"/>
      <c r="BF162" s="14" t="str">
        <f aca="true">IF(TRIM($A162)="Finalized","Closed",IF($BD162="","No review date set",IF($BD162&lt;TODAY(),"OVERDUE",IF($BD162-TODAY()&lt;=7,"Due within 7 days","Scheduled"))))</f>
        <v>OVERDUE</v>
      </c>
      <c r="BG162" s="14" t="n">
        <f aca="true">IF($K162="","",TODAY()-$K162)</f>
        <v>63</v>
      </c>
      <c r="BH162" s="15" t="str">
        <f aca="false">IFERROR(LEFT(IF($B162="","Notes, ","")&amp;IF($K162="","Latest Date Worked, ","")&amp;IF($AY162="","Last Action, ","")&amp;IF(AND(OR(TRIM($A162)="Denied",TRIM($A162)="Rejected"),$BA162=""),"Denial Reason, ","")&amp;IF(AND(TRIM($A162)="Denied",$BB162="",TRIM($BA162)&lt;&gt;"NO DENIAL"),"Denial Code, ","")&amp;IF(AND(TRIM($A162)&lt;&gt;"Finalized",$BD162=""),"Next Review Date, ","")&amp;IF(AND(TRIM($A162)&lt;&gt;"Finalized",$BE162=""),"Next Step, ","")&amp;IF(AND(TRIM($A162)="Finalized",$AV162="",$AR162="",$AT162="",$AX162="",$AW162=""),"CPT outcome, ",""),LEN(IF($B162="","Notes, ","")&amp;IF($K162="","Latest Date Worked, ","")&amp;IF($AY162="","Last Action, ","")&amp;IF(AND(OR(TRIM($A162)="Denied",TRIM($A162)="Rejected"),$BA162=""),"Denial Reason, ","")&amp;IF(AND(TRIM($A162)="Denied",$BB162="",TRIM($BA162)&lt;&gt;"NO DENIAL"),"Denial Code, ","")&amp;IF(AND(TRIM($A162)&lt;&gt;"Finalized",$BD162=""),"Next Review Date, ","")&amp;IF(AND(TRIM($A162)&lt;&gt;"Finalized",$BE162=""),"Next Step, ","")&amp;IF(AND(TRIM($A162)="Finalized",$AV162="",$AR162="",$AT162="",$AX162="",$AW162=""),"CPT outcome, ",""))-2),"")</f>
        <v>Next Step</v>
      </c>
      <c r="BI162" s="15" t="str">
        <f aca="false">IF($BB162="","",IFERROR(INDEX('Denial Codes'!$C:$C,MATCH(LEFT($BB162,FIND(" - ",$BB162&amp;" - ")+2)&amp;"*",'Denial Codes'!$A:$A,0)),""))</f>
        <v/>
      </c>
      <c r="BJ162" s="15" t="str">
        <f aca="false">IF($BA162="","",IFERROR(INDEX(Lists!$B:$B,MATCH(TRIM($BA162),Lists!$A:$A,0))&amp;"",""))</f>
        <v>Check the NCCI pair; if the service was distinct, add 59/XU (or XS) and resubmit; otherwise adjust.</v>
      </c>
    </row>
    <row r="163" customFormat="false" ht="15" hidden="false" customHeight="false" outlineLevel="0" collapsed="false">
      <c r="A163" s="7" t="s">
        <v>16</v>
      </c>
      <c r="B163" s="7" t="s">
        <v>888</v>
      </c>
      <c r="C163" s="8" t="n">
        <v>558643526</v>
      </c>
      <c r="D163" s="9"/>
      <c r="E163" s="10" t="s">
        <v>889</v>
      </c>
      <c r="F163" s="11" t="n">
        <v>46142</v>
      </c>
      <c r="G163" s="10" t="s">
        <v>763</v>
      </c>
      <c r="H163" s="10" t="s">
        <v>763</v>
      </c>
      <c r="I163" s="10" t="s">
        <v>129</v>
      </c>
      <c r="J163" s="10" t="s">
        <v>724</v>
      </c>
      <c r="K163" s="9" t="n">
        <v>46248</v>
      </c>
      <c r="L163" s="12" t="str">
        <f aca="true">IF($O163="","",$O163-TODAY())</f>
        <v/>
      </c>
      <c r="M163" s="12" t="str">
        <f aca="true">IF(AND(TRIM($A163)="Finalized",$K163&lt;&gt;""),"",IF($F163="","",$F163+365-TODAY()))</f>
        <v/>
      </c>
      <c r="N163" s="12" t="str">
        <f aca="true">IF(AND(TRIM($A163)="Finalized",$K163&lt;&gt;""),"",IF($D163="","",$D163+180-TODAY()))</f>
        <v/>
      </c>
      <c r="O163" s="11" t="str">
        <f aca="false">IF(AND(TRIM($A163)="Finalized",$K163&lt;&gt;""),"",DATE(2026,8,28))</f>
        <v/>
      </c>
      <c r="P163" s="10" t="s">
        <v>117</v>
      </c>
      <c r="Q163" s="10" t="s">
        <v>763</v>
      </c>
      <c r="R163" s="10" t="s">
        <v>114</v>
      </c>
      <c r="S163" s="10" t="s">
        <v>149</v>
      </c>
      <c r="T163" s="10" t="s">
        <v>147</v>
      </c>
      <c r="U163" s="10" t="s">
        <v>116</v>
      </c>
      <c r="V163" s="10" t="s">
        <v>221</v>
      </c>
      <c r="W163" s="10" t="s">
        <v>196</v>
      </c>
      <c r="X163" s="10"/>
      <c r="Y163" s="10"/>
      <c r="Z163" s="10"/>
      <c r="AA163" s="10" t="s">
        <v>197</v>
      </c>
      <c r="AB163" s="8" t="n">
        <f aca="true">IF($F163="","",TODAY()-$F163)</f>
        <v>169</v>
      </c>
      <c r="AC163" s="10" t="s">
        <v>487</v>
      </c>
      <c r="AD163" s="10"/>
      <c r="AE163" s="10"/>
      <c r="AF163" s="10"/>
      <c r="AG163" s="10"/>
      <c r="AH163" s="10"/>
      <c r="AI163" s="10"/>
      <c r="AJ163" s="10" t="s">
        <v>123</v>
      </c>
      <c r="AK163" s="10" t="s">
        <v>552</v>
      </c>
      <c r="AL163" s="10"/>
      <c r="AM163" s="10"/>
      <c r="AN163" s="8"/>
      <c r="AO163" s="10" t="s">
        <v>213</v>
      </c>
      <c r="AP163" s="10" t="s">
        <v>224</v>
      </c>
      <c r="AQ163" s="11" t="n">
        <v>46148</v>
      </c>
      <c r="AR163" s="13"/>
      <c r="AS163" s="13"/>
      <c r="AT163" s="13"/>
      <c r="AU163" s="13"/>
      <c r="AV163" s="13" t="s">
        <v>487</v>
      </c>
      <c r="AW163" s="13"/>
      <c r="AX163" s="13" t="s">
        <v>487</v>
      </c>
      <c r="AY163" s="7" t="s">
        <v>363</v>
      </c>
      <c r="AZ163" s="7" t="s">
        <v>159</v>
      </c>
      <c r="BA163" s="7" t="s">
        <v>37</v>
      </c>
      <c r="BB163" s="7" t="s">
        <v>890</v>
      </c>
      <c r="BC163" s="7" t="s">
        <v>891</v>
      </c>
      <c r="BD163" s="9"/>
      <c r="BE163" s="7"/>
      <c r="BF163" s="14" t="str">
        <f aca="true">IF(TRIM($A163)="Finalized","Closed",IF($BD163="","No review date set",IF($BD163&lt;TODAY(),"OVERDUE",IF($BD163-TODAY()&lt;=7,"Due within 7 days","Scheduled"))))</f>
        <v>Closed</v>
      </c>
      <c r="BG163" s="14" t="n">
        <f aca="true">IF($K163="","",TODAY()-$K163)</f>
        <v>63</v>
      </c>
      <c r="BH163" s="15" t="str">
        <f aca="false">IFERROR(LEFT(IF($B163="","Notes, ","")&amp;IF($K163="","Latest Date Worked, ","")&amp;IF($AY163="","Last Action, ","")&amp;IF(AND(OR(TRIM($A163)="Denied",TRIM($A163)="Rejected"),$BA163=""),"Denial Reason, ","")&amp;IF(AND(TRIM($A163)="Denied",$BB163="",TRIM($BA163)&lt;&gt;"NO DENIAL"),"Denial Code, ","")&amp;IF(AND(TRIM($A163)&lt;&gt;"Finalized",$BD163=""),"Next Review Date, ","")&amp;IF(AND(TRIM($A163)&lt;&gt;"Finalized",$BE163=""),"Next Step, ","")&amp;IF(AND(TRIM($A163)="Finalized",$AV163="",$AR163="",$AT163="",$AX163="",$AW163=""),"CPT outcome, ",""),LEN(IF($B163="","Notes, ","")&amp;IF($K163="","Latest Date Worked, ","")&amp;IF($AY163="","Last Action, ","")&amp;IF(AND(OR(TRIM($A163)="Denied",TRIM($A163)="Rejected"),$BA163=""),"Denial Reason, ","")&amp;IF(AND(TRIM($A163)="Denied",$BB163="",TRIM($BA163)&lt;&gt;"NO DENIAL"),"Denial Code, ","")&amp;IF(AND(TRIM($A163)&lt;&gt;"Finalized",$BD163=""),"Next Review Date, ","")&amp;IF(AND(TRIM($A163)&lt;&gt;"Finalized",$BE163=""),"Next Step, ","")&amp;IF(AND(TRIM($A163)="Finalized",$AV163="",$AR163="",$AT163="",$AX163="",$AW163=""),"CPT outcome, ",""))-2),"")</f>
        <v/>
      </c>
      <c r="BI163" s="15" t="str">
        <f aca="false">IF($BB163="","",IFERROR(INDEX('Denial Codes'!$C:$C,MATCH(LEFT($BB163,FIND(" - ",$BB163&amp;" - ")+2)&amp;"*",'Denial Codes'!$A:$A,0)),""))</f>
        <v>Bundled / NCCI edit</v>
      </c>
      <c r="BJ163" s="15" t="str">
        <f aca="false">IF($BA163="","",IFERROR(INDEX(Lists!$B:$B,MATCH(TRIM($BA163),Lists!$A:$A,0))&amp;"",""))</f>
        <v>Check the NCCI pair; if the service was distinct, add 59/XU (or XS) and resubmit; otherwise adjust.</v>
      </c>
    </row>
    <row r="164" customFormat="false" ht="15" hidden="false" customHeight="false" outlineLevel="0" collapsed="false">
      <c r="A164" s="7" t="s">
        <v>16</v>
      </c>
      <c r="B164" s="7" t="s">
        <v>892</v>
      </c>
      <c r="C164" s="8" t="n">
        <v>561591684</v>
      </c>
      <c r="D164" s="9" t="n">
        <v>46189</v>
      </c>
      <c r="E164" s="10" t="s">
        <v>893</v>
      </c>
      <c r="F164" s="11" t="n">
        <v>46143</v>
      </c>
      <c r="G164" s="10" t="s">
        <v>768</v>
      </c>
      <c r="H164" s="10" t="s">
        <v>768</v>
      </c>
      <c r="I164" s="10" t="s">
        <v>129</v>
      </c>
      <c r="J164" s="10" t="s">
        <v>894</v>
      </c>
      <c r="K164" s="9" t="n">
        <v>46250</v>
      </c>
      <c r="L164" s="12" t="str">
        <f aca="true">IF($O164="","",$O164-TODAY())</f>
        <v/>
      </c>
      <c r="M164" s="12" t="str">
        <f aca="true">IF(AND(TRIM($A164)="Finalized",$K164&lt;&gt;""),"",IF($D164="","",$D164+180-TODAY()))</f>
        <v/>
      </c>
      <c r="N164" s="12" t="str">
        <f aca="true">IF(AND(TRIM($A164)="Finalized",$K164&lt;&gt;""),"",IF($D164="","",$D164+180-TODAY()))</f>
        <v/>
      </c>
      <c r="O164" s="11" t="str">
        <f aca="false">IF(AND(TRIM($A164)="Finalized",$K164&lt;&gt;""),"",DATE(2026,8,29))</f>
        <v/>
      </c>
      <c r="P164" s="10" t="s">
        <v>117</v>
      </c>
      <c r="Q164" s="10" t="s">
        <v>609</v>
      </c>
      <c r="R164" s="10" t="s">
        <v>147</v>
      </c>
      <c r="S164" s="10" t="s">
        <v>116</v>
      </c>
      <c r="T164" s="10" t="s">
        <v>147</v>
      </c>
      <c r="U164" s="10" t="s">
        <v>116</v>
      </c>
      <c r="V164" s="10" t="s">
        <v>266</v>
      </c>
      <c r="W164" s="10" t="s">
        <v>132</v>
      </c>
      <c r="X164" s="10" t="s">
        <v>621</v>
      </c>
      <c r="Y164" s="10"/>
      <c r="Z164" s="10"/>
      <c r="AA164" s="10" t="s">
        <v>197</v>
      </c>
      <c r="AB164" s="8" t="n">
        <f aca="true">IF($F164="","",TODAY()-$F164)</f>
        <v>168</v>
      </c>
      <c r="AC164" s="10" t="s">
        <v>895</v>
      </c>
      <c r="AD164" s="10"/>
      <c r="AE164" s="10"/>
      <c r="AF164" s="10"/>
      <c r="AG164" s="10"/>
      <c r="AH164" s="10"/>
      <c r="AI164" s="10"/>
      <c r="AJ164" s="10" t="s">
        <v>686</v>
      </c>
      <c r="AK164" s="10"/>
      <c r="AL164" s="10"/>
      <c r="AM164" s="10"/>
      <c r="AN164" s="8"/>
      <c r="AO164" s="10" t="s">
        <v>187</v>
      </c>
      <c r="AP164" s="10" t="s">
        <v>188</v>
      </c>
      <c r="AQ164" s="11" t="n">
        <v>46181</v>
      </c>
      <c r="AR164" s="13"/>
      <c r="AS164" s="13"/>
      <c r="AT164" s="13"/>
      <c r="AU164" s="13"/>
      <c r="AV164" s="13" t="s">
        <v>895</v>
      </c>
      <c r="AW164" s="13"/>
      <c r="AX164" s="13" t="s">
        <v>895</v>
      </c>
      <c r="AY164" s="7" t="s">
        <v>363</v>
      </c>
      <c r="AZ164" s="7" t="s">
        <v>159</v>
      </c>
      <c r="BA164" s="7" t="s">
        <v>50</v>
      </c>
      <c r="BB164" s="7" t="s">
        <v>896</v>
      </c>
      <c r="BC164" s="7"/>
      <c r="BD164" s="9"/>
      <c r="BE164" s="7"/>
      <c r="BF164" s="14" t="str">
        <f aca="true">IF(TRIM($A164)="Finalized","Closed",IF($BD164="","No review date set",IF($BD164&lt;TODAY(),"OVERDUE",IF($BD164-TODAY()&lt;=7,"Due within 7 days","Scheduled"))))</f>
        <v>Closed</v>
      </c>
      <c r="BG164" s="14" t="n">
        <f aca="true">IF($K164="","",TODAY()-$K164)</f>
        <v>61</v>
      </c>
      <c r="BH164" s="15" t="str">
        <f aca="false">IFERROR(LEFT(IF($B164="","Notes, ","")&amp;IF($K164="","Latest Date Worked, ","")&amp;IF($AY164="","Last Action, ","")&amp;IF(AND(OR(TRIM($A164)="Denied",TRIM($A164)="Rejected"),$BA164=""),"Denial Reason, ","")&amp;IF(AND(TRIM($A164)="Denied",$BB164="",TRIM($BA164)&lt;&gt;"NO DENIAL"),"Denial Code, ","")&amp;IF(AND(TRIM($A164)&lt;&gt;"Finalized",$BD164=""),"Next Review Date, ","")&amp;IF(AND(TRIM($A164)&lt;&gt;"Finalized",$BE164=""),"Next Step, ","")&amp;IF(AND(TRIM($A164)="Finalized",$AV164="",$AR164="",$AT164="",$AX164="",$AW164=""),"CPT outcome, ",""),LEN(IF($B164="","Notes, ","")&amp;IF($K164="","Latest Date Worked, ","")&amp;IF($AY164="","Last Action, ","")&amp;IF(AND(OR(TRIM($A164)="Denied",TRIM($A164)="Rejected"),$BA164=""),"Denial Reason, ","")&amp;IF(AND(TRIM($A164)="Denied",$BB164="",TRIM($BA164)&lt;&gt;"NO DENIAL"),"Denial Code, ","")&amp;IF(AND(TRIM($A164)&lt;&gt;"Finalized",$BD164=""),"Next Review Date, ","")&amp;IF(AND(TRIM($A164)&lt;&gt;"Finalized",$BE164=""),"Next Step, ","")&amp;IF(AND(TRIM($A164)="Finalized",$AV164="",$AR164="",$AT164="",$AX164="",$AW164=""),"CPT outcome, ",""))-2),"")</f>
        <v/>
      </c>
      <c r="BI164" s="15" t="str">
        <f aca="false">IF($BB164="","",IFERROR(INDEX('Denial Codes'!$C:$C,MATCH(LEFT($BB164,FIND(" - ",$BB164&amp;" - ")+2)&amp;"*",'Denial Codes'!$A:$A,0)),""))</f>
        <v>Coding / billing error</v>
      </c>
      <c r="BJ164" s="15" t="str">
        <f aca="false">IF($BA164="","",IFERROR(INDEX(Lists!$B:$B,MATCH(TRIM($BA164),Lists!$A:$A,0))&amp;"",""))</f>
        <v>Verify the place of service (inpatient/outpatient) and correct the claim.</v>
      </c>
    </row>
    <row r="165" customFormat="false" ht="15" hidden="false" customHeight="false" outlineLevel="0" collapsed="false">
      <c r="A165" s="7" t="s">
        <v>20</v>
      </c>
      <c r="B165" s="7"/>
      <c r="C165" s="8" t="n">
        <v>562932517</v>
      </c>
      <c r="D165" s="9" t="n">
        <v>46203</v>
      </c>
      <c r="E165" s="10" t="s">
        <v>897</v>
      </c>
      <c r="F165" s="11" t="n">
        <v>46174</v>
      </c>
      <c r="G165" s="10" t="s">
        <v>163</v>
      </c>
      <c r="H165" s="10" t="s">
        <v>163</v>
      </c>
      <c r="I165" s="10" t="s">
        <v>129</v>
      </c>
      <c r="J165" s="10" t="s">
        <v>898</v>
      </c>
      <c r="K165" s="9" t="n">
        <v>46203</v>
      </c>
      <c r="L165" s="12" t="n">
        <f aca="true">IF($O165="","",$O165-TODAY())</f>
        <v>-47</v>
      </c>
      <c r="M165" s="12" t="n">
        <f aca="true">IF(AND(TRIM($A165)="Finalized",$K165&lt;&gt;""),"",IF($F165="","",$F165+90-TODAY()))</f>
        <v>-47</v>
      </c>
      <c r="N165" s="12" t="n">
        <f aca="true">IF(AND(TRIM($A165)="Finalized",$K165&lt;&gt;""),"",IF($D165="","",$D165+365-TODAY()))</f>
        <v>257</v>
      </c>
      <c r="O165" s="11" t="n">
        <f aca="false">IF(AND(TRIM($A165)="Finalized",$K165&lt;&gt;""),"",DATE(2026,8,30))</f>
        <v>46264</v>
      </c>
      <c r="P165" s="10" t="s">
        <v>165</v>
      </c>
      <c r="Q165" s="10" t="s">
        <v>166</v>
      </c>
      <c r="R165" s="10" t="s">
        <v>165</v>
      </c>
      <c r="S165" s="10" t="s">
        <v>149</v>
      </c>
      <c r="T165" s="10" t="s">
        <v>114</v>
      </c>
      <c r="U165" s="10" t="s">
        <v>116</v>
      </c>
      <c r="V165" s="10" t="s">
        <v>303</v>
      </c>
      <c r="W165" s="10" t="s">
        <v>434</v>
      </c>
      <c r="X165" s="10" t="s">
        <v>619</v>
      </c>
      <c r="Y165" s="10" t="s">
        <v>479</v>
      </c>
      <c r="Z165" s="10" t="s">
        <v>436</v>
      </c>
      <c r="AA165" s="10" t="s">
        <v>899</v>
      </c>
      <c r="AB165" s="8" t="n">
        <f aca="true">IF($F165="","",TODAY()-$F165)</f>
        <v>137</v>
      </c>
      <c r="AC165" s="10" t="s">
        <v>442</v>
      </c>
      <c r="AD165" s="10" t="s">
        <v>441</v>
      </c>
      <c r="AE165" s="10" t="s">
        <v>657</v>
      </c>
      <c r="AF165" s="10" t="s">
        <v>443</v>
      </c>
      <c r="AG165" s="10" t="s">
        <v>439</v>
      </c>
      <c r="AH165" s="10" t="s">
        <v>440</v>
      </c>
      <c r="AI165" s="10" t="s">
        <v>438</v>
      </c>
      <c r="AJ165" s="10" t="s">
        <v>444</v>
      </c>
      <c r="AK165" s="10" t="s">
        <v>445</v>
      </c>
      <c r="AL165" s="10" t="s">
        <v>446</v>
      </c>
      <c r="AM165" s="10"/>
      <c r="AN165" s="8"/>
      <c r="AO165" s="10" t="s">
        <v>447</v>
      </c>
      <c r="AP165" s="10" t="s">
        <v>327</v>
      </c>
      <c r="AQ165" s="11" t="n">
        <v>46193</v>
      </c>
      <c r="AR165" s="13"/>
      <c r="AS165" s="13"/>
      <c r="AT165" s="13"/>
      <c r="AU165" s="13"/>
      <c r="AV165" s="13"/>
      <c r="AW165" s="13"/>
      <c r="AX165" s="13"/>
      <c r="AY165" s="7" t="s">
        <v>233</v>
      </c>
      <c r="AZ165" s="7"/>
      <c r="BA165" s="7"/>
      <c r="BB165" s="7"/>
      <c r="BC165" s="7"/>
      <c r="BD165" s="9" t="n">
        <v>46233</v>
      </c>
      <c r="BE165" s="7" t="s">
        <v>527</v>
      </c>
      <c r="BF165" s="14" t="str">
        <f aca="true">IF(TRIM($A165)="Finalized","Closed",IF($BD165="","No review date set",IF($BD165&lt;TODAY(),"OVERDUE",IF($BD165-TODAY()&lt;=7,"Due within 7 days","Scheduled"))))</f>
        <v>OVERDUE</v>
      </c>
      <c r="BG165" s="14" t="n">
        <f aca="true">IF($K165="","",TODAY()-$K165)</f>
        <v>108</v>
      </c>
      <c r="BH165" s="15" t="str">
        <f aca="false">IFERROR(LEFT(IF($B165="","Notes, ","")&amp;IF($K165="","Latest Date Worked, ","")&amp;IF($AY165="","Last Action, ","")&amp;IF(AND(OR(TRIM($A165)="Denied",TRIM($A165)="Rejected"),$BA165=""),"Denial Reason, ","")&amp;IF(AND(TRIM($A165)="Denied",$BB165="",TRIM($BA165)&lt;&gt;"NO DENIAL"),"Denial Code, ","")&amp;IF(AND(TRIM($A165)&lt;&gt;"Finalized",$BD165=""),"Next Review Date, ","")&amp;IF(AND(TRIM($A165)&lt;&gt;"Finalized",$BE165=""),"Next Step, ","")&amp;IF(AND(TRIM($A165)="Finalized",$AV165="",$AR165="",$AT165="",$AX165="",$AW165=""),"CPT outcome, ",""),LEN(IF($B165="","Notes, ","")&amp;IF($K165="","Latest Date Worked, ","")&amp;IF($AY165="","Last Action, ","")&amp;IF(AND(OR(TRIM($A165)="Denied",TRIM($A165)="Rejected"),$BA165=""),"Denial Reason, ","")&amp;IF(AND(TRIM($A165)="Denied",$BB165="",TRIM($BA165)&lt;&gt;"NO DENIAL"),"Denial Code, ","")&amp;IF(AND(TRIM($A165)&lt;&gt;"Finalized",$BD165=""),"Next Review Date, ","")&amp;IF(AND(TRIM($A165)&lt;&gt;"Finalized",$BE165=""),"Next Step, ","")&amp;IF(AND(TRIM($A165)="Finalized",$AV165="",$AR165="",$AT165="",$AX165="",$AW165=""),"CPT outcome, ",""))-2),"")</f>
        <v>Notes</v>
      </c>
      <c r="BI165" s="15" t="str">
        <f aca="false">IF($BB165="","",IFERROR(INDEX('Denial Codes'!$C:$C,MATCH(LEFT($BB165,FIND(" - ",$BB165&amp;" - ")+2)&amp;"*",'Denial Codes'!$A:$A,0)),""))</f>
        <v/>
      </c>
      <c r="BJ165" s="15" t="str">
        <f aca="false">IF($BA165="","",IFERROR(INDEX(Lists!$B:$B,MATCH(TRIM($BA165),Lists!$A:$A,0))&amp;"",""))</f>
        <v/>
      </c>
    </row>
    <row r="166" customFormat="false" ht="15" hidden="false" customHeight="false" outlineLevel="0" collapsed="false">
      <c r="A166" s="7" t="s">
        <v>17</v>
      </c>
      <c r="B166" s="7" t="s">
        <v>900</v>
      </c>
      <c r="C166" s="8" t="n">
        <v>565100484</v>
      </c>
      <c r="D166" s="9" t="n">
        <v>46254</v>
      </c>
      <c r="E166" s="10" t="s">
        <v>901</v>
      </c>
      <c r="F166" s="11" t="n">
        <v>46174</v>
      </c>
      <c r="G166" s="10" t="s">
        <v>460</v>
      </c>
      <c r="H166" s="10" t="s">
        <v>460</v>
      </c>
      <c r="I166" s="10" t="s">
        <v>129</v>
      </c>
      <c r="J166" s="10" t="s">
        <v>902</v>
      </c>
      <c r="K166" s="9" t="n">
        <v>46270</v>
      </c>
      <c r="L166" s="12" t="n">
        <f aca="true">IF($O166="","",$O166-TODAY())</f>
        <v>-47</v>
      </c>
      <c r="M166" s="12" t="n">
        <f aca="true">IF(AND(TRIM($A166)="Finalized",$K166&lt;&gt;""),"",IF($D166="","",$D166+180-TODAY()))</f>
        <v>123</v>
      </c>
      <c r="N166" s="12" t="n">
        <f aca="true">IF(AND(TRIM($A166)="Finalized",$K166&lt;&gt;""),"",IF($D166="","",$D166+365-TODAY()))</f>
        <v>308</v>
      </c>
      <c r="O166" s="11" t="n">
        <f aca="false">IF(AND(TRIM($A166)="Finalized",$K166&lt;&gt;""),"",DATE(2026,8,30))</f>
        <v>46264</v>
      </c>
      <c r="P166" s="10" t="s">
        <v>165</v>
      </c>
      <c r="Q166" s="10" t="s">
        <v>462</v>
      </c>
      <c r="R166" s="10" t="s">
        <v>147</v>
      </c>
      <c r="S166" s="10" t="s">
        <v>116</v>
      </c>
      <c r="T166" s="10" t="s">
        <v>114</v>
      </c>
      <c r="U166" s="10" t="s">
        <v>116</v>
      </c>
      <c r="V166" s="10" t="s">
        <v>303</v>
      </c>
      <c r="W166" s="10" t="s">
        <v>434</v>
      </c>
      <c r="X166" s="10" t="s">
        <v>478</v>
      </c>
      <c r="Y166" s="10" t="s">
        <v>479</v>
      </c>
      <c r="Z166" s="10" t="s">
        <v>436</v>
      </c>
      <c r="AA166" s="10" t="s">
        <v>903</v>
      </c>
      <c r="AB166" s="8" t="n">
        <f aca="true">IF($F166="","",TODAY()-$F166)</f>
        <v>137</v>
      </c>
      <c r="AC166" s="10" t="s">
        <v>441</v>
      </c>
      <c r="AD166" s="10" t="s">
        <v>657</v>
      </c>
      <c r="AE166" s="10" t="s">
        <v>442</v>
      </c>
      <c r="AF166" s="10" t="s">
        <v>440</v>
      </c>
      <c r="AG166" s="10" t="s">
        <v>439</v>
      </c>
      <c r="AH166" s="10" t="s">
        <v>443</v>
      </c>
      <c r="AI166" s="10" t="s">
        <v>438</v>
      </c>
      <c r="AJ166" s="10" t="s">
        <v>444</v>
      </c>
      <c r="AK166" s="10" t="s">
        <v>445</v>
      </c>
      <c r="AL166" s="10" t="s">
        <v>446</v>
      </c>
      <c r="AM166" s="10"/>
      <c r="AN166" s="8"/>
      <c r="AO166" s="10" t="s">
        <v>447</v>
      </c>
      <c r="AP166" s="10" t="s">
        <v>327</v>
      </c>
      <c r="AQ166" s="11" t="n">
        <v>46216</v>
      </c>
      <c r="AR166" s="13" t="s">
        <v>904</v>
      </c>
      <c r="AS166" s="13" t="s">
        <v>905</v>
      </c>
      <c r="AT166" s="13"/>
      <c r="AU166" s="13"/>
      <c r="AV166" s="13" t="s">
        <v>906</v>
      </c>
      <c r="AW166" s="13" t="s">
        <v>799</v>
      </c>
      <c r="AX166" s="13" t="s">
        <v>907</v>
      </c>
      <c r="AY166" s="7" t="s">
        <v>354</v>
      </c>
      <c r="AZ166" s="7" t="s">
        <v>203</v>
      </c>
      <c r="BA166" s="7" t="s">
        <v>37</v>
      </c>
      <c r="BB166" s="7" t="s">
        <v>908</v>
      </c>
      <c r="BC166" s="7" t="s">
        <v>909</v>
      </c>
      <c r="BD166" s="9" t="n">
        <v>46300</v>
      </c>
      <c r="BE166" s="7"/>
      <c r="BF166" s="14" t="str">
        <f aca="true">IF(TRIM($A166)="Finalized","Closed",IF($BD166="","No review date set",IF($BD166&lt;TODAY(),"OVERDUE",IF($BD166-TODAY()&lt;=7,"Due within 7 days","Scheduled"))))</f>
        <v>OVERDUE</v>
      </c>
      <c r="BG166" s="14" t="n">
        <f aca="true">IF($K166="","",TODAY()-$K166)</f>
        <v>41</v>
      </c>
      <c r="BH166" s="15" t="str">
        <f aca="false">IFERROR(LEFT(IF($B166="","Notes, ","")&amp;IF($K166="","Latest Date Worked, ","")&amp;IF($AY166="","Last Action, ","")&amp;IF(AND(OR(TRIM($A166)="Denied",TRIM($A166)="Rejected"),$BA166=""),"Denial Reason, ","")&amp;IF(AND(TRIM($A166)="Denied",$BB166="",TRIM($BA166)&lt;&gt;"NO DENIAL"),"Denial Code, ","")&amp;IF(AND(TRIM($A166)&lt;&gt;"Finalized",$BD166=""),"Next Review Date, ","")&amp;IF(AND(TRIM($A166)&lt;&gt;"Finalized",$BE166=""),"Next Step, ","")&amp;IF(AND(TRIM($A166)="Finalized",$AV166="",$AR166="",$AT166="",$AX166="",$AW166=""),"CPT outcome, ",""),LEN(IF($B166="","Notes, ","")&amp;IF($K166="","Latest Date Worked, ","")&amp;IF($AY166="","Last Action, ","")&amp;IF(AND(OR(TRIM($A166)="Denied",TRIM($A166)="Rejected"),$BA166=""),"Denial Reason, ","")&amp;IF(AND(TRIM($A166)="Denied",$BB166="",TRIM($BA166)&lt;&gt;"NO DENIAL"),"Denial Code, ","")&amp;IF(AND(TRIM($A166)&lt;&gt;"Finalized",$BD166=""),"Next Review Date, ","")&amp;IF(AND(TRIM($A166)&lt;&gt;"Finalized",$BE166=""),"Next Step, ","")&amp;IF(AND(TRIM($A166)="Finalized",$AV166="",$AR166="",$AT166="",$AX166="",$AW166=""),"CPT outcome, ",""))-2),"")</f>
        <v>Next Step</v>
      </c>
      <c r="BI166" s="15" t="str">
        <f aca="false">IF($BB166="","",IFERROR(INDEX('Denial Codes'!$C:$C,MATCH(LEFT($BB166,FIND(" - ",$BB166&amp;" - ")+2)&amp;"*",'Denial Codes'!$A:$A,0)),""))</f>
        <v>Bundled / NCCI edit</v>
      </c>
      <c r="BJ166" s="15" t="str">
        <f aca="false">IF($BA166="","",IFERROR(INDEX(Lists!$B:$B,MATCH(TRIM($BA166),Lists!$A:$A,0))&amp;"",""))</f>
        <v>Check the NCCI pair; if the service was distinct, add 59/XU (or XS) and resubmit; otherwise adjust.</v>
      </c>
    </row>
    <row r="167" customFormat="false" ht="15" hidden="false" customHeight="false" outlineLevel="0" collapsed="false">
      <c r="A167" s="7" t="s">
        <v>17</v>
      </c>
      <c r="B167" s="7" t="s">
        <v>203</v>
      </c>
      <c r="C167" s="8" t="n">
        <v>562557056</v>
      </c>
      <c r="D167" s="9" t="n">
        <v>46256</v>
      </c>
      <c r="E167" s="10" t="s">
        <v>910</v>
      </c>
      <c r="F167" s="11" t="n">
        <v>46174</v>
      </c>
      <c r="G167" s="10" t="s">
        <v>208</v>
      </c>
      <c r="H167" s="10" t="s">
        <v>208</v>
      </c>
      <c r="I167" s="10" t="s">
        <v>145</v>
      </c>
      <c r="J167" s="10" t="s">
        <v>595</v>
      </c>
      <c r="K167" s="9" t="n">
        <v>46272</v>
      </c>
      <c r="L167" s="12" t="n">
        <f aca="true">IF($O167="","",$O167-TODAY())</f>
        <v>-47</v>
      </c>
      <c r="M167" s="12" t="n">
        <f aca="true">IF(AND(TRIM($A167)="Finalized",$K167&lt;&gt;""),"",IF($D167="","",$D167+180-TODAY()))</f>
        <v>125</v>
      </c>
      <c r="N167" s="12" t="n">
        <f aca="true">IF(AND(TRIM($A167)="Finalized",$K167&lt;&gt;""),"",IF($D167="","",$D167+365-TODAY()))</f>
        <v>310</v>
      </c>
      <c r="O167" s="11" t="n">
        <f aca="false">IF(AND(TRIM($A167)="Finalized",$K167&lt;&gt;""),"",DATE(2026,8,30))</f>
        <v>46264</v>
      </c>
      <c r="P167" s="10" t="s">
        <v>165</v>
      </c>
      <c r="Q167" s="10" t="s">
        <v>210</v>
      </c>
      <c r="R167" s="10" t="s">
        <v>147</v>
      </c>
      <c r="S167" s="10" t="s">
        <v>116</v>
      </c>
      <c r="T167" s="10" t="s">
        <v>114</v>
      </c>
      <c r="U167" s="10" t="s">
        <v>116</v>
      </c>
      <c r="V167" s="10" t="s">
        <v>303</v>
      </c>
      <c r="W167" s="10" t="s">
        <v>132</v>
      </c>
      <c r="X167" s="10"/>
      <c r="Y167" s="10"/>
      <c r="Z167" s="10"/>
      <c r="AA167" s="10" t="s">
        <v>197</v>
      </c>
      <c r="AB167" s="8" t="n">
        <f aca="true">IF($F167="","",TODAY()-$F167)</f>
        <v>137</v>
      </c>
      <c r="AC167" s="10" t="s">
        <v>246</v>
      </c>
      <c r="AD167" s="10" t="s">
        <v>169</v>
      </c>
      <c r="AE167" s="10"/>
      <c r="AF167" s="10"/>
      <c r="AG167" s="10"/>
      <c r="AH167" s="10"/>
      <c r="AI167" s="10"/>
      <c r="AJ167" s="10" t="s">
        <v>138</v>
      </c>
      <c r="AK167" s="10" t="s">
        <v>124</v>
      </c>
      <c r="AL167" s="10" t="s">
        <v>452</v>
      </c>
      <c r="AM167" s="10" t="s">
        <v>498</v>
      </c>
      <c r="AN167" s="8"/>
      <c r="AO167" s="10" t="s">
        <v>174</v>
      </c>
      <c r="AP167" s="10" t="s">
        <v>175</v>
      </c>
      <c r="AQ167" s="11" t="n">
        <v>46190</v>
      </c>
      <c r="AR167" s="13"/>
      <c r="AS167" s="13"/>
      <c r="AT167" s="13"/>
      <c r="AU167" s="13"/>
      <c r="AV167" s="13" t="s">
        <v>911</v>
      </c>
      <c r="AW167" s="13"/>
      <c r="AX167" s="13" t="s">
        <v>911</v>
      </c>
      <c r="AY167" s="7" t="s">
        <v>203</v>
      </c>
      <c r="AZ167" s="7"/>
      <c r="BA167" s="7" t="s">
        <v>36</v>
      </c>
      <c r="BB167" s="7" t="s">
        <v>204</v>
      </c>
      <c r="BC167" s="7" t="s">
        <v>912</v>
      </c>
      <c r="BD167" s="9" t="n">
        <v>46302</v>
      </c>
      <c r="BE167" s="7"/>
      <c r="BF167" s="14" t="str">
        <f aca="true">IF(TRIM($A167)="Finalized","Closed",IF($BD167="","No review date set",IF($BD167&lt;TODAY(),"OVERDUE",IF($BD167-TODAY()&lt;=7,"Due within 7 days","Scheduled"))))</f>
        <v>OVERDUE</v>
      </c>
      <c r="BG167" s="14" t="n">
        <f aca="true">IF($K167="","",TODAY()-$K167)</f>
        <v>39</v>
      </c>
      <c r="BH167" s="15" t="str">
        <f aca="false">IFERROR(LEFT(IF($B167="","Notes, ","")&amp;IF($K167="","Latest Date Worked, ","")&amp;IF($AY167="","Last Action, ","")&amp;IF(AND(OR(TRIM($A167)="Denied",TRIM($A167)="Rejected"),$BA167=""),"Denial Reason, ","")&amp;IF(AND(TRIM($A167)="Denied",$BB167="",TRIM($BA167)&lt;&gt;"NO DENIAL"),"Denial Code, ","")&amp;IF(AND(TRIM($A167)&lt;&gt;"Finalized",$BD167=""),"Next Review Date, ","")&amp;IF(AND(TRIM($A167)&lt;&gt;"Finalized",$BE167=""),"Next Step, ","")&amp;IF(AND(TRIM($A167)="Finalized",$AV167="",$AR167="",$AT167="",$AX167="",$AW167=""),"CPT outcome, ",""),LEN(IF($B167="","Notes, ","")&amp;IF($K167="","Latest Date Worked, ","")&amp;IF($AY167="","Last Action, ","")&amp;IF(AND(OR(TRIM($A167)="Denied",TRIM($A167)="Rejected"),$BA167=""),"Denial Reason, ","")&amp;IF(AND(TRIM($A167)="Denied",$BB167="",TRIM($BA167)&lt;&gt;"NO DENIAL"),"Denial Code, ","")&amp;IF(AND(TRIM($A167)&lt;&gt;"Finalized",$BD167=""),"Next Review Date, ","")&amp;IF(AND(TRIM($A167)&lt;&gt;"Finalized",$BE167=""),"Next Step, ","")&amp;IF(AND(TRIM($A167)="Finalized",$AV167="",$AR167="",$AT167="",$AX167="",$AW167=""),"CPT outcome, ",""))-2),"")</f>
        <v>Next Step</v>
      </c>
      <c r="BI167" s="15" t="str">
        <f aca="false">IF($BB167="","",IFERROR(INDEX('Denial Codes'!$C:$C,MATCH(LEFT($BB167,FIND(" - ",$BB167&amp;" - ")+2)&amp;"*",'Denial Codes'!$A:$A,0)),""))</f>
        <v>Medical records needed</v>
      </c>
      <c r="BJ167" s="15" t="str">
        <f aca="false">IF($BA167="","",IFERROR(INDEX(Lists!$B:$B,MATCH(TRIM($BA167),Lists!$A:$A,0))&amp;"",""))</f>
        <v>Upload the MR on the payer portal, note the PIQ/reference number and set a review date.</v>
      </c>
    </row>
    <row r="168" customFormat="false" ht="15" hidden="false" customHeight="false" outlineLevel="0" collapsed="false">
      <c r="A168" s="7" t="s">
        <v>17</v>
      </c>
      <c r="B168" s="7" t="s">
        <v>913</v>
      </c>
      <c r="C168" s="8" t="n">
        <v>570988442</v>
      </c>
      <c r="D168" s="9" t="n">
        <v>46203</v>
      </c>
      <c r="E168" s="10" t="s">
        <v>914</v>
      </c>
      <c r="F168" s="11" t="n">
        <v>46176</v>
      </c>
      <c r="G168" s="10" t="s">
        <v>218</v>
      </c>
      <c r="H168" s="10" t="s">
        <v>218</v>
      </c>
      <c r="I168" s="10" t="s">
        <v>129</v>
      </c>
      <c r="J168" s="10" t="s">
        <v>194</v>
      </c>
      <c r="K168" s="9" t="n">
        <v>46271</v>
      </c>
      <c r="L168" s="12" t="n">
        <f aca="true">IF($O168="","",$O168-TODAY())</f>
        <v>-45</v>
      </c>
      <c r="M168" s="12" t="n">
        <f aca="true">IF(AND(TRIM($A168)="Finalized",$K168&lt;&gt;""),"",IF($F168="","",$F168+90-TODAY()))</f>
        <v>-45</v>
      </c>
      <c r="N168" s="12" t="n">
        <f aca="true">IF(AND(TRIM($A168)="Finalized",$K168&lt;&gt;""),"",IF($D168="","",$D168+180-TODAY()))</f>
        <v>72</v>
      </c>
      <c r="O168" s="11" t="n">
        <f aca="false">IF(AND(TRIM($A168)="Finalized",$K168&lt;&gt;""),"",DATE(2026,9,1))</f>
        <v>46266</v>
      </c>
      <c r="P168" s="10" t="s">
        <v>165</v>
      </c>
      <c r="Q168" s="10" t="s">
        <v>220</v>
      </c>
      <c r="R168" s="10" t="s">
        <v>165</v>
      </c>
      <c r="S168" s="10" t="s">
        <v>149</v>
      </c>
      <c r="T168" s="10" t="s">
        <v>147</v>
      </c>
      <c r="U168" s="10" t="s">
        <v>116</v>
      </c>
      <c r="V168" s="10" t="s">
        <v>303</v>
      </c>
      <c r="W168" s="10" t="s">
        <v>196</v>
      </c>
      <c r="X168" s="10"/>
      <c r="Y168" s="10"/>
      <c r="Z168" s="10"/>
      <c r="AA168" s="10" t="s">
        <v>197</v>
      </c>
      <c r="AB168" s="8" t="n">
        <f aca="true">IF($F168="","",TODAY()-$F168)</f>
        <v>135</v>
      </c>
      <c r="AC168" s="10" t="s">
        <v>198</v>
      </c>
      <c r="AD168" s="10"/>
      <c r="AE168" s="10"/>
      <c r="AF168" s="10"/>
      <c r="AG168" s="10"/>
      <c r="AH168" s="10"/>
      <c r="AI168" s="10"/>
      <c r="AJ168" s="10" t="s">
        <v>350</v>
      </c>
      <c r="AK168" s="10" t="s">
        <v>915</v>
      </c>
      <c r="AL168" s="10"/>
      <c r="AM168" s="10"/>
      <c r="AN168" s="8"/>
      <c r="AO168" s="10" t="s">
        <v>255</v>
      </c>
      <c r="AP168" s="10" t="s">
        <v>268</v>
      </c>
      <c r="AQ168" s="11" t="n">
        <v>46195</v>
      </c>
      <c r="AR168" s="13"/>
      <c r="AS168" s="13"/>
      <c r="AT168" s="13"/>
      <c r="AU168" s="13"/>
      <c r="AV168" s="13" t="s">
        <v>198</v>
      </c>
      <c r="AW168" s="13"/>
      <c r="AX168" s="13" t="s">
        <v>198</v>
      </c>
      <c r="AY168" s="7" t="s">
        <v>159</v>
      </c>
      <c r="AZ168" s="7"/>
      <c r="BA168" s="7" t="s">
        <v>39</v>
      </c>
      <c r="BB168" s="7" t="s">
        <v>806</v>
      </c>
      <c r="BC168" s="7"/>
      <c r="BD168" s="9" t="n">
        <v>46301</v>
      </c>
      <c r="BE168" s="7"/>
      <c r="BF168" s="14" t="str">
        <f aca="true">IF(TRIM($A168)="Finalized","Closed",IF($BD168="","No review date set",IF($BD168&lt;TODAY(),"OVERDUE",IF($BD168-TODAY()&lt;=7,"Due within 7 days","Scheduled"))))</f>
        <v>OVERDUE</v>
      </c>
      <c r="BG168" s="14" t="n">
        <f aca="true">IF($K168="","",TODAY()-$K168)</f>
        <v>40</v>
      </c>
      <c r="BH168" s="15" t="str">
        <f aca="false">IFERROR(LEFT(IF($B168="","Notes, ","")&amp;IF($K168="","Latest Date Worked, ","")&amp;IF($AY168="","Last Action, ","")&amp;IF(AND(OR(TRIM($A168)="Denied",TRIM($A168)="Rejected"),$BA168=""),"Denial Reason, ","")&amp;IF(AND(TRIM($A168)="Denied",$BB168="",TRIM($BA168)&lt;&gt;"NO DENIAL"),"Denial Code, ","")&amp;IF(AND(TRIM($A168)&lt;&gt;"Finalized",$BD168=""),"Next Review Date, ","")&amp;IF(AND(TRIM($A168)&lt;&gt;"Finalized",$BE168=""),"Next Step, ","")&amp;IF(AND(TRIM($A168)="Finalized",$AV168="",$AR168="",$AT168="",$AX168="",$AW168=""),"CPT outcome, ",""),LEN(IF($B168="","Notes, ","")&amp;IF($K168="","Latest Date Worked, ","")&amp;IF($AY168="","Last Action, ","")&amp;IF(AND(OR(TRIM($A168)="Denied",TRIM($A168)="Rejected"),$BA168=""),"Denial Reason, ","")&amp;IF(AND(TRIM($A168)="Denied",$BB168="",TRIM($BA168)&lt;&gt;"NO DENIAL"),"Denial Code, ","")&amp;IF(AND(TRIM($A168)&lt;&gt;"Finalized",$BD168=""),"Next Review Date, ","")&amp;IF(AND(TRIM($A168)&lt;&gt;"Finalized",$BE168=""),"Next Step, ","")&amp;IF(AND(TRIM($A168)="Finalized",$AV168="",$AR168="",$AT168="",$AX168="",$AW168=""),"CPT outcome, ",""))-2),"")</f>
        <v>Next Step</v>
      </c>
      <c r="BI168" s="15" t="str">
        <f aca="false">IF($BB168="","",IFERROR(INDEX('Denial Codes'!$C:$C,MATCH(LEFT($BB168,FIND(" - ",$BB168&amp;" - ")+2)&amp;"*",'Denial Codes'!$A:$A,0)),""))</f>
        <v>Diagnosis issue</v>
      </c>
      <c r="BJ168" s="15" t="str">
        <f aca="false">IF($BA168="","",IFERROR(INDEX(Lists!$B:$B,MATCH(TRIM($BA168),Lists!$A:$A,0))&amp;"",""))</f>
        <v>Review the diagnosis codes and pointers with the chart; correct and resubmit.</v>
      </c>
    </row>
    <row r="169" customFormat="false" ht="15" hidden="false" customHeight="false" outlineLevel="0" collapsed="false">
      <c r="A169" s="7" t="s">
        <v>19</v>
      </c>
      <c r="B169" s="7" t="s">
        <v>916</v>
      </c>
      <c r="C169" s="8" t="n">
        <v>561646092</v>
      </c>
      <c r="D169" s="9" t="n">
        <v>46225</v>
      </c>
      <c r="E169" s="10" t="s">
        <v>917</v>
      </c>
      <c r="F169" s="11" t="n">
        <v>46177</v>
      </c>
      <c r="G169" s="10" t="s">
        <v>637</v>
      </c>
      <c r="H169" s="10" t="s">
        <v>347</v>
      </c>
      <c r="I169" s="10" t="s">
        <v>637</v>
      </c>
      <c r="J169" s="10" t="s">
        <v>918</v>
      </c>
      <c r="K169" s="9" t="n">
        <v>46248</v>
      </c>
      <c r="L169" s="12" t="n">
        <f aca="true">IF($O169="","",$O169-TODAY())</f>
        <v>-44</v>
      </c>
      <c r="M169" s="12" t="n">
        <f aca="true">IF(AND(TRIM($A169)="Finalized",$K169&lt;&gt;""),"",IF($F169="","",$F169+90-TODAY()))</f>
        <v>-44</v>
      </c>
      <c r="N169" s="12" t="n">
        <f aca="true">IF(AND(TRIM($A169)="Finalized",$K169&lt;&gt;""),"",IF($D169="","",$D169+540-TODAY()))</f>
        <v>454</v>
      </c>
      <c r="O169" s="11" t="n">
        <f aca="false">IF(AND(TRIM($A169)="Finalized",$K169&lt;&gt;""),"",DATE(2026,9,2))</f>
        <v>46267</v>
      </c>
      <c r="P169" s="10" t="s">
        <v>165</v>
      </c>
      <c r="Q169" s="10" t="s">
        <v>348</v>
      </c>
      <c r="R169" s="10" t="s">
        <v>165</v>
      </c>
      <c r="S169" s="10" t="s">
        <v>149</v>
      </c>
      <c r="T169" s="10" t="s">
        <v>349</v>
      </c>
      <c r="U169" s="10" t="s">
        <v>116</v>
      </c>
      <c r="V169" s="10" t="s">
        <v>303</v>
      </c>
      <c r="W169" s="10" t="s">
        <v>183</v>
      </c>
      <c r="X169" s="10"/>
      <c r="Y169" s="10"/>
      <c r="Z169" s="10"/>
      <c r="AA169" s="10" t="s">
        <v>197</v>
      </c>
      <c r="AB169" s="8" t="n">
        <f aca="true">IF($F169="","",TODAY()-$F169)</f>
        <v>134</v>
      </c>
      <c r="AC169" s="10" t="s">
        <v>185</v>
      </c>
      <c r="AD169" s="10"/>
      <c r="AE169" s="10"/>
      <c r="AF169" s="10"/>
      <c r="AG169" s="10"/>
      <c r="AH169" s="10"/>
      <c r="AI169" s="10"/>
      <c r="AJ169" s="10" t="s">
        <v>385</v>
      </c>
      <c r="AK169" s="10" t="s">
        <v>852</v>
      </c>
      <c r="AL169" s="10"/>
      <c r="AM169" s="10"/>
      <c r="AN169" s="8" t="s">
        <v>919</v>
      </c>
      <c r="AO169" s="10" t="s">
        <v>506</v>
      </c>
      <c r="AP169" s="10" t="s">
        <v>188</v>
      </c>
      <c r="AQ169" s="11" t="n">
        <v>46217</v>
      </c>
      <c r="AR169" s="13"/>
      <c r="AS169" s="13"/>
      <c r="AT169" s="13"/>
      <c r="AU169" s="13"/>
      <c r="AV169" s="13" t="s">
        <v>185</v>
      </c>
      <c r="AW169" s="13"/>
      <c r="AX169" s="13" t="s">
        <v>185</v>
      </c>
      <c r="AY169" s="7" t="s">
        <v>233</v>
      </c>
      <c r="AZ169" s="7"/>
      <c r="BA169" s="7" t="s">
        <v>54</v>
      </c>
      <c r="BB169" s="7"/>
      <c r="BC169" s="7"/>
      <c r="BD169" s="9" t="n">
        <v>46279</v>
      </c>
      <c r="BE169" s="7"/>
      <c r="BF169" s="14" t="str">
        <f aca="true">IF(TRIM($A169)="Finalized","Closed",IF($BD169="","No review date set",IF($BD169&lt;TODAY(),"OVERDUE",IF($BD169-TODAY()&lt;=7,"Due within 7 days","Scheduled"))))</f>
        <v>OVERDUE</v>
      </c>
      <c r="BG169" s="14" t="n">
        <f aca="true">IF($K169="","",TODAY()-$K169)</f>
        <v>63</v>
      </c>
      <c r="BH169" s="15" t="str">
        <f aca="false">IFERROR(LEFT(IF($B169="","Notes, ","")&amp;IF($K169="","Latest Date Worked, ","")&amp;IF($AY169="","Last Action, ","")&amp;IF(AND(OR(TRIM($A169)="Denied",TRIM($A169)="Rejected"),$BA169=""),"Denial Reason, ","")&amp;IF(AND(TRIM($A169)="Denied",$BB169="",TRIM($BA169)&lt;&gt;"NO DENIAL"),"Denial Code, ","")&amp;IF(AND(TRIM($A169)&lt;&gt;"Finalized",$BD169=""),"Next Review Date, ","")&amp;IF(AND(TRIM($A169)&lt;&gt;"Finalized",$BE169=""),"Next Step, ","")&amp;IF(AND(TRIM($A169)="Finalized",$AV169="",$AR169="",$AT169="",$AX169="",$AW169=""),"CPT outcome, ",""),LEN(IF($B169="","Notes, ","")&amp;IF($K169="","Latest Date Worked, ","")&amp;IF($AY169="","Last Action, ","")&amp;IF(AND(OR(TRIM($A169)="Denied",TRIM($A169)="Rejected"),$BA169=""),"Denial Reason, ","")&amp;IF(AND(TRIM($A169)="Denied",$BB169="",TRIM($BA169)&lt;&gt;"NO DENIAL"),"Denial Code, ","")&amp;IF(AND(TRIM($A169)&lt;&gt;"Finalized",$BD169=""),"Next Review Date, ","")&amp;IF(AND(TRIM($A169)&lt;&gt;"Finalized",$BE169=""),"Next Step, ","")&amp;IF(AND(TRIM($A169)="Finalized",$AV169="",$AR169="",$AT169="",$AX169="",$AW169=""),"CPT outcome, ",""))-2),"")</f>
        <v>Next Step</v>
      </c>
      <c r="BI169" s="15" t="str">
        <f aca="false">IF($BB169="","",IFERROR(INDEX('Denial Codes'!$C:$C,MATCH(LEFT($BB169,FIND(" - ",$BB169&amp;" - ")+2)&amp;"*",'Denial Codes'!$A:$A,0)),""))</f>
        <v/>
      </c>
      <c r="BJ169" s="15" t="str">
        <f aca="false">IF($BA169="","",IFERROR(INDEX(Lists!$B:$B,MATCH(TRIM($BA169),Lists!$A:$A,0))&amp;"",""))</f>
        <v/>
      </c>
    </row>
    <row r="170" customFormat="false" ht="15" hidden="false" customHeight="false" outlineLevel="0" collapsed="false">
      <c r="A170" s="7" t="s">
        <v>17</v>
      </c>
      <c r="B170" s="7" t="s">
        <v>203</v>
      </c>
      <c r="C170" s="8" t="n">
        <v>562559783</v>
      </c>
      <c r="D170" s="9" t="n">
        <v>46254</v>
      </c>
      <c r="E170" s="10" t="s">
        <v>920</v>
      </c>
      <c r="F170" s="11" t="n">
        <v>46177</v>
      </c>
      <c r="G170" s="10" t="s">
        <v>208</v>
      </c>
      <c r="H170" s="10" t="s">
        <v>208</v>
      </c>
      <c r="I170" s="10" t="s">
        <v>129</v>
      </c>
      <c r="J170" s="10" t="s">
        <v>423</v>
      </c>
      <c r="K170" s="9" t="n">
        <v>46272</v>
      </c>
      <c r="L170" s="12" t="n">
        <f aca="true">IF($O170="","",$O170-TODAY())</f>
        <v>-44</v>
      </c>
      <c r="M170" s="12" t="n">
        <f aca="true">IF(AND(TRIM($A170)="Finalized",$K170&lt;&gt;""),"",IF($D170="","",$D170+180-TODAY()))</f>
        <v>123</v>
      </c>
      <c r="N170" s="12" t="n">
        <f aca="true">IF(AND(TRIM($A170)="Finalized",$K170&lt;&gt;""),"",IF($D170="","",$D170+365-TODAY()))</f>
        <v>308</v>
      </c>
      <c r="O170" s="11" t="n">
        <f aca="false">IF(AND(TRIM($A170)="Finalized",$K170&lt;&gt;""),"",DATE(2026,9,2))</f>
        <v>46267</v>
      </c>
      <c r="P170" s="10" t="s">
        <v>165</v>
      </c>
      <c r="Q170" s="10" t="s">
        <v>210</v>
      </c>
      <c r="R170" s="10" t="s">
        <v>147</v>
      </c>
      <c r="S170" s="10" t="s">
        <v>116</v>
      </c>
      <c r="T170" s="10" t="s">
        <v>114</v>
      </c>
      <c r="U170" s="10" t="s">
        <v>116</v>
      </c>
      <c r="V170" s="10" t="s">
        <v>303</v>
      </c>
      <c r="W170" s="10" t="s">
        <v>132</v>
      </c>
      <c r="X170" s="10"/>
      <c r="Y170" s="10"/>
      <c r="Z170" s="10"/>
      <c r="AA170" s="10" t="s">
        <v>197</v>
      </c>
      <c r="AB170" s="8" t="n">
        <f aca="true">IF($F170="","",TODAY()-$F170)</f>
        <v>134</v>
      </c>
      <c r="AC170" s="10" t="s">
        <v>169</v>
      </c>
      <c r="AD170" s="10" t="s">
        <v>246</v>
      </c>
      <c r="AE170" s="10"/>
      <c r="AF170" s="10"/>
      <c r="AG170" s="10"/>
      <c r="AH170" s="10"/>
      <c r="AI170" s="10"/>
      <c r="AJ170" s="10" t="s">
        <v>124</v>
      </c>
      <c r="AK170" s="10" t="s">
        <v>498</v>
      </c>
      <c r="AL170" s="10" t="s">
        <v>139</v>
      </c>
      <c r="AM170" s="10" t="s">
        <v>921</v>
      </c>
      <c r="AN170" s="8"/>
      <c r="AO170" s="10" t="s">
        <v>174</v>
      </c>
      <c r="AP170" s="10" t="s">
        <v>175</v>
      </c>
      <c r="AQ170" s="11" t="n">
        <v>46190</v>
      </c>
      <c r="AR170" s="13"/>
      <c r="AS170" s="13"/>
      <c r="AT170" s="13"/>
      <c r="AU170" s="13"/>
      <c r="AV170" s="13" t="s">
        <v>922</v>
      </c>
      <c r="AW170" s="13"/>
      <c r="AX170" s="13" t="s">
        <v>922</v>
      </c>
      <c r="AY170" s="7" t="s">
        <v>203</v>
      </c>
      <c r="AZ170" s="7"/>
      <c r="BA170" s="7" t="s">
        <v>36</v>
      </c>
      <c r="BB170" s="7" t="s">
        <v>204</v>
      </c>
      <c r="BC170" s="7" t="s">
        <v>923</v>
      </c>
      <c r="BD170" s="9" t="n">
        <v>46302</v>
      </c>
      <c r="BE170" s="7"/>
      <c r="BF170" s="14" t="str">
        <f aca="true">IF(TRIM($A170)="Finalized","Closed",IF($BD170="","No review date set",IF($BD170&lt;TODAY(),"OVERDUE",IF($BD170-TODAY()&lt;=7,"Due within 7 days","Scheduled"))))</f>
        <v>OVERDUE</v>
      </c>
      <c r="BG170" s="14" t="n">
        <f aca="true">IF($K170="","",TODAY()-$K170)</f>
        <v>39</v>
      </c>
      <c r="BH170" s="15" t="str">
        <f aca="false">IFERROR(LEFT(IF($B170="","Notes, ","")&amp;IF($K170="","Latest Date Worked, ","")&amp;IF($AY170="","Last Action, ","")&amp;IF(AND(OR(TRIM($A170)="Denied",TRIM($A170)="Rejected"),$BA170=""),"Denial Reason, ","")&amp;IF(AND(TRIM($A170)="Denied",$BB170="",TRIM($BA170)&lt;&gt;"NO DENIAL"),"Denial Code, ","")&amp;IF(AND(TRIM($A170)&lt;&gt;"Finalized",$BD170=""),"Next Review Date, ","")&amp;IF(AND(TRIM($A170)&lt;&gt;"Finalized",$BE170=""),"Next Step, ","")&amp;IF(AND(TRIM($A170)="Finalized",$AV170="",$AR170="",$AT170="",$AX170="",$AW170=""),"CPT outcome, ",""),LEN(IF($B170="","Notes, ","")&amp;IF($K170="","Latest Date Worked, ","")&amp;IF($AY170="","Last Action, ","")&amp;IF(AND(OR(TRIM($A170)="Denied",TRIM($A170)="Rejected"),$BA170=""),"Denial Reason, ","")&amp;IF(AND(TRIM($A170)="Denied",$BB170="",TRIM($BA170)&lt;&gt;"NO DENIAL"),"Denial Code, ","")&amp;IF(AND(TRIM($A170)&lt;&gt;"Finalized",$BD170=""),"Next Review Date, ","")&amp;IF(AND(TRIM($A170)&lt;&gt;"Finalized",$BE170=""),"Next Step, ","")&amp;IF(AND(TRIM($A170)="Finalized",$AV170="",$AR170="",$AT170="",$AX170="",$AW170=""),"CPT outcome, ",""))-2),"")</f>
        <v>Next Step</v>
      </c>
      <c r="BI170" s="15" t="str">
        <f aca="false">IF($BB170="","",IFERROR(INDEX('Denial Codes'!$C:$C,MATCH(LEFT($BB170,FIND(" - ",$BB170&amp;" - ")+2)&amp;"*",'Denial Codes'!$A:$A,0)),""))</f>
        <v>Medical records needed</v>
      </c>
      <c r="BJ170" s="15" t="str">
        <f aca="false">IF($BA170="","",IFERROR(INDEX(Lists!$B:$B,MATCH(TRIM($BA170),Lists!$A:$A,0))&amp;"",""))</f>
        <v>Upload the MR on the payer portal, note the PIQ/reference number and set a review date.</v>
      </c>
    </row>
    <row r="171" customFormat="false" ht="15" hidden="false" customHeight="false" outlineLevel="0" collapsed="false">
      <c r="A171" s="7" t="s">
        <v>19</v>
      </c>
      <c r="B171" s="7" t="s">
        <v>203</v>
      </c>
      <c r="C171" s="8" t="n">
        <v>563023143</v>
      </c>
      <c r="D171" s="9"/>
      <c r="E171" s="10" t="s">
        <v>353</v>
      </c>
      <c r="F171" s="11" t="n">
        <v>46177</v>
      </c>
      <c r="G171" s="10" t="s">
        <v>180</v>
      </c>
      <c r="H171" s="10" t="s">
        <v>180</v>
      </c>
      <c r="I171" s="10" t="s">
        <v>129</v>
      </c>
      <c r="J171" s="10" t="s">
        <v>194</v>
      </c>
      <c r="K171" s="9" t="n">
        <v>46275</v>
      </c>
      <c r="L171" s="12" t="n">
        <f aca="true">IF($O171="","",$O171-TODAY())</f>
        <v>-44</v>
      </c>
      <c r="M171" s="12" t="str">
        <f aca="true">IF(AND(TRIM($A171)="Finalized",$K171&lt;&gt;""),"",IF($D171="","",$D171+180-TODAY()))</f>
        <v/>
      </c>
      <c r="N171" s="12" t="str">
        <f aca="true">IF(AND(TRIM($A171)="Finalized",$K171&lt;&gt;""),"",IF($D171="","",$D171+365-TODAY()))</f>
        <v/>
      </c>
      <c r="O171" s="11" t="n">
        <f aca="false">IF(AND(TRIM($A171)="Finalized",$K171&lt;&gt;""),"",DATE(2026,9,2))</f>
        <v>46267</v>
      </c>
      <c r="P171" s="10" t="s">
        <v>165</v>
      </c>
      <c r="Q171" s="10" t="s">
        <v>182</v>
      </c>
      <c r="R171" s="10" t="s">
        <v>147</v>
      </c>
      <c r="S171" s="10" t="s">
        <v>116</v>
      </c>
      <c r="T171" s="10" t="s">
        <v>114</v>
      </c>
      <c r="U171" s="10" t="s">
        <v>116</v>
      </c>
      <c r="V171" s="10" t="s">
        <v>303</v>
      </c>
      <c r="W171" s="10" t="s">
        <v>196</v>
      </c>
      <c r="X171" s="10"/>
      <c r="Y171" s="10"/>
      <c r="Z171" s="10"/>
      <c r="AA171" s="10" t="s">
        <v>197</v>
      </c>
      <c r="AB171" s="8" t="n">
        <f aca="true">IF($F171="","",TODAY()-$F171)</f>
        <v>134</v>
      </c>
      <c r="AC171" s="10" t="s">
        <v>198</v>
      </c>
      <c r="AD171" s="10"/>
      <c r="AE171" s="10"/>
      <c r="AF171" s="10"/>
      <c r="AG171" s="10"/>
      <c r="AH171" s="10"/>
      <c r="AI171" s="10"/>
      <c r="AJ171" s="10" t="s">
        <v>635</v>
      </c>
      <c r="AK171" s="10" t="s">
        <v>414</v>
      </c>
      <c r="AL171" s="10"/>
      <c r="AM171" s="10"/>
      <c r="AN171" s="8"/>
      <c r="AO171" s="10" t="s">
        <v>213</v>
      </c>
      <c r="AP171" s="10" t="s">
        <v>224</v>
      </c>
      <c r="AQ171" s="11" t="n">
        <v>46195</v>
      </c>
      <c r="AR171" s="13"/>
      <c r="AS171" s="13"/>
      <c r="AT171" s="13"/>
      <c r="AU171" s="13"/>
      <c r="AV171" s="13"/>
      <c r="AW171" s="13"/>
      <c r="AX171" s="13"/>
      <c r="AY171" s="7" t="s">
        <v>203</v>
      </c>
      <c r="AZ171" s="7"/>
      <c r="BA171" s="7" t="s">
        <v>36</v>
      </c>
      <c r="BB171" s="7" t="s">
        <v>204</v>
      </c>
      <c r="BC171" s="7" t="s">
        <v>924</v>
      </c>
      <c r="BD171" s="9" t="n">
        <v>46305</v>
      </c>
      <c r="BE171" s="7"/>
      <c r="BF171" s="14" t="str">
        <f aca="true">IF(TRIM($A171)="Finalized","Closed",IF($BD171="","No review date set",IF($BD171&lt;TODAY(),"OVERDUE",IF($BD171-TODAY()&lt;=7,"Due within 7 days","Scheduled"))))</f>
        <v>OVERDUE</v>
      </c>
      <c r="BG171" s="14" t="n">
        <f aca="true">IF($K171="","",TODAY()-$K171)</f>
        <v>36</v>
      </c>
      <c r="BH171" s="15" t="str">
        <f aca="false">IFERROR(LEFT(IF($B171="","Notes, ","")&amp;IF($K171="","Latest Date Worked, ","")&amp;IF($AY171="","Last Action, ","")&amp;IF(AND(OR(TRIM($A171)="Denied",TRIM($A171)="Rejected"),$BA171=""),"Denial Reason, ","")&amp;IF(AND(TRIM($A171)="Denied",$BB171="",TRIM($BA171)&lt;&gt;"NO DENIAL"),"Denial Code, ","")&amp;IF(AND(TRIM($A171)&lt;&gt;"Finalized",$BD171=""),"Next Review Date, ","")&amp;IF(AND(TRIM($A171)&lt;&gt;"Finalized",$BE171=""),"Next Step, ","")&amp;IF(AND(TRIM($A171)="Finalized",$AV171="",$AR171="",$AT171="",$AX171="",$AW171=""),"CPT outcome, ",""),LEN(IF($B171="","Notes, ","")&amp;IF($K171="","Latest Date Worked, ","")&amp;IF($AY171="","Last Action, ","")&amp;IF(AND(OR(TRIM($A171)="Denied",TRIM($A171)="Rejected"),$BA171=""),"Denial Reason, ","")&amp;IF(AND(TRIM($A171)="Denied",$BB171="",TRIM($BA171)&lt;&gt;"NO DENIAL"),"Denial Code, ","")&amp;IF(AND(TRIM($A171)&lt;&gt;"Finalized",$BD171=""),"Next Review Date, ","")&amp;IF(AND(TRIM($A171)&lt;&gt;"Finalized",$BE171=""),"Next Step, ","")&amp;IF(AND(TRIM($A171)="Finalized",$AV171="",$AR171="",$AT171="",$AX171="",$AW171=""),"CPT outcome, ",""))-2),"")</f>
        <v>Next Step</v>
      </c>
      <c r="BI171" s="15" t="str">
        <f aca="false">IF($BB171="","",IFERROR(INDEX('Denial Codes'!$C:$C,MATCH(LEFT($BB171,FIND(" - ",$BB171&amp;" - ")+2)&amp;"*",'Denial Codes'!$A:$A,0)),""))</f>
        <v>Medical records needed</v>
      </c>
      <c r="BJ171" s="15" t="str">
        <f aca="false">IF($BA171="","",IFERROR(INDEX(Lists!$B:$B,MATCH(TRIM($BA171),Lists!$A:$A,0))&amp;"",""))</f>
        <v>Upload the MR on the payer portal, note the PIQ/reference number and set a review date.</v>
      </c>
    </row>
    <row r="172" customFormat="false" ht="15" hidden="false" customHeight="false" outlineLevel="0" collapsed="false">
      <c r="A172" s="7" t="s">
        <v>18</v>
      </c>
      <c r="B172" s="7"/>
      <c r="C172" s="8" t="n">
        <v>564662813</v>
      </c>
      <c r="D172" s="9"/>
      <c r="E172" s="10" t="s">
        <v>925</v>
      </c>
      <c r="F172" s="11" t="n">
        <v>46178</v>
      </c>
      <c r="G172" s="10" t="s">
        <v>218</v>
      </c>
      <c r="H172" s="10" t="s">
        <v>218</v>
      </c>
      <c r="I172" s="10" t="s">
        <v>129</v>
      </c>
      <c r="J172" s="10" t="s">
        <v>461</v>
      </c>
      <c r="K172" s="9"/>
      <c r="L172" s="12" t="n">
        <f aca="true">IF($O172="","",$O172-TODAY())</f>
        <v>-43</v>
      </c>
      <c r="M172" s="12" t="n">
        <f aca="true">IF(AND(TRIM($A172)="Finalized",$K172&lt;&gt;""),"",IF($F172="","",$F172+90-TODAY()))</f>
        <v>-43</v>
      </c>
      <c r="N172" s="12" t="str">
        <f aca="true">IF(AND(TRIM($A172)="Finalized",$K172&lt;&gt;""),"",IF($D172="","",$D172+180-TODAY()))</f>
        <v/>
      </c>
      <c r="O172" s="11" t="n">
        <f aca="false">IF(AND(TRIM($A172)="Finalized",$K172&lt;&gt;""),"",DATE(2026,9,3))</f>
        <v>46268</v>
      </c>
      <c r="P172" s="10" t="s">
        <v>165</v>
      </c>
      <c r="Q172" s="10" t="s">
        <v>220</v>
      </c>
      <c r="R172" s="10" t="s">
        <v>165</v>
      </c>
      <c r="S172" s="10" t="s">
        <v>149</v>
      </c>
      <c r="T172" s="10" t="s">
        <v>147</v>
      </c>
      <c r="U172" s="10" t="s">
        <v>116</v>
      </c>
      <c r="V172" s="10" t="s">
        <v>303</v>
      </c>
      <c r="W172" s="10" t="s">
        <v>119</v>
      </c>
      <c r="X172" s="10" t="s">
        <v>120</v>
      </c>
      <c r="Y172" s="10"/>
      <c r="Z172" s="10"/>
      <c r="AA172" s="10" t="s">
        <v>230</v>
      </c>
      <c r="AB172" s="8" t="n">
        <f aca="true">IF($F172="","",TODAY()-$F172)</f>
        <v>133</v>
      </c>
      <c r="AC172" s="10" t="s">
        <v>273</v>
      </c>
      <c r="AD172" s="10"/>
      <c r="AE172" s="10"/>
      <c r="AF172" s="10"/>
      <c r="AG172" s="10"/>
      <c r="AH172" s="10"/>
      <c r="AI172" s="10"/>
      <c r="AJ172" s="10" t="s">
        <v>123</v>
      </c>
      <c r="AK172" s="10" t="s">
        <v>124</v>
      </c>
      <c r="AL172" s="10"/>
      <c r="AM172" s="10"/>
      <c r="AN172" s="8"/>
      <c r="AO172" s="10" t="s">
        <v>262</v>
      </c>
      <c r="AP172" s="10" t="s">
        <v>156</v>
      </c>
      <c r="AQ172" s="11" t="n">
        <v>46211</v>
      </c>
      <c r="AR172" s="13"/>
      <c r="AS172" s="13"/>
      <c r="AT172" s="13"/>
      <c r="AU172" s="13"/>
      <c r="AV172" s="13"/>
      <c r="AW172" s="13"/>
      <c r="AX172" s="13" t="s">
        <v>273</v>
      </c>
      <c r="AY172" s="7"/>
      <c r="AZ172" s="7"/>
      <c r="BA172" s="7" t="s">
        <v>36</v>
      </c>
      <c r="BB172" s="7" t="s">
        <v>926</v>
      </c>
      <c r="BC172" s="7"/>
      <c r="BD172" s="9"/>
      <c r="BE172" s="7" t="s">
        <v>927</v>
      </c>
      <c r="BF172" s="14" t="str">
        <f aca="true">IF(TRIM($A172)="Finalized","Closed",IF($BD172="","No review date set",IF($BD172&lt;TODAY(),"OVERDUE",IF($BD172-TODAY()&lt;=7,"Due within 7 days","Scheduled"))))</f>
        <v>No review date set</v>
      </c>
      <c r="BG172" s="14" t="str">
        <f aca="true">IF($K172="","",TODAY()-$K172)</f>
        <v/>
      </c>
      <c r="BH172" s="15" t="str">
        <f aca="false">IFERROR(LEFT(IF($B172="","Notes, ","")&amp;IF($K172="","Latest Date Worked, ","")&amp;IF($AY172="","Last Action, ","")&amp;IF(AND(OR(TRIM($A172)="Denied",TRIM($A172)="Rejected"),$BA172=""),"Denial Reason, ","")&amp;IF(AND(TRIM($A172)="Denied",$BB172="",TRIM($BA172)&lt;&gt;"NO DENIAL"),"Denial Code, ","")&amp;IF(AND(TRIM($A172)&lt;&gt;"Finalized",$BD172=""),"Next Review Date, ","")&amp;IF(AND(TRIM($A172)&lt;&gt;"Finalized",$BE172=""),"Next Step, ","")&amp;IF(AND(TRIM($A172)="Finalized",$AV172="",$AR172="",$AT172="",$AX172="",$AW172=""),"CPT outcome, ",""),LEN(IF($B172="","Notes, ","")&amp;IF($K172="","Latest Date Worked, ","")&amp;IF($AY172="","Last Action, ","")&amp;IF(AND(OR(TRIM($A172)="Denied",TRIM($A172)="Rejected"),$BA172=""),"Denial Reason, ","")&amp;IF(AND(TRIM($A172)="Denied",$BB172="",TRIM($BA172)&lt;&gt;"NO DENIAL"),"Denial Code, ","")&amp;IF(AND(TRIM($A172)&lt;&gt;"Finalized",$BD172=""),"Next Review Date, ","")&amp;IF(AND(TRIM($A172)&lt;&gt;"Finalized",$BE172=""),"Next Step, ","")&amp;IF(AND(TRIM($A172)="Finalized",$AV172="",$AR172="",$AT172="",$AX172="",$AW172=""),"CPT outcome, ",""))-2),"")</f>
        <v>Notes, Latest Date Worked, Last Action, Next Review Date</v>
      </c>
      <c r="BI172" s="15" t="str">
        <f aca="false">IF($BB172="","",IFERROR(INDEX('Denial Codes'!$C:$C,MATCH(LEFT($BB172,FIND(" - ",$BB172&amp;" - ")+2)&amp;"*",'Denial Codes'!$A:$A,0)),""))</f>
        <v>Medical records needed</v>
      </c>
      <c r="BJ172" s="15" t="str">
        <f aca="false">IF($BA172="","",IFERROR(INDEX(Lists!$B:$B,MATCH(TRIM($BA172),Lists!$A:$A,0))&amp;"",""))</f>
        <v>Upload the MR on the payer portal, note the PIQ/reference number and set a review date.</v>
      </c>
    </row>
    <row r="173" customFormat="false" ht="15" hidden="false" customHeight="false" outlineLevel="0" collapsed="false">
      <c r="A173" s="7" t="s">
        <v>17</v>
      </c>
      <c r="B173" s="7" t="s">
        <v>928</v>
      </c>
      <c r="C173" s="8" t="n">
        <v>569022508</v>
      </c>
      <c r="D173" s="9" t="n">
        <v>46276</v>
      </c>
      <c r="E173" s="10" t="s">
        <v>929</v>
      </c>
      <c r="F173" s="11" t="n">
        <v>46149</v>
      </c>
      <c r="G173" s="10" t="s">
        <v>111</v>
      </c>
      <c r="H173" s="10" t="s">
        <v>111</v>
      </c>
      <c r="I173" s="10" t="s">
        <v>129</v>
      </c>
      <c r="J173" s="10" t="s">
        <v>803</v>
      </c>
      <c r="K173" s="9" t="n">
        <v>46252</v>
      </c>
      <c r="L173" s="12" t="n">
        <f aca="true">IF($O173="","",$O173-TODAY())</f>
        <v>-42</v>
      </c>
      <c r="M173" s="12" t="n">
        <f aca="true">IF(AND(TRIM($A173)="Finalized",$K173&lt;&gt;""),"",IF($D173="","",$D173+180-TODAY()))</f>
        <v>145</v>
      </c>
      <c r="N173" s="12" t="n">
        <f aca="true">IF(AND(TRIM($A173)="Finalized",$K173&lt;&gt;""),"",IF($D173="","",$D173+180-TODAY()))</f>
        <v>145</v>
      </c>
      <c r="O173" s="11" t="n">
        <f aca="false">IF(AND(TRIM($A173)="Finalized",$K173&lt;&gt;""),"",DATE(2026,9,4))</f>
        <v>46269</v>
      </c>
      <c r="P173" s="10" t="s">
        <v>117</v>
      </c>
      <c r="Q173" s="10" t="s">
        <v>609</v>
      </c>
      <c r="R173" s="10" t="s">
        <v>147</v>
      </c>
      <c r="S173" s="10" t="s">
        <v>116</v>
      </c>
      <c r="T173" s="10" t="s">
        <v>147</v>
      </c>
      <c r="U173" s="10" t="s">
        <v>116</v>
      </c>
      <c r="V173" s="10" t="s">
        <v>266</v>
      </c>
      <c r="W173" s="10" t="s">
        <v>196</v>
      </c>
      <c r="X173" s="10" t="s">
        <v>930</v>
      </c>
      <c r="Y173" s="10"/>
      <c r="Z173" s="10"/>
      <c r="AA173" s="10" t="s">
        <v>197</v>
      </c>
      <c r="AB173" s="8" t="n">
        <f aca="true">IF($F173="","",TODAY()-$F173)</f>
        <v>162</v>
      </c>
      <c r="AC173" s="10" t="s">
        <v>487</v>
      </c>
      <c r="AD173" s="10" t="s">
        <v>222</v>
      </c>
      <c r="AE173" s="10"/>
      <c r="AF173" s="10"/>
      <c r="AG173" s="10"/>
      <c r="AH173" s="10"/>
      <c r="AI173" s="10"/>
      <c r="AJ173" s="10" t="s">
        <v>139</v>
      </c>
      <c r="AK173" s="10" t="s">
        <v>415</v>
      </c>
      <c r="AL173" s="10" t="s">
        <v>200</v>
      </c>
      <c r="AM173" s="10"/>
      <c r="AN173" s="8"/>
      <c r="AO173" s="10" t="s">
        <v>213</v>
      </c>
      <c r="AP173" s="10" t="s">
        <v>224</v>
      </c>
      <c r="AQ173" s="11" t="n">
        <v>46164</v>
      </c>
      <c r="AR173" s="13"/>
      <c r="AS173" s="13"/>
      <c r="AT173" s="13"/>
      <c r="AU173" s="13"/>
      <c r="AV173" s="13" t="s">
        <v>222</v>
      </c>
      <c r="AW173" s="13"/>
      <c r="AX173" s="13" t="s">
        <v>805</v>
      </c>
      <c r="AY173" s="7" t="s">
        <v>159</v>
      </c>
      <c r="AZ173" s="7"/>
      <c r="BA173" s="7" t="s">
        <v>37</v>
      </c>
      <c r="BB173" s="7"/>
      <c r="BC173" s="7"/>
      <c r="BD173" s="9" t="n">
        <v>46283</v>
      </c>
      <c r="BE173" s="7"/>
      <c r="BF173" s="14" t="str">
        <f aca="true">IF(TRIM($A173)="Finalized","Closed",IF($BD173="","No review date set",IF($BD173&lt;TODAY(),"OVERDUE",IF($BD173-TODAY()&lt;=7,"Due within 7 days","Scheduled"))))</f>
        <v>OVERDUE</v>
      </c>
      <c r="BG173" s="14" t="n">
        <f aca="true">IF($K173="","",TODAY()-$K173)</f>
        <v>59</v>
      </c>
      <c r="BH173" s="15" t="str">
        <f aca="false">IFERROR(LEFT(IF($B173="","Notes, ","")&amp;IF($K173="","Latest Date Worked, ","")&amp;IF($AY173="","Last Action, ","")&amp;IF(AND(OR(TRIM($A173)="Denied",TRIM($A173)="Rejected"),$BA173=""),"Denial Reason, ","")&amp;IF(AND(TRIM($A173)="Denied",$BB173="",TRIM($BA173)&lt;&gt;"NO DENIAL"),"Denial Code, ","")&amp;IF(AND(TRIM($A173)&lt;&gt;"Finalized",$BD173=""),"Next Review Date, ","")&amp;IF(AND(TRIM($A173)&lt;&gt;"Finalized",$BE173=""),"Next Step, ","")&amp;IF(AND(TRIM($A173)="Finalized",$AV173="",$AR173="",$AT173="",$AX173="",$AW173=""),"CPT outcome, ",""),LEN(IF($B173="","Notes, ","")&amp;IF($K173="","Latest Date Worked, ","")&amp;IF($AY173="","Last Action, ","")&amp;IF(AND(OR(TRIM($A173)="Denied",TRIM($A173)="Rejected"),$BA173=""),"Denial Reason, ","")&amp;IF(AND(TRIM($A173)="Denied",$BB173="",TRIM($BA173)&lt;&gt;"NO DENIAL"),"Denial Code, ","")&amp;IF(AND(TRIM($A173)&lt;&gt;"Finalized",$BD173=""),"Next Review Date, ","")&amp;IF(AND(TRIM($A173)&lt;&gt;"Finalized",$BE173=""),"Next Step, ","")&amp;IF(AND(TRIM($A173)="Finalized",$AV173="",$AR173="",$AT173="",$AX173="",$AW173=""),"CPT outcome, ",""))-2),"")</f>
        <v>Denial Code, Next Step</v>
      </c>
      <c r="BI173" s="15" t="str">
        <f aca="false">IF($BB173="","",IFERROR(INDEX('Denial Codes'!$C:$C,MATCH(LEFT($BB173,FIND(" - ",$BB173&amp;" - ")+2)&amp;"*",'Denial Codes'!$A:$A,0)),""))</f>
        <v/>
      </c>
      <c r="BJ173" s="15" t="str">
        <f aca="false">IF($BA173="","",IFERROR(INDEX(Lists!$B:$B,MATCH(TRIM($BA173),Lists!$A:$A,0))&amp;"",""))</f>
        <v>Check the NCCI pair; if the service was distinct, add 59/XU (or XS) and resubmit; otherwise adjust.</v>
      </c>
    </row>
    <row r="174" customFormat="false" ht="15" hidden="false" customHeight="false" outlineLevel="0" collapsed="false">
      <c r="A174" s="7" t="s">
        <v>20</v>
      </c>
      <c r="B174" s="7"/>
      <c r="C174" s="8" t="n">
        <v>569910853</v>
      </c>
      <c r="D174" s="9" t="n">
        <v>46224</v>
      </c>
      <c r="E174" s="10" t="s">
        <v>931</v>
      </c>
      <c r="F174" s="11" t="n">
        <v>46181</v>
      </c>
      <c r="G174" s="10" t="s">
        <v>208</v>
      </c>
      <c r="H174" s="10" t="s">
        <v>208</v>
      </c>
      <c r="I174" s="10" t="s">
        <v>129</v>
      </c>
      <c r="J174" s="10" t="s">
        <v>932</v>
      </c>
      <c r="K174" s="9" t="n">
        <v>46260</v>
      </c>
      <c r="L174" s="12" t="n">
        <f aca="true">IF($O174="","",$O174-TODAY())</f>
        <v>-40</v>
      </c>
      <c r="M174" s="12" t="n">
        <f aca="true">IF(AND(TRIM($A174)="Finalized",$K174&lt;&gt;""),"",IF($D174="","",$D174+180-TODAY()))</f>
        <v>93</v>
      </c>
      <c r="N174" s="12" t="n">
        <f aca="true">IF(AND(TRIM($A174)="Finalized",$K174&lt;&gt;""),"",IF($D174="","",$D174+365-TODAY()))</f>
        <v>278</v>
      </c>
      <c r="O174" s="11" t="n">
        <f aca="false">IF(AND(TRIM($A174)="Finalized",$K174&lt;&gt;""),"",DATE(2026,9,6))</f>
        <v>46271</v>
      </c>
      <c r="P174" s="10" t="s">
        <v>165</v>
      </c>
      <c r="Q174" s="10" t="s">
        <v>210</v>
      </c>
      <c r="R174" s="10" t="s">
        <v>147</v>
      </c>
      <c r="S174" s="10" t="s">
        <v>116</v>
      </c>
      <c r="T174" s="10" t="s">
        <v>114</v>
      </c>
      <c r="U174" s="10" t="s">
        <v>116</v>
      </c>
      <c r="V174" s="10" t="s">
        <v>303</v>
      </c>
      <c r="W174" s="10" t="s">
        <v>434</v>
      </c>
      <c r="X174" s="10" t="s">
        <v>435</v>
      </c>
      <c r="Y174" s="10" t="s">
        <v>621</v>
      </c>
      <c r="Z174" s="10"/>
      <c r="AA174" s="10" t="s">
        <v>759</v>
      </c>
      <c r="AB174" s="8" t="n">
        <f aca="true">IF($F174="","",TODAY()-$F174)</f>
        <v>130</v>
      </c>
      <c r="AC174" s="10" t="s">
        <v>440</v>
      </c>
      <c r="AD174" s="10" t="s">
        <v>443</v>
      </c>
      <c r="AE174" s="10" t="s">
        <v>657</v>
      </c>
      <c r="AF174" s="10" t="s">
        <v>442</v>
      </c>
      <c r="AG174" s="10" t="s">
        <v>441</v>
      </c>
      <c r="AH174" s="10" t="s">
        <v>439</v>
      </c>
      <c r="AI174" s="10" t="s">
        <v>438</v>
      </c>
      <c r="AJ174" s="10" t="s">
        <v>579</v>
      </c>
      <c r="AK174" s="10" t="s">
        <v>445</v>
      </c>
      <c r="AL174" s="10" t="s">
        <v>622</v>
      </c>
      <c r="AM174" s="10"/>
      <c r="AN174" s="8"/>
      <c r="AO174" s="10" t="s">
        <v>447</v>
      </c>
      <c r="AP174" s="10" t="s">
        <v>188</v>
      </c>
      <c r="AQ174" s="11" t="n">
        <v>46216</v>
      </c>
      <c r="AR174" s="13" t="s">
        <v>799</v>
      </c>
      <c r="AS174" s="13" t="s">
        <v>215</v>
      </c>
      <c r="AT174" s="13"/>
      <c r="AU174" s="13"/>
      <c r="AV174" s="13" t="s">
        <v>933</v>
      </c>
      <c r="AW174" s="13"/>
      <c r="AX174" s="13" t="s">
        <v>934</v>
      </c>
      <c r="AY174" s="7" t="s">
        <v>233</v>
      </c>
      <c r="AZ174" s="7"/>
      <c r="BA174" s="7" t="s">
        <v>37</v>
      </c>
      <c r="BB174" s="7" t="s">
        <v>215</v>
      </c>
      <c r="BC174" s="7"/>
      <c r="BD174" s="9" t="n">
        <v>46291</v>
      </c>
      <c r="BE174" s="7" t="s">
        <v>527</v>
      </c>
      <c r="BF174" s="14" t="str">
        <f aca="true">IF(TRIM($A174)="Finalized","Closed",IF($BD174="","No review date set",IF($BD174&lt;TODAY(),"OVERDUE",IF($BD174-TODAY()&lt;=7,"Due within 7 days","Scheduled"))))</f>
        <v>OVERDUE</v>
      </c>
      <c r="BG174" s="14" t="n">
        <f aca="true">IF($K174="","",TODAY()-$K174)</f>
        <v>51</v>
      </c>
      <c r="BH174" s="15" t="str">
        <f aca="false">IFERROR(LEFT(IF($B174="","Notes, ","")&amp;IF($K174="","Latest Date Worked, ","")&amp;IF($AY174="","Last Action, ","")&amp;IF(AND(OR(TRIM($A174)="Denied",TRIM($A174)="Rejected"),$BA174=""),"Denial Reason, ","")&amp;IF(AND(TRIM($A174)="Denied",$BB174="",TRIM($BA174)&lt;&gt;"NO DENIAL"),"Denial Code, ","")&amp;IF(AND(TRIM($A174)&lt;&gt;"Finalized",$BD174=""),"Next Review Date, ","")&amp;IF(AND(TRIM($A174)&lt;&gt;"Finalized",$BE174=""),"Next Step, ","")&amp;IF(AND(TRIM($A174)="Finalized",$AV174="",$AR174="",$AT174="",$AX174="",$AW174=""),"CPT outcome, ",""),LEN(IF($B174="","Notes, ","")&amp;IF($K174="","Latest Date Worked, ","")&amp;IF($AY174="","Last Action, ","")&amp;IF(AND(OR(TRIM($A174)="Denied",TRIM($A174)="Rejected"),$BA174=""),"Denial Reason, ","")&amp;IF(AND(TRIM($A174)="Denied",$BB174="",TRIM($BA174)&lt;&gt;"NO DENIAL"),"Denial Code, ","")&amp;IF(AND(TRIM($A174)&lt;&gt;"Finalized",$BD174=""),"Next Review Date, ","")&amp;IF(AND(TRIM($A174)&lt;&gt;"Finalized",$BE174=""),"Next Step, ","")&amp;IF(AND(TRIM($A174)="Finalized",$AV174="",$AR174="",$AT174="",$AX174="",$AW174=""),"CPT outcome, ",""))-2),"")</f>
        <v>Notes</v>
      </c>
      <c r="BI174" s="15" t="str">
        <f aca="false">IF($BB174="","",IFERROR(INDEX('Denial Codes'!$C:$C,MATCH(LEFT($BB174,FIND(" - ",$BB174&amp;" - ")+2)&amp;"*",'Denial Codes'!$A:$A,0)),""))</f>
        <v>Bundled / NCCI edit</v>
      </c>
      <c r="BJ174" s="15" t="str">
        <f aca="false">IF($BA174="","",IFERROR(INDEX(Lists!$B:$B,MATCH(TRIM($BA174),Lists!$A:$A,0))&amp;"",""))</f>
        <v>Check the NCCI pair; if the service was distinct, add 59/XU (or XS) and resubmit; otherwise adjust.</v>
      </c>
    </row>
    <row r="175" customFormat="false" ht="15" hidden="false" customHeight="false" outlineLevel="0" collapsed="false">
      <c r="A175" s="7" t="s">
        <v>19</v>
      </c>
      <c r="B175" s="7" t="s">
        <v>935</v>
      </c>
      <c r="C175" s="8" t="n">
        <v>570979198</v>
      </c>
      <c r="D175" s="9"/>
      <c r="E175" s="10" t="s">
        <v>936</v>
      </c>
      <c r="F175" s="11" t="n">
        <v>46181</v>
      </c>
      <c r="G175" s="10" t="s">
        <v>369</v>
      </c>
      <c r="H175" s="10" t="s">
        <v>369</v>
      </c>
      <c r="I175" s="10" t="s">
        <v>129</v>
      </c>
      <c r="J175" s="10" t="s">
        <v>937</v>
      </c>
      <c r="K175" s="9" t="n">
        <v>46270</v>
      </c>
      <c r="L175" s="12" t="n">
        <f aca="true">IF($O175="","",$O175-TODAY())</f>
        <v>-40</v>
      </c>
      <c r="M175" s="12" t="str">
        <f aca="true">IF(AND(TRIM($A175)="Finalized",$K175&lt;&gt;""),"",IF($D175="","",$D175+365-TODAY()))</f>
        <v/>
      </c>
      <c r="N175" s="12" t="str">
        <f aca="true">IF(AND(TRIM($A175)="Finalized",$K175&lt;&gt;""),"",IF($D175="","",$D175+365-TODAY()))</f>
        <v/>
      </c>
      <c r="O175" s="11" t="n">
        <f aca="false">IF(AND(TRIM($A175)="Finalized",$K175&lt;&gt;""),"",DATE(2026,9,6))</f>
        <v>46271</v>
      </c>
      <c r="P175" s="10" t="s">
        <v>165</v>
      </c>
      <c r="Q175" s="10" t="s">
        <v>371</v>
      </c>
      <c r="R175" s="10" t="s">
        <v>114</v>
      </c>
      <c r="S175" s="10" t="s">
        <v>116</v>
      </c>
      <c r="T175" s="10" t="s">
        <v>114</v>
      </c>
      <c r="U175" s="10" t="s">
        <v>116</v>
      </c>
      <c r="V175" s="10" t="s">
        <v>303</v>
      </c>
      <c r="W175" s="10" t="s">
        <v>132</v>
      </c>
      <c r="X175" s="10" t="s">
        <v>134</v>
      </c>
      <c r="Y175" s="10"/>
      <c r="Z175" s="10"/>
      <c r="AA175" s="10" t="s">
        <v>197</v>
      </c>
      <c r="AB175" s="8" t="n">
        <f aca="true">IF($F175="","",TODAY()-$F175)</f>
        <v>130</v>
      </c>
      <c r="AC175" s="10" t="s">
        <v>136</v>
      </c>
      <c r="AD175" s="10" t="s">
        <v>137</v>
      </c>
      <c r="AE175" s="10" t="s">
        <v>137</v>
      </c>
      <c r="AF175" s="10" t="s">
        <v>524</v>
      </c>
      <c r="AG175" s="10"/>
      <c r="AH175" s="10"/>
      <c r="AI175" s="10"/>
      <c r="AJ175" s="10" t="s">
        <v>938</v>
      </c>
      <c r="AK175" s="10" t="s">
        <v>939</v>
      </c>
      <c r="AL175" s="10" t="s">
        <v>940</v>
      </c>
      <c r="AM175" s="10" t="s">
        <v>291</v>
      </c>
      <c r="AN175" s="8"/>
      <c r="AO175" s="10" t="s">
        <v>174</v>
      </c>
      <c r="AP175" s="10" t="s">
        <v>175</v>
      </c>
      <c r="AQ175" s="11" t="n">
        <v>46190</v>
      </c>
      <c r="AR175" s="13"/>
      <c r="AS175" s="13"/>
      <c r="AT175" s="13"/>
      <c r="AU175" s="13"/>
      <c r="AV175" s="13" t="s">
        <v>719</v>
      </c>
      <c r="AW175" s="13"/>
      <c r="AX175" s="13" t="s">
        <v>941</v>
      </c>
      <c r="AY175" s="7" t="s">
        <v>159</v>
      </c>
      <c r="AZ175" s="7"/>
      <c r="BA175" s="7" t="s">
        <v>37</v>
      </c>
      <c r="BB175" s="7"/>
      <c r="BC175" s="7"/>
      <c r="BD175" s="9" t="n">
        <v>46300</v>
      </c>
      <c r="BE175" s="7"/>
      <c r="BF175" s="14" t="str">
        <f aca="true">IF(TRIM($A175)="Finalized","Closed",IF($BD175="","No review date set",IF($BD175&lt;TODAY(),"OVERDUE",IF($BD175-TODAY()&lt;=7,"Due within 7 days","Scheduled"))))</f>
        <v>OVERDUE</v>
      </c>
      <c r="BG175" s="14" t="n">
        <f aca="true">IF($K175="","",TODAY()-$K175)</f>
        <v>41</v>
      </c>
      <c r="BH175" s="15" t="str">
        <f aca="false">IFERROR(LEFT(IF($B175="","Notes, ","")&amp;IF($K175="","Latest Date Worked, ","")&amp;IF($AY175="","Last Action, ","")&amp;IF(AND(OR(TRIM($A175)="Denied",TRIM($A175)="Rejected"),$BA175=""),"Denial Reason, ","")&amp;IF(AND(TRIM($A175)="Denied",$BB175="",TRIM($BA175)&lt;&gt;"NO DENIAL"),"Denial Code, ","")&amp;IF(AND(TRIM($A175)&lt;&gt;"Finalized",$BD175=""),"Next Review Date, ","")&amp;IF(AND(TRIM($A175)&lt;&gt;"Finalized",$BE175=""),"Next Step, ","")&amp;IF(AND(TRIM($A175)="Finalized",$AV175="",$AR175="",$AT175="",$AX175="",$AW175=""),"CPT outcome, ",""),LEN(IF($B175="","Notes, ","")&amp;IF($K175="","Latest Date Worked, ","")&amp;IF($AY175="","Last Action, ","")&amp;IF(AND(OR(TRIM($A175)="Denied",TRIM($A175)="Rejected"),$BA175=""),"Denial Reason, ","")&amp;IF(AND(TRIM($A175)="Denied",$BB175="",TRIM($BA175)&lt;&gt;"NO DENIAL"),"Denial Code, ","")&amp;IF(AND(TRIM($A175)&lt;&gt;"Finalized",$BD175=""),"Next Review Date, ","")&amp;IF(AND(TRIM($A175)&lt;&gt;"Finalized",$BE175=""),"Next Step, ","")&amp;IF(AND(TRIM($A175)="Finalized",$AV175="",$AR175="",$AT175="",$AX175="",$AW175=""),"CPT outcome, ",""))-2),"")</f>
        <v>Next Step</v>
      </c>
      <c r="BI175" s="15" t="str">
        <f aca="false">IF($BB175="","",IFERROR(INDEX('Denial Codes'!$C:$C,MATCH(LEFT($BB175,FIND(" - ",$BB175&amp;" - ")+2)&amp;"*",'Denial Codes'!$A:$A,0)),""))</f>
        <v/>
      </c>
      <c r="BJ175" s="15" t="str">
        <f aca="false">IF($BA175="","",IFERROR(INDEX(Lists!$B:$B,MATCH(TRIM($BA175),Lists!$A:$A,0))&amp;"",""))</f>
        <v>Check the NCCI pair; if the service was distinct, add 59/XU (or XS) and resubmit; otherwise adjust.</v>
      </c>
    </row>
    <row r="176" customFormat="false" ht="15" hidden="false" customHeight="false" outlineLevel="0" collapsed="false">
      <c r="A176" s="7" t="s">
        <v>17</v>
      </c>
      <c r="B176" s="7" t="s">
        <v>241</v>
      </c>
      <c r="C176" s="8" t="n">
        <v>573628784</v>
      </c>
      <c r="D176" s="9" t="n">
        <v>46276</v>
      </c>
      <c r="E176" s="10" t="s">
        <v>942</v>
      </c>
      <c r="F176" s="11" t="n">
        <v>46181</v>
      </c>
      <c r="G176" s="10" t="s">
        <v>347</v>
      </c>
      <c r="H176" s="10" t="s">
        <v>347</v>
      </c>
      <c r="I176" s="10" t="s">
        <v>129</v>
      </c>
      <c r="J176" s="10" t="s">
        <v>943</v>
      </c>
      <c r="K176" s="9" t="n">
        <v>46270</v>
      </c>
      <c r="L176" s="12" t="n">
        <f aca="true">IF($O176="","",$O176-TODAY())</f>
        <v>-40</v>
      </c>
      <c r="M176" s="12" t="n">
        <f aca="true">IF(AND(TRIM($A176)="Finalized",$K176&lt;&gt;""),"",IF($F176="","",$F176+90-TODAY()))</f>
        <v>-40</v>
      </c>
      <c r="N176" s="12" t="n">
        <f aca="true">IF(AND(TRIM($A176)="Finalized",$K176&lt;&gt;""),"",IF($D176="","",$D176+540-TODAY()))</f>
        <v>505</v>
      </c>
      <c r="O176" s="11" t="n">
        <f aca="false">IF(AND(TRIM($A176)="Finalized",$K176&lt;&gt;""),"",DATE(2026,9,6))</f>
        <v>46271</v>
      </c>
      <c r="P176" s="10" t="s">
        <v>165</v>
      </c>
      <c r="Q176" s="10" t="s">
        <v>348</v>
      </c>
      <c r="R176" s="10" t="s">
        <v>165</v>
      </c>
      <c r="S176" s="10" t="s">
        <v>149</v>
      </c>
      <c r="T176" s="10" t="s">
        <v>349</v>
      </c>
      <c r="U176" s="10" t="s">
        <v>116</v>
      </c>
      <c r="V176" s="10" t="s">
        <v>303</v>
      </c>
      <c r="W176" s="10" t="s">
        <v>132</v>
      </c>
      <c r="X176" s="10"/>
      <c r="Y176" s="10"/>
      <c r="Z176" s="10"/>
      <c r="AA176" s="10" t="s">
        <v>197</v>
      </c>
      <c r="AB176" s="8" t="n">
        <f aca="true">IF($F176="","",TODAY()-$F176)</f>
        <v>130</v>
      </c>
      <c r="AC176" s="10" t="s">
        <v>716</v>
      </c>
      <c r="AD176" s="10" t="s">
        <v>541</v>
      </c>
      <c r="AE176" s="10" t="s">
        <v>944</v>
      </c>
      <c r="AF176" s="10"/>
      <c r="AG176" s="10"/>
      <c r="AH176" s="10"/>
      <c r="AI176" s="10"/>
      <c r="AJ176" s="10" t="s">
        <v>139</v>
      </c>
      <c r="AK176" s="10" t="s">
        <v>124</v>
      </c>
      <c r="AL176" s="10" t="s">
        <v>945</v>
      </c>
      <c r="AM176" s="10" t="s">
        <v>138</v>
      </c>
      <c r="AN176" s="8"/>
      <c r="AO176" s="10" t="s">
        <v>174</v>
      </c>
      <c r="AP176" s="10" t="s">
        <v>175</v>
      </c>
      <c r="AQ176" s="11" t="n">
        <v>46190</v>
      </c>
      <c r="AR176" s="13"/>
      <c r="AS176" s="13"/>
      <c r="AT176" s="13"/>
      <c r="AU176" s="13"/>
      <c r="AV176" s="13" t="s">
        <v>946</v>
      </c>
      <c r="AW176" s="13"/>
      <c r="AX176" s="13" t="s">
        <v>947</v>
      </c>
      <c r="AY176" s="7" t="s">
        <v>203</v>
      </c>
      <c r="AZ176" s="7"/>
      <c r="BA176" s="7" t="s">
        <v>36</v>
      </c>
      <c r="BB176" s="7" t="s">
        <v>204</v>
      </c>
      <c r="BC176" s="7" t="s">
        <v>948</v>
      </c>
      <c r="BD176" s="9" t="n">
        <v>46300</v>
      </c>
      <c r="BE176" s="7"/>
      <c r="BF176" s="14" t="str">
        <f aca="true">IF(TRIM($A176)="Finalized","Closed",IF($BD176="","No review date set",IF($BD176&lt;TODAY(),"OVERDUE",IF($BD176-TODAY()&lt;=7,"Due within 7 days","Scheduled"))))</f>
        <v>OVERDUE</v>
      </c>
      <c r="BG176" s="14" t="n">
        <f aca="true">IF($K176="","",TODAY()-$K176)</f>
        <v>41</v>
      </c>
      <c r="BH176" s="15" t="str">
        <f aca="false">IFERROR(LEFT(IF($B176="","Notes, ","")&amp;IF($K176="","Latest Date Worked, ","")&amp;IF($AY176="","Last Action, ","")&amp;IF(AND(OR(TRIM($A176)="Denied",TRIM($A176)="Rejected"),$BA176=""),"Denial Reason, ","")&amp;IF(AND(TRIM($A176)="Denied",$BB176="",TRIM($BA176)&lt;&gt;"NO DENIAL"),"Denial Code, ","")&amp;IF(AND(TRIM($A176)&lt;&gt;"Finalized",$BD176=""),"Next Review Date, ","")&amp;IF(AND(TRIM($A176)&lt;&gt;"Finalized",$BE176=""),"Next Step, ","")&amp;IF(AND(TRIM($A176)="Finalized",$AV176="",$AR176="",$AT176="",$AX176="",$AW176=""),"CPT outcome, ",""),LEN(IF($B176="","Notes, ","")&amp;IF($K176="","Latest Date Worked, ","")&amp;IF($AY176="","Last Action, ","")&amp;IF(AND(OR(TRIM($A176)="Denied",TRIM($A176)="Rejected"),$BA176=""),"Denial Reason, ","")&amp;IF(AND(TRIM($A176)="Denied",$BB176="",TRIM($BA176)&lt;&gt;"NO DENIAL"),"Denial Code, ","")&amp;IF(AND(TRIM($A176)&lt;&gt;"Finalized",$BD176=""),"Next Review Date, ","")&amp;IF(AND(TRIM($A176)&lt;&gt;"Finalized",$BE176=""),"Next Step, ","")&amp;IF(AND(TRIM($A176)="Finalized",$AV176="",$AR176="",$AT176="",$AX176="",$AW176=""),"CPT outcome, ",""))-2),"")</f>
        <v>Next Step</v>
      </c>
      <c r="BI176" s="15" t="str">
        <f aca="false">IF($BB176="","",IFERROR(INDEX('Denial Codes'!$C:$C,MATCH(LEFT($BB176,FIND(" - ",$BB176&amp;" - ")+2)&amp;"*",'Denial Codes'!$A:$A,0)),""))</f>
        <v>Medical records needed</v>
      </c>
      <c r="BJ176" s="15" t="str">
        <f aca="false">IF($BA176="","",IFERROR(INDEX(Lists!$B:$B,MATCH(TRIM($BA176),Lists!$A:$A,0))&amp;"",""))</f>
        <v>Upload the MR on the payer portal, note the PIQ/reference number and set a review date.</v>
      </c>
    </row>
    <row r="177" customFormat="false" ht="15" hidden="false" customHeight="false" outlineLevel="0" collapsed="false">
      <c r="A177" s="7" t="s">
        <v>17</v>
      </c>
      <c r="B177" s="7" t="s">
        <v>203</v>
      </c>
      <c r="C177" s="8" t="n">
        <v>565101780</v>
      </c>
      <c r="D177" s="9" t="n">
        <v>46268</v>
      </c>
      <c r="E177" s="10" t="s">
        <v>949</v>
      </c>
      <c r="F177" s="11" t="n">
        <v>46181</v>
      </c>
      <c r="G177" s="10" t="s">
        <v>460</v>
      </c>
      <c r="H177" s="10" t="s">
        <v>460</v>
      </c>
      <c r="I177" s="10" t="s">
        <v>129</v>
      </c>
      <c r="J177" s="10" t="s">
        <v>950</v>
      </c>
      <c r="K177" s="9" t="n">
        <v>46270</v>
      </c>
      <c r="L177" s="12" t="n">
        <f aca="true">IF($O177="","",$O177-TODAY())</f>
        <v>-40</v>
      </c>
      <c r="M177" s="12" t="n">
        <f aca="true">IF(AND(TRIM($A177)="Finalized",$K177&lt;&gt;""),"",IF($D177="","",$D177+180-TODAY()))</f>
        <v>137</v>
      </c>
      <c r="N177" s="12" t="n">
        <f aca="true">IF(AND(TRIM($A177)="Finalized",$K177&lt;&gt;""),"",IF($D177="","",$D177+365-TODAY()))</f>
        <v>322</v>
      </c>
      <c r="O177" s="11" t="n">
        <f aca="false">IF(AND(TRIM($A177)="Finalized",$K177&lt;&gt;""),"",DATE(2026,9,6))</f>
        <v>46271</v>
      </c>
      <c r="P177" s="10" t="s">
        <v>165</v>
      </c>
      <c r="Q177" s="10" t="s">
        <v>462</v>
      </c>
      <c r="R177" s="10" t="s">
        <v>147</v>
      </c>
      <c r="S177" s="10" t="s">
        <v>116</v>
      </c>
      <c r="T177" s="10" t="s">
        <v>114</v>
      </c>
      <c r="U177" s="10" t="s">
        <v>116</v>
      </c>
      <c r="V177" s="10" t="s">
        <v>303</v>
      </c>
      <c r="W177" s="10" t="s">
        <v>434</v>
      </c>
      <c r="X177" s="10" t="s">
        <v>619</v>
      </c>
      <c r="Y177" s="10" t="s">
        <v>620</v>
      </c>
      <c r="Z177" s="10" t="s">
        <v>621</v>
      </c>
      <c r="AA177" s="10" t="s">
        <v>951</v>
      </c>
      <c r="AB177" s="8" t="n">
        <f aca="true">IF($F177="","",TODAY()-$F177)</f>
        <v>130</v>
      </c>
      <c r="AC177" s="10" t="s">
        <v>657</v>
      </c>
      <c r="AD177" s="10" t="s">
        <v>441</v>
      </c>
      <c r="AE177" s="10" t="s">
        <v>439</v>
      </c>
      <c r="AF177" s="10" t="s">
        <v>443</v>
      </c>
      <c r="AG177" s="10" t="s">
        <v>438</v>
      </c>
      <c r="AH177" s="10" t="s">
        <v>440</v>
      </c>
      <c r="AI177" s="10" t="s">
        <v>438</v>
      </c>
      <c r="AJ177" s="10" t="s">
        <v>579</v>
      </c>
      <c r="AK177" s="10" t="s">
        <v>445</v>
      </c>
      <c r="AL177" s="10" t="s">
        <v>622</v>
      </c>
      <c r="AM177" s="10"/>
      <c r="AN177" s="8"/>
      <c r="AO177" s="10" t="s">
        <v>447</v>
      </c>
      <c r="AP177" s="10" t="s">
        <v>175</v>
      </c>
      <c r="AQ177" s="11" t="n">
        <v>46216</v>
      </c>
      <c r="AR177" s="13"/>
      <c r="AS177" s="13"/>
      <c r="AT177" s="13"/>
      <c r="AU177" s="13"/>
      <c r="AV177" s="13" t="s">
        <v>952</v>
      </c>
      <c r="AW177" s="13"/>
      <c r="AX177" s="13" t="s">
        <v>953</v>
      </c>
      <c r="AY177" s="7" t="s">
        <v>203</v>
      </c>
      <c r="AZ177" s="7"/>
      <c r="BA177" s="7" t="s">
        <v>36</v>
      </c>
      <c r="BB177" s="7" t="s">
        <v>204</v>
      </c>
      <c r="BC177" s="7" t="s">
        <v>954</v>
      </c>
      <c r="BD177" s="9" t="n">
        <v>46300</v>
      </c>
      <c r="BE177" s="7"/>
      <c r="BF177" s="14" t="str">
        <f aca="true">IF(TRIM($A177)="Finalized","Closed",IF($BD177="","No review date set",IF($BD177&lt;TODAY(),"OVERDUE",IF($BD177-TODAY()&lt;=7,"Due within 7 days","Scheduled"))))</f>
        <v>OVERDUE</v>
      </c>
      <c r="BG177" s="14" t="n">
        <f aca="true">IF($K177="","",TODAY()-$K177)</f>
        <v>41</v>
      </c>
      <c r="BH177" s="15" t="str">
        <f aca="false">IFERROR(LEFT(IF($B177="","Notes, ","")&amp;IF($K177="","Latest Date Worked, ","")&amp;IF($AY177="","Last Action, ","")&amp;IF(AND(OR(TRIM($A177)="Denied",TRIM($A177)="Rejected"),$BA177=""),"Denial Reason, ","")&amp;IF(AND(TRIM($A177)="Denied",$BB177="",TRIM($BA177)&lt;&gt;"NO DENIAL"),"Denial Code, ","")&amp;IF(AND(TRIM($A177)&lt;&gt;"Finalized",$BD177=""),"Next Review Date, ","")&amp;IF(AND(TRIM($A177)&lt;&gt;"Finalized",$BE177=""),"Next Step, ","")&amp;IF(AND(TRIM($A177)="Finalized",$AV177="",$AR177="",$AT177="",$AX177="",$AW177=""),"CPT outcome, ",""),LEN(IF($B177="","Notes, ","")&amp;IF($K177="","Latest Date Worked, ","")&amp;IF($AY177="","Last Action, ","")&amp;IF(AND(OR(TRIM($A177)="Denied",TRIM($A177)="Rejected"),$BA177=""),"Denial Reason, ","")&amp;IF(AND(TRIM($A177)="Denied",$BB177="",TRIM($BA177)&lt;&gt;"NO DENIAL"),"Denial Code, ","")&amp;IF(AND(TRIM($A177)&lt;&gt;"Finalized",$BD177=""),"Next Review Date, ","")&amp;IF(AND(TRIM($A177)&lt;&gt;"Finalized",$BE177=""),"Next Step, ","")&amp;IF(AND(TRIM($A177)="Finalized",$AV177="",$AR177="",$AT177="",$AX177="",$AW177=""),"CPT outcome, ",""))-2),"")</f>
        <v>Next Step</v>
      </c>
      <c r="BI177" s="15" t="str">
        <f aca="false">IF($BB177="","",IFERROR(INDEX('Denial Codes'!$C:$C,MATCH(LEFT($BB177,FIND(" - ",$BB177&amp;" - ")+2)&amp;"*",'Denial Codes'!$A:$A,0)),""))</f>
        <v>Medical records needed</v>
      </c>
      <c r="BJ177" s="15" t="str">
        <f aca="false">IF($BA177="","",IFERROR(INDEX(Lists!$B:$B,MATCH(TRIM($BA177),Lists!$A:$A,0))&amp;"",""))</f>
        <v>Upload the MR on the payer portal, note the PIQ/reference number and set a review date.</v>
      </c>
    </row>
    <row r="178" customFormat="false" ht="15" hidden="false" customHeight="false" outlineLevel="0" collapsed="false">
      <c r="A178" s="7" t="s">
        <v>17</v>
      </c>
      <c r="B178" s="7" t="s">
        <v>955</v>
      </c>
      <c r="C178" s="8" t="n">
        <v>570979060</v>
      </c>
      <c r="D178" s="9" t="n">
        <v>46225</v>
      </c>
      <c r="E178" s="10" t="s">
        <v>956</v>
      </c>
      <c r="F178" s="11" t="n">
        <v>46181</v>
      </c>
      <c r="G178" s="10" t="s">
        <v>218</v>
      </c>
      <c r="H178" s="10" t="s">
        <v>218</v>
      </c>
      <c r="I178" s="10" t="s">
        <v>129</v>
      </c>
      <c r="J178" s="10" t="s">
        <v>957</v>
      </c>
      <c r="K178" s="9" t="n">
        <v>46270</v>
      </c>
      <c r="L178" s="12" t="n">
        <f aca="true">IF($O178="","",$O178-TODAY())</f>
        <v>-40</v>
      </c>
      <c r="M178" s="12" t="n">
        <f aca="true">IF(AND(TRIM($A178)="Finalized",$K178&lt;&gt;""),"",IF($F178="","",$F178+90-TODAY()))</f>
        <v>-40</v>
      </c>
      <c r="N178" s="12" t="n">
        <f aca="true">IF(AND(TRIM($A178)="Finalized",$K178&lt;&gt;""),"",IF($D178="","",$D178+180-TODAY()))</f>
        <v>94</v>
      </c>
      <c r="O178" s="11" t="n">
        <f aca="false">IF(AND(TRIM($A178)="Finalized",$K178&lt;&gt;""),"",DATE(2026,9,6))</f>
        <v>46271</v>
      </c>
      <c r="P178" s="10" t="s">
        <v>165</v>
      </c>
      <c r="Q178" s="10" t="s">
        <v>220</v>
      </c>
      <c r="R178" s="10" t="s">
        <v>165</v>
      </c>
      <c r="S178" s="10" t="s">
        <v>149</v>
      </c>
      <c r="T178" s="10" t="s">
        <v>147</v>
      </c>
      <c r="U178" s="10" t="s">
        <v>116</v>
      </c>
      <c r="V178" s="10" t="s">
        <v>303</v>
      </c>
      <c r="W178" s="10" t="s">
        <v>434</v>
      </c>
      <c r="X178" s="10" t="s">
        <v>619</v>
      </c>
      <c r="Y178" s="10" t="s">
        <v>479</v>
      </c>
      <c r="Z178" s="10" t="s">
        <v>436</v>
      </c>
      <c r="AA178" s="10" t="s">
        <v>958</v>
      </c>
      <c r="AB178" s="8" t="n">
        <f aca="true">IF($F178="","",TODAY()-$F178)</f>
        <v>130</v>
      </c>
      <c r="AC178" s="10" t="s">
        <v>442</v>
      </c>
      <c r="AD178" s="10" t="s">
        <v>439</v>
      </c>
      <c r="AE178" s="10" t="s">
        <v>438</v>
      </c>
      <c r="AF178" s="10" t="s">
        <v>657</v>
      </c>
      <c r="AG178" s="10" t="s">
        <v>441</v>
      </c>
      <c r="AH178" s="10"/>
      <c r="AI178" s="10"/>
      <c r="AJ178" s="10" t="s">
        <v>444</v>
      </c>
      <c r="AK178" s="10" t="s">
        <v>445</v>
      </c>
      <c r="AL178" s="10" t="s">
        <v>446</v>
      </c>
      <c r="AM178" s="10"/>
      <c r="AN178" s="8"/>
      <c r="AO178" s="10" t="s">
        <v>447</v>
      </c>
      <c r="AP178" s="10" t="s">
        <v>175</v>
      </c>
      <c r="AQ178" s="11" t="n">
        <v>46216</v>
      </c>
      <c r="AR178" s="13"/>
      <c r="AS178" s="13"/>
      <c r="AT178" s="13"/>
      <c r="AU178" s="13"/>
      <c r="AV178" s="13" t="s">
        <v>959</v>
      </c>
      <c r="AW178" s="13"/>
      <c r="AX178" s="13" t="s">
        <v>959</v>
      </c>
      <c r="AY178" s="7" t="s">
        <v>159</v>
      </c>
      <c r="AZ178" s="7"/>
      <c r="BA178" s="7" t="s">
        <v>38</v>
      </c>
      <c r="BB178" s="7"/>
      <c r="BC178" s="7"/>
      <c r="BD178" s="9" t="n">
        <v>46300</v>
      </c>
      <c r="BE178" s="7"/>
      <c r="BF178" s="14" t="str">
        <f aca="true">IF(TRIM($A178)="Finalized","Closed",IF($BD178="","No review date set",IF($BD178&lt;TODAY(),"OVERDUE",IF($BD178-TODAY()&lt;=7,"Due within 7 days","Scheduled"))))</f>
        <v>OVERDUE</v>
      </c>
      <c r="BG178" s="14" t="n">
        <f aca="true">IF($K178="","",TODAY()-$K178)</f>
        <v>41</v>
      </c>
      <c r="BH178" s="15" t="str">
        <f aca="false">IFERROR(LEFT(IF($B178="","Notes, ","")&amp;IF($K178="","Latest Date Worked, ","")&amp;IF($AY178="","Last Action, ","")&amp;IF(AND(OR(TRIM($A178)="Denied",TRIM($A178)="Rejected"),$BA178=""),"Denial Reason, ","")&amp;IF(AND(TRIM($A178)="Denied",$BB178="",TRIM($BA178)&lt;&gt;"NO DENIAL"),"Denial Code, ","")&amp;IF(AND(TRIM($A178)&lt;&gt;"Finalized",$BD178=""),"Next Review Date, ","")&amp;IF(AND(TRIM($A178)&lt;&gt;"Finalized",$BE178=""),"Next Step, ","")&amp;IF(AND(TRIM($A178)="Finalized",$AV178="",$AR178="",$AT178="",$AX178="",$AW178=""),"CPT outcome, ",""),LEN(IF($B178="","Notes, ","")&amp;IF($K178="","Latest Date Worked, ","")&amp;IF($AY178="","Last Action, ","")&amp;IF(AND(OR(TRIM($A178)="Denied",TRIM($A178)="Rejected"),$BA178=""),"Denial Reason, ","")&amp;IF(AND(TRIM($A178)="Denied",$BB178="",TRIM($BA178)&lt;&gt;"NO DENIAL"),"Denial Code, ","")&amp;IF(AND(TRIM($A178)&lt;&gt;"Finalized",$BD178=""),"Next Review Date, ","")&amp;IF(AND(TRIM($A178)&lt;&gt;"Finalized",$BE178=""),"Next Step, ","")&amp;IF(AND(TRIM($A178)="Finalized",$AV178="",$AR178="",$AT178="",$AX178="",$AW178=""),"CPT outcome, ",""))-2),"")</f>
        <v>Denial Code, Next Step</v>
      </c>
      <c r="BI178" s="15" t="str">
        <f aca="false">IF($BB178="","",IFERROR(INDEX('Denial Codes'!$C:$C,MATCH(LEFT($BB178,FIND(" - ",$BB178&amp;" - ")+2)&amp;"*",'Denial Codes'!$A:$A,0)),""))</f>
        <v/>
      </c>
      <c r="BJ178" s="15" t="str">
        <f aca="false">IF($BA178="","",IFERROR(INDEX(Lists!$B:$B,MATCH(TRIM($BA178),Lists!$A:$A,0))&amp;"",""))</f>
        <v>Correct or add the modifier (e.g. NU/RR, KX, RT/LT, 25) and resubmit.</v>
      </c>
    </row>
    <row r="179" customFormat="false" ht="15" hidden="false" customHeight="false" outlineLevel="0" collapsed="false">
      <c r="A179" s="7" t="s">
        <v>16</v>
      </c>
      <c r="B179" s="7" t="s">
        <v>960</v>
      </c>
      <c r="C179" s="8" t="n">
        <v>562623275</v>
      </c>
      <c r="D179" s="9" t="n">
        <v>46281</v>
      </c>
      <c r="E179" s="10" t="s">
        <v>961</v>
      </c>
      <c r="F179" s="11" t="n">
        <v>46181</v>
      </c>
      <c r="G179" s="10" t="s">
        <v>163</v>
      </c>
      <c r="H179" s="10" t="s">
        <v>163</v>
      </c>
      <c r="I179" s="10" t="s">
        <v>129</v>
      </c>
      <c r="J179" s="10" t="s">
        <v>228</v>
      </c>
      <c r="K179" s="9" t="n">
        <v>46274</v>
      </c>
      <c r="L179" s="12" t="str">
        <f aca="true">IF($O179="","",$O179-TODAY())</f>
        <v/>
      </c>
      <c r="M179" s="12" t="str">
        <f aca="true">IF(AND(TRIM($A179)="Finalized",$K179&lt;&gt;""),"",IF($F179="","",$F179+90-TODAY()))</f>
        <v/>
      </c>
      <c r="N179" s="12" t="str">
        <f aca="true">IF(AND(TRIM($A179)="Finalized",$K179&lt;&gt;""),"",IF($D179="","",$D179+365-TODAY()))</f>
        <v/>
      </c>
      <c r="O179" s="11" t="str">
        <f aca="false">IF(AND(TRIM($A179)="Finalized",$K179&lt;&gt;""),"",DATE(2026,9,6))</f>
        <v/>
      </c>
      <c r="P179" s="10" t="s">
        <v>165</v>
      </c>
      <c r="Q179" s="10" t="s">
        <v>166</v>
      </c>
      <c r="R179" s="10" t="s">
        <v>165</v>
      </c>
      <c r="S179" s="10" t="s">
        <v>149</v>
      </c>
      <c r="T179" s="10" t="s">
        <v>114</v>
      </c>
      <c r="U179" s="10" t="s">
        <v>116</v>
      </c>
      <c r="V179" s="10" t="s">
        <v>303</v>
      </c>
      <c r="W179" s="10" t="s">
        <v>119</v>
      </c>
      <c r="X179" s="10" t="s">
        <v>229</v>
      </c>
      <c r="Y179" s="10"/>
      <c r="Z179" s="10"/>
      <c r="AA179" s="10" t="s">
        <v>230</v>
      </c>
      <c r="AB179" s="8" t="n">
        <f aca="true">IF($F179="","",TODAY()-$F179)</f>
        <v>130</v>
      </c>
      <c r="AC179" s="10" t="s">
        <v>122</v>
      </c>
      <c r="AD179" s="10"/>
      <c r="AE179" s="10"/>
      <c r="AF179" s="10"/>
      <c r="AG179" s="10"/>
      <c r="AH179" s="10"/>
      <c r="AI179" s="10"/>
      <c r="AJ179" s="10" t="s">
        <v>123</v>
      </c>
      <c r="AK179" s="10"/>
      <c r="AL179" s="10"/>
      <c r="AM179" s="10"/>
      <c r="AN179" s="8"/>
      <c r="AO179" s="10" t="s">
        <v>962</v>
      </c>
      <c r="AP179" s="10" t="s">
        <v>188</v>
      </c>
      <c r="AQ179" s="11" t="n">
        <v>46274</v>
      </c>
      <c r="AR179" s="13"/>
      <c r="AS179" s="13"/>
      <c r="AT179" s="13"/>
      <c r="AU179" s="13"/>
      <c r="AV179" s="13" t="s">
        <v>122</v>
      </c>
      <c r="AW179" s="13"/>
      <c r="AX179" s="13"/>
      <c r="AY179" s="7" t="s">
        <v>363</v>
      </c>
      <c r="AZ179" s="7"/>
      <c r="BA179" s="7"/>
      <c r="BB179" s="7"/>
      <c r="BC179" s="7"/>
      <c r="BD179" s="9"/>
      <c r="BE179" s="7"/>
      <c r="BF179" s="14" t="str">
        <f aca="true">IF(TRIM($A179)="Finalized","Closed",IF($BD179="","No review date set",IF($BD179&lt;TODAY(),"OVERDUE",IF($BD179-TODAY()&lt;=7,"Due within 7 days","Scheduled"))))</f>
        <v>Closed</v>
      </c>
      <c r="BG179" s="14" t="n">
        <f aca="true">IF($K179="","",TODAY()-$K179)</f>
        <v>37</v>
      </c>
      <c r="BH179" s="15" t="str">
        <f aca="false">IFERROR(LEFT(IF($B179="","Notes, ","")&amp;IF($K179="","Latest Date Worked, ","")&amp;IF($AY179="","Last Action, ","")&amp;IF(AND(OR(TRIM($A179)="Denied",TRIM($A179)="Rejected"),$BA179=""),"Denial Reason, ","")&amp;IF(AND(TRIM($A179)="Denied",$BB179="",TRIM($BA179)&lt;&gt;"NO DENIAL"),"Denial Code, ","")&amp;IF(AND(TRIM($A179)&lt;&gt;"Finalized",$BD179=""),"Next Review Date, ","")&amp;IF(AND(TRIM($A179)&lt;&gt;"Finalized",$BE179=""),"Next Step, ","")&amp;IF(AND(TRIM($A179)="Finalized",$AV179="",$AR179="",$AT179="",$AX179="",$AW179=""),"CPT outcome, ",""),LEN(IF($B179="","Notes, ","")&amp;IF($K179="","Latest Date Worked, ","")&amp;IF($AY179="","Last Action, ","")&amp;IF(AND(OR(TRIM($A179)="Denied",TRIM($A179)="Rejected"),$BA179=""),"Denial Reason, ","")&amp;IF(AND(TRIM($A179)="Denied",$BB179="",TRIM($BA179)&lt;&gt;"NO DENIAL"),"Denial Code, ","")&amp;IF(AND(TRIM($A179)&lt;&gt;"Finalized",$BD179=""),"Next Review Date, ","")&amp;IF(AND(TRIM($A179)&lt;&gt;"Finalized",$BE179=""),"Next Step, ","")&amp;IF(AND(TRIM($A179)="Finalized",$AV179="",$AR179="",$AT179="",$AX179="",$AW179=""),"CPT outcome, ",""))-2),"")</f>
        <v/>
      </c>
      <c r="BI179" s="15" t="str">
        <f aca="false">IF($BB179="","",IFERROR(INDEX('Denial Codes'!$C:$C,MATCH(LEFT($BB179,FIND(" - ",$BB179&amp;" - ")+2)&amp;"*",'Denial Codes'!$A:$A,0)),""))</f>
        <v/>
      </c>
      <c r="BJ179" s="15" t="str">
        <f aca="false">IF($BA179="","",IFERROR(INDEX(Lists!$B:$B,MATCH(TRIM($BA179),Lists!$A:$A,0))&amp;"",""))</f>
        <v/>
      </c>
    </row>
    <row r="180" customFormat="false" ht="15" hidden="false" customHeight="false" outlineLevel="0" collapsed="false">
      <c r="A180" s="7" t="s">
        <v>18</v>
      </c>
      <c r="B180" s="7" t="s">
        <v>963</v>
      </c>
      <c r="C180" s="8" t="n">
        <v>562573309</v>
      </c>
      <c r="D180" s="9" t="n">
        <v>46197</v>
      </c>
      <c r="E180" s="10" t="s">
        <v>964</v>
      </c>
      <c r="F180" s="11" t="n">
        <v>46181</v>
      </c>
      <c r="G180" s="10" t="s">
        <v>163</v>
      </c>
      <c r="H180" s="10" t="s">
        <v>163</v>
      </c>
      <c r="I180" s="10" t="s">
        <v>129</v>
      </c>
      <c r="J180" s="10" t="s">
        <v>872</v>
      </c>
      <c r="K180" s="9"/>
      <c r="L180" s="12" t="n">
        <f aca="true">IF($O180="","",$O180-TODAY())</f>
        <v>-40</v>
      </c>
      <c r="M180" s="12" t="n">
        <f aca="true">IF(AND(TRIM($A180)="Finalized",$K180&lt;&gt;""),"",IF($F180="","",$F180+90-TODAY()))</f>
        <v>-40</v>
      </c>
      <c r="N180" s="12" t="n">
        <f aca="true">IF(AND(TRIM($A180)="Finalized",$K180&lt;&gt;""),"",IF($D180="","",$D180+365-TODAY()))</f>
        <v>251</v>
      </c>
      <c r="O180" s="11" t="n">
        <f aca="false">IF(AND(TRIM($A180)="Finalized",$K180&lt;&gt;""),"",DATE(2026,9,6))</f>
        <v>46271</v>
      </c>
      <c r="P180" s="10" t="s">
        <v>165</v>
      </c>
      <c r="Q180" s="10" t="s">
        <v>166</v>
      </c>
      <c r="R180" s="10" t="s">
        <v>165</v>
      </c>
      <c r="S180" s="10" t="s">
        <v>149</v>
      </c>
      <c r="T180" s="10" t="s">
        <v>114</v>
      </c>
      <c r="U180" s="10" t="s">
        <v>116</v>
      </c>
      <c r="V180" s="10" t="s">
        <v>303</v>
      </c>
      <c r="W180" s="10" t="s">
        <v>132</v>
      </c>
      <c r="X180" s="10"/>
      <c r="Y180" s="10"/>
      <c r="Z180" s="10"/>
      <c r="AA180" s="10" t="s">
        <v>197</v>
      </c>
      <c r="AB180" s="8" t="n">
        <f aca="true">IF($F180="","",TODAY()-$F180)</f>
        <v>130</v>
      </c>
      <c r="AC180" s="10" t="s">
        <v>702</v>
      </c>
      <c r="AD180" s="10"/>
      <c r="AE180" s="10"/>
      <c r="AF180" s="10"/>
      <c r="AG180" s="10"/>
      <c r="AH180" s="10"/>
      <c r="AI180" s="10"/>
      <c r="AJ180" s="10" t="s">
        <v>170</v>
      </c>
      <c r="AK180" s="10" t="s">
        <v>171</v>
      </c>
      <c r="AL180" s="10" t="s">
        <v>525</v>
      </c>
      <c r="AM180" s="10" t="s">
        <v>291</v>
      </c>
      <c r="AN180" s="8"/>
      <c r="AO180" s="10" t="s">
        <v>255</v>
      </c>
      <c r="AP180" s="10" t="s">
        <v>175</v>
      </c>
      <c r="AQ180" s="11" t="n">
        <v>46190</v>
      </c>
      <c r="AR180" s="13"/>
      <c r="AS180" s="13"/>
      <c r="AT180" s="13"/>
      <c r="AU180" s="13"/>
      <c r="AV180" s="13"/>
      <c r="AW180" s="13"/>
      <c r="AX180" s="13"/>
      <c r="AY180" s="7"/>
      <c r="AZ180" s="7"/>
      <c r="BA180" s="7"/>
      <c r="BB180" s="7"/>
      <c r="BC180" s="7"/>
      <c r="BD180" s="9"/>
      <c r="BE180" s="7" t="s">
        <v>965</v>
      </c>
      <c r="BF180" s="14" t="str">
        <f aca="true">IF(TRIM($A180)="Finalized","Closed",IF($BD180="","No review date set",IF($BD180&lt;TODAY(),"OVERDUE",IF($BD180-TODAY()&lt;=7,"Due within 7 days","Scheduled"))))</f>
        <v>No review date set</v>
      </c>
      <c r="BG180" s="14" t="str">
        <f aca="true">IF($K180="","",TODAY()-$K180)</f>
        <v/>
      </c>
      <c r="BH180" s="15" t="str">
        <f aca="false">IFERROR(LEFT(IF($B180="","Notes, ","")&amp;IF($K180="","Latest Date Worked, ","")&amp;IF($AY180="","Last Action, ","")&amp;IF(AND(OR(TRIM($A180)="Denied",TRIM($A180)="Rejected"),$BA180=""),"Denial Reason, ","")&amp;IF(AND(TRIM($A180)="Denied",$BB180="",TRIM($BA180)&lt;&gt;"NO DENIAL"),"Denial Code, ","")&amp;IF(AND(TRIM($A180)&lt;&gt;"Finalized",$BD180=""),"Next Review Date, ","")&amp;IF(AND(TRIM($A180)&lt;&gt;"Finalized",$BE180=""),"Next Step, ","")&amp;IF(AND(TRIM($A180)="Finalized",$AV180="",$AR180="",$AT180="",$AX180="",$AW180=""),"CPT outcome, ",""),LEN(IF($B180="","Notes, ","")&amp;IF($K180="","Latest Date Worked, ","")&amp;IF($AY180="","Last Action, ","")&amp;IF(AND(OR(TRIM($A180)="Denied",TRIM($A180)="Rejected"),$BA180=""),"Denial Reason, ","")&amp;IF(AND(TRIM($A180)="Denied",$BB180="",TRIM($BA180)&lt;&gt;"NO DENIAL"),"Denial Code, ","")&amp;IF(AND(TRIM($A180)&lt;&gt;"Finalized",$BD180=""),"Next Review Date, ","")&amp;IF(AND(TRIM($A180)&lt;&gt;"Finalized",$BE180=""),"Next Step, ","")&amp;IF(AND(TRIM($A180)="Finalized",$AV180="",$AR180="",$AT180="",$AX180="",$AW180=""),"CPT outcome, ",""))-2),"")</f>
        <v>Latest Date Worked, Last Action, Next Review Date</v>
      </c>
      <c r="BI180" s="15" t="str">
        <f aca="false">IF($BB180="","",IFERROR(INDEX('Denial Codes'!$C:$C,MATCH(LEFT($BB180,FIND(" - ",$BB180&amp;" - ")+2)&amp;"*",'Denial Codes'!$A:$A,0)),""))</f>
        <v/>
      </c>
      <c r="BJ180" s="15" t="str">
        <f aca="false">IF($BA180="","",IFERROR(INDEX(Lists!$B:$B,MATCH(TRIM($BA180),Lists!$A:$A,0))&amp;"",""))</f>
        <v/>
      </c>
    </row>
    <row r="181" customFormat="false" ht="15" hidden="false" customHeight="false" outlineLevel="0" collapsed="false">
      <c r="A181" s="7" t="s">
        <v>16</v>
      </c>
      <c r="B181" s="7" t="s">
        <v>966</v>
      </c>
      <c r="C181" s="8" t="n">
        <v>570976486</v>
      </c>
      <c r="D181" s="9" t="n">
        <v>46231</v>
      </c>
      <c r="E181" s="10" t="s">
        <v>502</v>
      </c>
      <c r="F181" s="11" t="n">
        <v>46182</v>
      </c>
      <c r="G181" s="10" t="s">
        <v>369</v>
      </c>
      <c r="H181" s="10" t="s">
        <v>369</v>
      </c>
      <c r="I181" s="10" t="s">
        <v>129</v>
      </c>
      <c r="J181" s="10" t="s">
        <v>424</v>
      </c>
      <c r="K181" s="9" t="n">
        <v>46270</v>
      </c>
      <c r="L181" s="12" t="str">
        <f aca="true">IF($O181="","",$O181-TODAY())</f>
        <v/>
      </c>
      <c r="M181" s="12" t="str">
        <f aca="true">IF(AND(TRIM($A181)="Finalized",$K181&lt;&gt;""),"",IF($D181="","",$D181+365-TODAY()))</f>
        <v/>
      </c>
      <c r="N181" s="12" t="str">
        <f aca="true">IF(AND(TRIM($A181)="Finalized",$K181&lt;&gt;""),"",IF($D181="","",$D181+365-TODAY()))</f>
        <v/>
      </c>
      <c r="O181" s="11" t="str">
        <f aca="false">IF(AND(TRIM($A181)="Finalized",$K181&lt;&gt;""),"",DATE(2026,9,7))</f>
        <v/>
      </c>
      <c r="P181" s="10" t="s">
        <v>165</v>
      </c>
      <c r="Q181" s="10" t="s">
        <v>371</v>
      </c>
      <c r="R181" s="10" t="s">
        <v>114</v>
      </c>
      <c r="S181" s="10" t="s">
        <v>116</v>
      </c>
      <c r="T181" s="10" t="s">
        <v>114</v>
      </c>
      <c r="U181" s="10" t="s">
        <v>116</v>
      </c>
      <c r="V181" s="10" t="s">
        <v>303</v>
      </c>
      <c r="W181" s="10" t="s">
        <v>183</v>
      </c>
      <c r="X181" s="10"/>
      <c r="Y181" s="10"/>
      <c r="Z181" s="10"/>
      <c r="AA181" s="10" t="s">
        <v>197</v>
      </c>
      <c r="AB181" s="8" t="n">
        <f aca="true">IF($F181="","",TODAY()-$F181)</f>
        <v>129</v>
      </c>
      <c r="AC181" s="10" t="s">
        <v>211</v>
      </c>
      <c r="AD181" s="10" t="s">
        <v>184</v>
      </c>
      <c r="AE181" s="10"/>
      <c r="AF181" s="10"/>
      <c r="AG181" s="10"/>
      <c r="AH181" s="10"/>
      <c r="AI181" s="10"/>
      <c r="AJ181" s="10" t="s">
        <v>186</v>
      </c>
      <c r="AK181" s="10"/>
      <c r="AL181" s="10"/>
      <c r="AM181" s="10"/>
      <c r="AN181" s="8"/>
      <c r="AO181" s="10" t="s">
        <v>201</v>
      </c>
      <c r="AP181" s="10" t="s">
        <v>308</v>
      </c>
      <c r="AQ181" s="11" t="n">
        <v>46217</v>
      </c>
      <c r="AR181" s="13"/>
      <c r="AS181" s="13"/>
      <c r="AT181" s="13"/>
      <c r="AU181" s="13"/>
      <c r="AV181" s="13" t="s">
        <v>214</v>
      </c>
      <c r="AW181" s="13"/>
      <c r="AX181" s="13" t="s">
        <v>214</v>
      </c>
      <c r="AY181" s="7" t="s">
        <v>363</v>
      </c>
      <c r="AZ181" s="7" t="s">
        <v>159</v>
      </c>
      <c r="BA181" s="7" t="s">
        <v>40</v>
      </c>
      <c r="BB181" s="7" t="s">
        <v>372</v>
      </c>
      <c r="BC181" s="7"/>
      <c r="BD181" s="9"/>
      <c r="BE181" s="7"/>
      <c r="BF181" s="14" t="str">
        <f aca="true">IF(TRIM($A181)="Finalized","Closed",IF($BD181="","No review date set",IF($BD181&lt;TODAY(),"OVERDUE",IF($BD181-TODAY()&lt;=7,"Due within 7 days","Scheduled"))))</f>
        <v>Closed</v>
      </c>
      <c r="BG181" s="14" t="n">
        <f aca="true">IF($K181="","",TODAY()-$K181)</f>
        <v>41</v>
      </c>
      <c r="BH181" s="15" t="str">
        <f aca="false">IFERROR(LEFT(IF($B181="","Notes, ","")&amp;IF($K181="","Latest Date Worked, ","")&amp;IF($AY181="","Last Action, ","")&amp;IF(AND(OR(TRIM($A181)="Denied",TRIM($A181)="Rejected"),$BA181=""),"Denial Reason, ","")&amp;IF(AND(TRIM($A181)="Denied",$BB181="",TRIM($BA181)&lt;&gt;"NO DENIAL"),"Denial Code, ","")&amp;IF(AND(TRIM($A181)&lt;&gt;"Finalized",$BD181=""),"Next Review Date, ","")&amp;IF(AND(TRIM($A181)&lt;&gt;"Finalized",$BE181=""),"Next Step, ","")&amp;IF(AND(TRIM($A181)="Finalized",$AV181="",$AR181="",$AT181="",$AX181="",$AW181=""),"CPT outcome, ",""),LEN(IF($B181="","Notes, ","")&amp;IF($K181="","Latest Date Worked, ","")&amp;IF($AY181="","Last Action, ","")&amp;IF(AND(OR(TRIM($A181)="Denied",TRIM($A181)="Rejected"),$BA181=""),"Denial Reason, ","")&amp;IF(AND(TRIM($A181)="Denied",$BB181="",TRIM($BA181)&lt;&gt;"NO DENIAL"),"Denial Code, ","")&amp;IF(AND(TRIM($A181)&lt;&gt;"Finalized",$BD181=""),"Next Review Date, ","")&amp;IF(AND(TRIM($A181)&lt;&gt;"Finalized",$BE181=""),"Next Step, ","")&amp;IF(AND(TRIM($A181)="Finalized",$AV181="",$AR181="",$AT181="",$AX181="",$AW181=""),"CPT outcome, ",""))-2),"")</f>
        <v/>
      </c>
      <c r="BI181" s="15" t="str">
        <f aca="false">IF($BB181="","",IFERROR(INDEX('Denial Codes'!$C:$C,MATCH(LEFT($BB181,FIND(" - ",$BB181&amp;" - ")+2)&amp;"*",'Denial Codes'!$A:$A,0)),""))</f>
        <v>Coding / billing error</v>
      </c>
      <c r="BJ181" s="15" t="str">
        <f aca="false">IF($BA181="","",IFERROR(INDEX(Lists!$B:$B,MATCH(TRIM($BA181),Lists!$A:$A,0))&amp;"",""))</f>
        <v>Fix the code, units, charge or other claim data and resubmit as a corrected claim.</v>
      </c>
    </row>
    <row r="182" customFormat="false" ht="15" hidden="false" customHeight="false" outlineLevel="0" collapsed="false">
      <c r="A182" s="7" t="s">
        <v>16</v>
      </c>
      <c r="B182" s="7" t="s">
        <v>967</v>
      </c>
      <c r="C182" s="8" t="n">
        <v>562698907</v>
      </c>
      <c r="D182" s="9" t="n">
        <v>46239</v>
      </c>
      <c r="E182" s="10" t="s">
        <v>968</v>
      </c>
      <c r="F182" s="11" t="n">
        <v>46182</v>
      </c>
      <c r="G182" s="10" t="s">
        <v>208</v>
      </c>
      <c r="H182" s="10" t="s">
        <v>208</v>
      </c>
      <c r="I182" s="10" t="s">
        <v>129</v>
      </c>
      <c r="J182" s="10" t="s">
        <v>583</v>
      </c>
      <c r="K182" s="9" t="n">
        <v>46270</v>
      </c>
      <c r="L182" s="12" t="str">
        <f aca="true">IF($O182="","",$O182-TODAY())</f>
        <v/>
      </c>
      <c r="M182" s="12" t="str">
        <f aca="true">IF(AND(TRIM($A182)="Finalized",$K182&lt;&gt;""),"",IF($D182="","",$D182+180-TODAY()))</f>
        <v/>
      </c>
      <c r="N182" s="12" t="str">
        <f aca="true">IF(AND(TRIM($A182)="Finalized",$K182&lt;&gt;""),"",IF($D182="","",$D182+365-TODAY()))</f>
        <v/>
      </c>
      <c r="O182" s="11" t="str">
        <f aca="false">IF(AND(TRIM($A182)="Finalized",$K182&lt;&gt;""),"",DATE(2026,9,7))</f>
        <v/>
      </c>
      <c r="P182" s="10" t="s">
        <v>165</v>
      </c>
      <c r="Q182" s="10" t="s">
        <v>210</v>
      </c>
      <c r="R182" s="10" t="s">
        <v>147</v>
      </c>
      <c r="S182" s="10" t="s">
        <v>116</v>
      </c>
      <c r="T182" s="10" t="s">
        <v>114</v>
      </c>
      <c r="U182" s="10" t="s">
        <v>116</v>
      </c>
      <c r="V182" s="10" t="s">
        <v>303</v>
      </c>
      <c r="W182" s="10" t="s">
        <v>119</v>
      </c>
      <c r="X182" s="10" t="s">
        <v>151</v>
      </c>
      <c r="Y182" s="10"/>
      <c r="Z182" s="10"/>
      <c r="AA182" s="10" t="s">
        <v>197</v>
      </c>
      <c r="AB182" s="8" t="n">
        <f aca="true">IF($F182="","",TODAY()-$F182)</f>
        <v>129</v>
      </c>
      <c r="AC182" s="10" t="s">
        <v>584</v>
      </c>
      <c r="AD182" s="10"/>
      <c r="AE182" s="10"/>
      <c r="AF182" s="10"/>
      <c r="AG182" s="10"/>
      <c r="AH182" s="10"/>
      <c r="AI182" s="10"/>
      <c r="AJ182" s="10" t="s">
        <v>139</v>
      </c>
      <c r="AK182" s="10" t="s">
        <v>306</v>
      </c>
      <c r="AL182" s="10"/>
      <c r="AM182" s="10"/>
      <c r="AN182" s="8"/>
      <c r="AO182" s="10" t="s">
        <v>669</v>
      </c>
      <c r="AP182" s="10" t="s">
        <v>188</v>
      </c>
      <c r="AQ182" s="11" t="n">
        <v>46191</v>
      </c>
      <c r="AR182" s="13"/>
      <c r="AS182" s="13"/>
      <c r="AT182" s="13"/>
      <c r="AU182" s="13"/>
      <c r="AV182" s="13" t="s">
        <v>584</v>
      </c>
      <c r="AW182" s="13"/>
      <c r="AX182" s="13" t="s">
        <v>584</v>
      </c>
      <c r="AY182" s="7" t="s">
        <v>363</v>
      </c>
      <c r="AZ182" s="7" t="s">
        <v>354</v>
      </c>
      <c r="BA182" s="7" t="s">
        <v>36</v>
      </c>
      <c r="BB182" s="7" t="s">
        <v>204</v>
      </c>
      <c r="BC182" s="7" t="s">
        <v>969</v>
      </c>
      <c r="BD182" s="9"/>
      <c r="BE182" s="7"/>
      <c r="BF182" s="14" t="str">
        <f aca="true">IF(TRIM($A182)="Finalized","Closed",IF($BD182="","No review date set",IF($BD182&lt;TODAY(),"OVERDUE",IF($BD182-TODAY()&lt;=7,"Due within 7 days","Scheduled"))))</f>
        <v>Closed</v>
      </c>
      <c r="BG182" s="14" t="n">
        <f aca="true">IF($K182="","",TODAY()-$K182)</f>
        <v>41</v>
      </c>
      <c r="BH182" s="15" t="str">
        <f aca="false">IFERROR(LEFT(IF($B182="","Notes, ","")&amp;IF($K182="","Latest Date Worked, ","")&amp;IF($AY182="","Last Action, ","")&amp;IF(AND(OR(TRIM($A182)="Denied",TRIM($A182)="Rejected"),$BA182=""),"Denial Reason, ","")&amp;IF(AND(TRIM($A182)="Denied",$BB182="",TRIM($BA182)&lt;&gt;"NO DENIAL"),"Denial Code, ","")&amp;IF(AND(TRIM($A182)&lt;&gt;"Finalized",$BD182=""),"Next Review Date, ","")&amp;IF(AND(TRIM($A182)&lt;&gt;"Finalized",$BE182=""),"Next Step, ","")&amp;IF(AND(TRIM($A182)="Finalized",$AV182="",$AR182="",$AT182="",$AX182="",$AW182=""),"CPT outcome, ",""),LEN(IF($B182="","Notes, ","")&amp;IF($K182="","Latest Date Worked, ","")&amp;IF($AY182="","Last Action, ","")&amp;IF(AND(OR(TRIM($A182)="Denied",TRIM($A182)="Rejected"),$BA182=""),"Denial Reason, ","")&amp;IF(AND(TRIM($A182)="Denied",$BB182="",TRIM($BA182)&lt;&gt;"NO DENIAL"),"Denial Code, ","")&amp;IF(AND(TRIM($A182)&lt;&gt;"Finalized",$BD182=""),"Next Review Date, ","")&amp;IF(AND(TRIM($A182)&lt;&gt;"Finalized",$BE182=""),"Next Step, ","")&amp;IF(AND(TRIM($A182)="Finalized",$AV182="",$AR182="",$AT182="",$AX182="",$AW182=""),"CPT outcome, ",""))-2),"")</f>
        <v/>
      </c>
      <c r="BI182" s="15" t="str">
        <f aca="false">IF($BB182="","",IFERROR(INDEX('Denial Codes'!$C:$C,MATCH(LEFT($BB182,FIND(" - ",$BB182&amp;" - ")+2)&amp;"*",'Denial Codes'!$A:$A,0)),""))</f>
        <v>Medical records needed</v>
      </c>
      <c r="BJ182" s="15" t="str">
        <f aca="false">IF($BA182="","",IFERROR(INDEX(Lists!$B:$B,MATCH(TRIM($BA182),Lists!$A:$A,0))&amp;"",""))</f>
        <v>Upload the MR on the payer portal, note the PIQ/reference number and set a review date.</v>
      </c>
    </row>
    <row r="183" customFormat="false" ht="15" hidden="false" customHeight="false" outlineLevel="0" collapsed="false">
      <c r="A183" s="7" t="s">
        <v>17</v>
      </c>
      <c r="B183" s="7" t="s">
        <v>203</v>
      </c>
      <c r="C183" s="8" t="n">
        <v>563060686</v>
      </c>
      <c r="D183" s="9" t="n">
        <v>46247</v>
      </c>
      <c r="E183" s="10" t="s">
        <v>970</v>
      </c>
      <c r="F183" s="11" t="n">
        <v>46182</v>
      </c>
      <c r="G183" s="10" t="s">
        <v>460</v>
      </c>
      <c r="H183" s="10" t="s">
        <v>460</v>
      </c>
      <c r="I183" s="10" t="s">
        <v>129</v>
      </c>
      <c r="J183" s="10" t="s">
        <v>638</v>
      </c>
      <c r="K183" s="9" t="n">
        <v>46271</v>
      </c>
      <c r="L183" s="12" t="n">
        <f aca="true">IF($O183="","",$O183-TODAY())</f>
        <v>-39</v>
      </c>
      <c r="M183" s="12" t="n">
        <f aca="true">IF(AND(TRIM($A183)="Finalized",$K183&lt;&gt;""),"",IF($D183="","",$D183+180-TODAY()))</f>
        <v>116</v>
      </c>
      <c r="N183" s="12" t="n">
        <f aca="true">IF(AND(TRIM($A183)="Finalized",$K183&lt;&gt;""),"",IF($D183="","",$D183+365-TODAY()))</f>
        <v>301</v>
      </c>
      <c r="O183" s="11" t="n">
        <f aca="false">IF(AND(TRIM($A183)="Finalized",$K183&lt;&gt;""),"",DATE(2026,9,7))</f>
        <v>46272</v>
      </c>
      <c r="P183" s="10" t="s">
        <v>165</v>
      </c>
      <c r="Q183" s="10" t="s">
        <v>462</v>
      </c>
      <c r="R183" s="10" t="s">
        <v>147</v>
      </c>
      <c r="S183" s="10" t="s">
        <v>116</v>
      </c>
      <c r="T183" s="10" t="s">
        <v>114</v>
      </c>
      <c r="U183" s="10" t="s">
        <v>116</v>
      </c>
      <c r="V183" s="10" t="s">
        <v>303</v>
      </c>
      <c r="W183" s="10" t="s">
        <v>196</v>
      </c>
      <c r="X183" s="10"/>
      <c r="Y183" s="10"/>
      <c r="Z183" s="10"/>
      <c r="AA183" s="10" t="s">
        <v>197</v>
      </c>
      <c r="AB183" s="8" t="n">
        <f aca="true">IF($F183="","",TODAY()-$F183)</f>
        <v>129</v>
      </c>
      <c r="AC183" s="10" t="s">
        <v>198</v>
      </c>
      <c r="AD183" s="10" t="s">
        <v>222</v>
      </c>
      <c r="AE183" s="10" t="s">
        <v>487</v>
      </c>
      <c r="AF183" s="10"/>
      <c r="AG183" s="10"/>
      <c r="AH183" s="10"/>
      <c r="AI183" s="10"/>
      <c r="AJ183" s="10" t="s">
        <v>362</v>
      </c>
      <c r="AK183" s="10" t="s">
        <v>971</v>
      </c>
      <c r="AL183" s="10" t="s">
        <v>972</v>
      </c>
      <c r="AM183" s="10" t="s">
        <v>973</v>
      </c>
      <c r="AN183" s="8"/>
      <c r="AO183" s="10" t="s">
        <v>201</v>
      </c>
      <c r="AP183" s="10" t="s">
        <v>202</v>
      </c>
      <c r="AQ183" s="11" t="n">
        <v>46195</v>
      </c>
      <c r="AR183" s="13"/>
      <c r="AS183" s="13"/>
      <c r="AT183" s="13"/>
      <c r="AU183" s="13"/>
      <c r="AV183" s="13"/>
      <c r="AW183" s="13"/>
      <c r="AX183" s="13"/>
      <c r="AY183" s="7" t="s">
        <v>203</v>
      </c>
      <c r="AZ183" s="7"/>
      <c r="BA183" s="7" t="s">
        <v>36</v>
      </c>
      <c r="BB183" s="7" t="s">
        <v>204</v>
      </c>
      <c r="BC183" s="7" t="s">
        <v>974</v>
      </c>
      <c r="BD183" s="9" t="n">
        <v>46301</v>
      </c>
      <c r="BE183" s="7"/>
      <c r="BF183" s="14" t="str">
        <f aca="true">IF(TRIM($A183)="Finalized","Closed",IF($BD183="","No review date set",IF($BD183&lt;TODAY(),"OVERDUE",IF($BD183-TODAY()&lt;=7,"Due within 7 days","Scheduled"))))</f>
        <v>OVERDUE</v>
      </c>
      <c r="BG183" s="14" t="n">
        <f aca="true">IF($K183="","",TODAY()-$K183)</f>
        <v>40</v>
      </c>
      <c r="BH183" s="15" t="str">
        <f aca="false">IFERROR(LEFT(IF($B183="","Notes, ","")&amp;IF($K183="","Latest Date Worked, ","")&amp;IF($AY183="","Last Action, ","")&amp;IF(AND(OR(TRIM($A183)="Denied",TRIM($A183)="Rejected"),$BA183=""),"Denial Reason, ","")&amp;IF(AND(TRIM($A183)="Denied",$BB183="",TRIM($BA183)&lt;&gt;"NO DENIAL"),"Denial Code, ","")&amp;IF(AND(TRIM($A183)&lt;&gt;"Finalized",$BD183=""),"Next Review Date, ","")&amp;IF(AND(TRIM($A183)&lt;&gt;"Finalized",$BE183=""),"Next Step, ","")&amp;IF(AND(TRIM($A183)="Finalized",$AV183="",$AR183="",$AT183="",$AX183="",$AW183=""),"CPT outcome, ",""),LEN(IF($B183="","Notes, ","")&amp;IF($K183="","Latest Date Worked, ","")&amp;IF($AY183="","Last Action, ","")&amp;IF(AND(OR(TRIM($A183)="Denied",TRIM($A183)="Rejected"),$BA183=""),"Denial Reason, ","")&amp;IF(AND(TRIM($A183)="Denied",$BB183="",TRIM($BA183)&lt;&gt;"NO DENIAL"),"Denial Code, ","")&amp;IF(AND(TRIM($A183)&lt;&gt;"Finalized",$BD183=""),"Next Review Date, ","")&amp;IF(AND(TRIM($A183)&lt;&gt;"Finalized",$BE183=""),"Next Step, ","")&amp;IF(AND(TRIM($A183)="Finalized",$AV183="",$AR183="",$AT183="",$AX183="",$AW183=""),"CPT outcome, ",""))-2),"")</f>
        <v>Next Step</v>
      </c>
      <c r="BI183" s="15" t="str">
        <f aca="false">IF($BB183="","",IFERROR(INDEX('Denial Codes'!$C:$C,MATCH(LEFT($BB183,FIND(" - ",$BB183&amp;" - ")+2)&amp;"*",'Denial Codes'!$A:$A,0)),""))</f>
        <v>Medical records needed</v>
      </c>
      <c r="BJ183" s="15" t="str">
        <f aca="false">IF($BA183="","",IFERROR(INDEX(Lists!$B:$B,MATCH(TRIM($BA183),Lists!$A:$A,0))&amp;"",""))</f>
        <v>Upload the MR on the payer portal, note the PIQ/reference number and set a review date.</v>
      </c>
    </row>
    <row r="184" customFormat="false" ht="15" hidden="false" customHeight="false" outlineLevel="0" collapsed="false">
      <c r="A184" s="7" t="s">
        <v>16</v>
      </c>
      <c r="B184" s="7" t="s">
        <v>975</v>
      </c>
      <c r="C184" s="8" t="n">
        <v>571031540</v>
      </c>
      <c r="D184" s="9" t="n">
        <v>46220</v>
      </c>
      <c r="E184" s="10" t="s">
        <v>976</v>
      </c>
      <c r="F184" s="11" t="n">
        <v>46183</v>
      </c>
      <c r="G184" s="10" t="s">
        <v>208</v>
      </c>
      <c r="H184" s="10" t="s">
        <v>208</v>
      </c>
      <c r="I184" s="10" t="s">
        <v>129</v>
      </c>
      <c r="J184" s="10" t="s">
        <v>424</v>
      </c>
      <c r="K184" s="9" t="n">
        <v>46272</v>
      </c>
      <c r="L184" s="12" t="str">
        <f aca="true">IF($O184="","",$O184-TODAY())</f>
        <v/>
      </c>
      <c r="M184" s="12" t="str">
        <f aca="true">IF(AND(TRIM($A184)="Finalized",$K184&lt;&gt;""),"",IF($D184="","",$D184+180-TODAY()))</f>
        <v/>
      </c>
      <c r="N184" s="12" t="str">
        <f aca="true">IF(AND(TRIM($A184)="Finalized",$K184&lt;&gt;""),"",IF($D184="","",$D184+365-TODAY()))</f>
        <v/>
      </c>
      <c r="O184" s="11" t="str">
        <f aca="false">IF(AND(TRIM($A184)="Finalized",$K184&lt;&gt;""),"",DATE(2026,9,8))</f>
        <v/>
      </c>
      <c r="P184" s="10" t="s">
        <v>165</v>
      </c>
      <c r="Q184" s="10" t="s">
        <v>210</v>
      </c>
      <c r="R184" s="10" t="s">
        <v>147</v>
      </c>
      <c r="S184" s="10" t="s">
        <v>116</v>
      </c>
      <c r="T184" s="10" t="s">
        <v>114</v>
      </c>
      <c r="U184" s="10" t="s">
        <v>116</v>
      </c>
      <c r="V184" s="10" t="s">
        <v>303</v>
      </c>
      <c r="W184" s="10" t="s">
        <v>183</v>
      </c>
      <c r="X184" s="10"/>
      <c r="Y184" s="10"/>
      <c r="Z184" s="10"/>
      <c r="AA184" s="10" t="s">
        <v>197</v>
      </c>
      <c r="AB184" s="8" t="n">
        <f aca="true">IF($F184="","",TODAY()-$F184)</f>
        <v>128</v>
      </c>
      <c r="AC184" s="10" t="s">
        <v>211</v>
      </c>
      <c r="AD184" s="10" t="s">
        <v>184</v>
      </c>
      <c r="AE184" s="10"/>
      <c r="AF184" s="10"/>
      <c r="AG184" s="10"/>
      <c r="AH184" s="10"/>
      <c r="AI184" s="10"/>
      <c r="AJ184" s="10" t="s">
        <v>212</v>
      </c>
      <c r="AK184" s="10"/>
      <c r="AL184" s="10"/>
      <c r="AM184" s="10"/>
      <c r="AN184" s="8"/>
      <c r="AO184" s="10" t="s">
        <v>213</v>
      </c>
      <c r="AP184" s="10" t="s">
        <v>188</v>
      </c>
      <c r="AQ184" s="11" t="n">
        <v>46217</v>
      </c>
      <c r="AR184" s="13"/>
      <c r="AS184" s="13"/>
      <c r="AT184" s="13"/>
      <c r="AU184" s="13"/>
      <c r="AV184" s="13" t="s">
        <v>214</v>
      </c>
      <c r="AW184" s="13"/>
      <c r="AX184" s="13" t="s">
        <v>214</v>
      </c>
      <c r="AY184" s="7" t="s">
        <v>363</v>
      </c>
      <c r="AZ184" s="7" t="s">
        <v>159</v>
      </c>
      <c r="BA184" s="7" t="s">
        <v>38</v>
      </c>
      <c r="BB184" s="7" t="s">
        <v>890</v>
      </c>
      <c r="BC184" s="7"/>
      <c r="BD184" s="9"/>
      <c r="BE184" s="7"/>
      <c r="BF184" s="14" t="str">
        <f aca="true">IF(TRIM($A184)="Finalized","Closed",IF($BD184="","No review date set",IF($BD184&lt;TODAY(),"OVERDUE",IF($BD184-TODAY()&lt;=7,"Due within 7 days","Scheduled"))))</f>
        <v>Closed</v>
      </c>
      <c r="BG184" s="14" t="n">
        <f aca="true">IF($K184="","",TODAY()-$K184)</f>
        <v>39</v>
      </c>
      <c r="BH184" s="15" t="str">
        <f aca="false">IFERROR(LEFT(IF($B184="","Notes, ","")&amp;IF($K184="","Latest Date Worked, ","")&amp;IF($AY184="","Last Action, ","")&amp;IF(AND(OR(TRIM($A184)="Denied",TRIM($A184)="Rejected"),$BA184=""),"Denial Reason, ","")&amp;IF(AND(TRIM($A184)="Denied",$BB184="",TRIM($BA184)&lt;&gt;"NO DENIAL"),"Denial Code, ","")&amp;IF(AND(TRIM($A184)&lt;&gt;"Finalized",$BD184=""),"Next Review Date, ","")&amp;IF(AND(TRIM($A184)&lt;&gt;"Finalized",$BE184=""),"Next Step, ","")&amp;IF(AND(TRIM($A184)="Finalized",$AV184="",$AR184="",$AT184="",$AX184="",$AW184=""),"CPT outcome, ",""),LEN(IF($B184="","Notes, ","")&amp;IF($K184="","Latest Date Worked, ","")&amp;IF($AY184="","Last Action, ","")&amp;IF(AND(OR(TRIM($A184)="Denied",TRIM($A184)="Rejected"),$BA184=""),"Denial Reason, ","")&amp;IF(AND(TRIM($A184)="Denied",$BB184="",TRIM($BA184)&lt;&gt;"NO DENIAL"),"Denial Code, ","")&amp;IF(AND(TRIM($A184)&lt;&gt;"Finalized",$BD184=""),"Next Review Date, ","")&amp;IF(AND(TRIM($A184)&lt;&gt;"Finalized",$BE184=""),"Next Step, ","")&amp;IF(AND(TRIM($A184)="Finalized",$AV184="",$AR184="",$AT184="",$AX184="",$AW184=""),"CPT outcome, ",""))-2),"")</f>
        <v/>
      </c>
      <c r="BI184" s="15" t="str">
        <f aca="false">IF($BB184="","",IFERROR(INDEX('Denial Codes'!$C:$C,MATCH(LEFT($BB184,FIND(" - ",$BB184&amp;" - ")+2)&amp;"*",'Denial Codes'!$A:$A,0)),""))</f>
        <v>Bundled / NCCI edit</v>
      </c>
      <c r="BJ184" s="15" t="str">
        <f aca="false">IF($BA184="","",IFERROR(INDEX(Lists!$B:$B,MATCH(TRIM($BA184),Lists!$A:$A,0))&amp;"",""))</f>
        <v>Correct or add the modifier (e.g. NU/RR, KX, RT/LT, 25) and resubmit.</v>
      </c>
    </row>
    <row r="185" customFormat="false" ht="15" hidden="false" customHeight="false" outlineLevel="0" collapsed="false">
      <c r="A185" s="7" t="s">
        <v>17</v>
      </c>
      <c r="B185" s="7" t="s">
        <v>977</v>
      </c>
      <c r="C185" s="8" t="n">
        <v>563063291</v>
      </c>
      <c r="D185" s="9" t="n">
        <v>46204</v>
      </c>
      <c r="E185" s="10" t="s">
        <v>978</v>
      </c>
      <c r="F185" s="11" t="n">
        <v>46183</v>
      </c>
      <c r="G185" s="10" t="s">
        <v>163</v>
      </c>
      <c r="H185" s="10" t="s">
        <v>163</v>
      </c>
      <c r="I185" s="10" t="s">
        <v>129</v>
      </c>
      <c r="J185" s="10" t="s">
        <v>979</v>
      </c>
      <c r="K185" s="9" t="n">
        <v>46300</v>
      </c>
      <c r="L185" s="12" t="n">
        <f aca="true">IF($O185="","",$O185-TODAY())</f>
        <v>-38</v>
      </c>
      <c r="M185" s="12" t="n">
        <f aca="true">IF(AND(TRIM($A185)="Finalized",$K185&lt;&gt;""),"",IF($F185="","",$F185+90-TODAY()))</f>
        <v>-38</v>
      </c>
      <c r="N185" s="12" t="n">
        <f aca="true">IF(AND(TRIM($A185)="Finalized",$K185&lt;&gt;""),"",IF($D185="","",$D185+365-TODAY()))</f>
        <v>258</v>
      </c>
      <c r="O185" s="11" t="n">
        <f aca="false">IF(AND(TRIM($A185)="Finalized",$K185&lt;&gt;""),"",DATE(2026,9,8))</f>
        <v>46273</v>
      </c>
      <c r="P185" s="10" t="s">
        <v>165</v>
      </c>
      <c r="Q185" s="10" t="s">
        <v>166</v>
      </c>
      <c r="R185" s="10" t="s">
        <v>165</v>
      </c>
      <c r="S185" s="10" t="s">
        <v>149</v>
      </c>
      <c r="T185" s="10" t="s">
        <v>114</v>
      </c>
      <c r="U185" s="10" t="s">
        <v>116</v>
      </c>
      <c r="V185" s="10" t="s">
        <v>303</v>
      </c>
      <c r="W185" s="10" t="s">
        <v>196</v>
      </c>
      <c r="X185" s="10"/>
      <c r="Y185" s="10"/>
      <c r="Z185" s="10"/>
      <c r="AA185" s="10" t="s">
        <v>197</v>
      </c>
      <c r="AB185" s="8" t="n">
        <f aca="true">IF($F185="","",TODAY()-$F185)</f>
        <v>128</v>
      </c>
      <c r="AC185" s="10" t="s">
        <v>222</v>
      </c>
      <c r="AD185" s="10" t="s">
        <v>487</v>
      </c>
      <c r="AE185" s="10"/>
      <c r="AF185" s="10"/>
      <c r="AG185" s="10"/>
      <c r="AH185" s="10"/>
      <c r="AI185" s="10"/>
      <c r="AJ185" s="10" t="s">
        <v>375</v>
      </c>
      <c r="AK185" s="10"/>
      <c r="AL185" s="10"/>
      <c r="AM185" s="10"/>
      <c r="AN185" s="8"/>
      <c r="AO185" s="10" t="s">
        <v>255</v>
      </c>
      <c r="AP185" s="10" t="s">
        <v>268</v>
      </c>
      <c r="AQ185" s="11" t="n">
        <v>46195</v>
      </c>
      <c r="AR185" s="13"/>
      <c r="AS185" s="13"/>
      <c r="AT185" s="13"/>
      <c r="AU185" s="13"/>
      <c r="AV185" s="13"/>
      <c r="AW185" s="13"/>
      <c r="AX185" s="13" t="s">
        <v>980</v>
      </c>
      <c r="AY185" s="7" t="s">
        <v>520</v>
      </c>
      <c r="AZ185" s="7" t="s">
        <v>520</v>
      </c>
      <c r="BA185" s="7" t="s">
        <v>34</v>
      </c>
      <c r="BB185" s="7" t="s">
        <v>464</v>
      </c>
      <c r="BC185" s="7"/>
      <c r="BD185" s="9" t="n">
        <v>46331</v>
      </c>
      <c r="BE185" s="7"/>
      <c r="BF185" s="14" t="str">
        <f aca="true">IF(TRIM($A185)="Finalized","Closed",IF($BD185="","No review date set",IF($BD185&lt;TODAY(),"OVERDUE",IF($BD185-TODAY()&lt;=7,"Due within 7 days","Scheduled"))))</f>
        <v>Scheduled</v>
      </c>
      <c r="BG185" s="14" t="n">
        <f aca="true">IF($K185="","",TODAY()-$K185)</f>
        <v>11</v>
      </c>
      <c r="BH185" s="15" t="str">
        <f aca="false">IFERROR(LEFT(IF($B185="","Notes, ","")&amp;IF($K185="","Latest Date Worked, ","")&amp;IF($AY185="","Last Action, ","")&amp;IF(AND(OR(TRIM($A185)="Denied",TRIM($A185)="Rejected"),$BA185=""),"Denial Reason, ","")&amp;IF(AND(TRIM($A185)="Denied",$BB185="",TRIM($BA185)&lt;&gt;"NO DENIAL"),"Denial Code, ","")&amp;IF(AND(TRIM($A185)&lt;&gt;"Finalized",$BD185=""),"Next Review Date, ","")&amp;IF(AND(TRIM($A185)&lt;&gt;"Finalized",$BE185=""),"Next Step, ","")&amp;IF(AND(TRIM($A185)="Finalized",$AV185="",$AR185="",$AT185="",$AX185="",$AW185=""),"CPT outcome, ",""),LEN(IF($B185="","Notes, ","")&amp;IF($K185="","Latest Date Worked, ","")&amp;IF($AY185="","Last Action, ","")&amp;IF(AND(OR(TRIM($A185)="Denied",TRIM($A185)="Rejected"),$BA185=""),"Denial Reason, ","")&amp;IF(AND(TRIM($A185)="Denied",$BB185="",TRIM($BA185)&lt;&gt;"NO DENIAL"),"Denial Code, ","")&amp;IF(AND(TRIM($A185)&lt;&gt;"Finalized",$BD185=""),"Next Review Date, ","")&amp;IF(AND(TRIM($A185)&lt;&gt;"Finalized",$BE185=""),"Next Step, ","")&amp;IF(AND(TRIM($A185)="Finalized",$AV185="",$AR185="",$AT185="",$AX185="",$AW185=""),"CPT outcome, ",""))-2),"")</f>
        <v>Next Step</v>
      </c>
      <c r="BI185" s="15" t="str">
        <f aca="false">IF($BB185="","",IFERROR(INDEX('Denial Codes'!$C:$C,MATCH(LEFT($BB185,FIND(" - ",$BB185&amp;" - ")+2)&amp;"*",'Denial Codes'!$A:$A,0)),""))</f>
        <v>No authorization</v>
      </c>
      <c r="BJ185" s="15" t="str">
        <f aca="false">IF($BA185="","",IFERROR(INDEX(Lists!$B:$B,MATCH(TRIM($BA185),Lists!$A:$A,0))&amp;"",""))</f>
        <v>Check the portal for an auth; request a retro-auth or file an appeal with the auth number, then resubmit.</v>
      </c>
    </row>
    <row r="186" customFormat="false" ht="15" hidden="false" customHeight="false" outlineLevel="0" collapsed="false">
      <c r="A186" s="7" t="s">
        <v>18</v>
      </c>
      <c r="B186" s="7" t="s">
        <v>963</v>
      </c>
      <c r="C186" s="8" t="n">
        <v>562086355</v>
      </c>
      <c r="D186" s="9" t="n">
        <v>46197</v>
      </c>
      <c r="E186" s="10" t="s">
        <v>981</v>
      </c>
      <c r="F186" s="11" t="n">
        <v>46184</v>
      </c>
      <c r="G186" s="10" t="s">
        <v>163</v>
      </c>
      <c r="H186" s="10" t="s">
        <v>163</v>
      </c>
      <c r="I186" s="10" t="s">
        <v>129</v>
      </c>
      <c r="J186" s="10" t="s">
        <v>250</v>
      </c>
      <c r="K186" s="9"/>
      <c r="L186" s="12" t="n">
        <f aca="true">IF($O186="","",$O186-TODAY())</f>
        <v>-37</v>
      </c>
      <c r="M186" s="12" t="n">
        <f aca="true">IF(AND(TRIM($A186)="Finalized",$K186&lt;&gt;""),"",IF($F186="","",$F186+90-TODAY()))</f>
        <v>-37</v>
      </c>
      <c r="N186" s="12" t="n">
        <f aca="true">IF(AND(TRIM($A186)="Finalized",$K186&lt;&gt;""),"",IF($D186="","",$D186+365-TODAY()))</f>
        <v>251</v>
      </c>
      <c r="O186" s="11" t="n">
        <f aca="false">IF(AND(TRIM($A186)="Finalized",$K186&lt;&gt;""),"",DATE(2026,9,9))</f>
        <v>46274</v>
      </c>
      <c r="P186" s="10" t="s">
        <v>165</v>
      </c>
      <c r="Q186" s="10" t="s">
        <v>166</v>
      </c>
      <c r="R186" s="10" t="s">
        <v>165</v>
      </c>
      <c r="S186" s="10" t="s">
        <v>149</v>
      </c>
      <c r="T186" s="10" t="s">
        <v>114</v>
      </c>
      <c r="U186" s="10" t="s">
        <v>116</v>
      </c>
      <c r="V186" s="10" t="s">
        <v>303</v>
      </c>
      <c r="W186" s="10" t="s">
        <v>132</v>
      </c>
      <c r="X186" s="10"/>
      <c r="Y186" s="10"/>
      <c r="Z186" s="10"/>
      <c r="AA186" s="10" t="s">
        <v>197</v>
      </c>
      <c r="AB186" s="8" t="n">
        <f aca="true">IF($F186="","",TODAY()-$F186)</f>
        <v>127</v>
      </c>
      <c r="AC186" s="10" t="s">
        <v>251</v>
      </c>
      <c r="AD186" s="10"/>
      <c r="AE186" s="10"/>
      <c r="AF186" s="10"/>
      <c r="AG186" s="10"/>
      <c r="AH186" s="10"/>
      <c r="AI186" s="10"/>
      <c r="AJ186" s="10" t="s">
        <v>362</v>
      </c>
      <c r="AK186" s="10" t="s">
        <v>123</v>
      </c>
      <c r="AL186" s="10"/>
      <c r="AM186" s="10"/>
      <c r="AN186" s="8"/>
      <c r="AO186" s="10" t="s">
        <v>201</v>
      </c>
      <c r="AP186" s="10" t="s">
        <v>327</v>
      </c>
      <c r="AQ186" s="11" t="n">
        <v>46188</v>
      </c>
      <c r="AR186" s="13"/>
      <c r="AS186" s="13"/>
      <c r="AT186" s="13"/>
      <c r="AU186" s="13"/>
      <c r="AV186" s="13"/>
      <c r="AW186" s="13"/>
      <c r="AX186" s="13"/>
      <c r="AY186" s="7"/>
      <c r="AZ186" s="7"/>
      <c r="BA186" s="7"/>
      <c r="BB186" s="7"/>
      <c r="BC186" s="7"/>
      <c r="BD186" s="9"/>
      <c r="BE186" s="7" t="s">
        <v>965</v>
      </c>
      <c r="BF186" s="14" t="str">
        <f aca="true">IF(TRIM($A186)="Finalized","Closed",IF($BD186="","No review date set",IF($BD186&lt;TODAY(),"OVERDUE",IF($BD186-TODAY()&lt;=7,"Due within 7 days","Scheduled"))))</f>
        <v>No review date set</v>
      </c>
      <c r="BG186" s="14" t="str">
        <f aca="true">IF($K186="","",TODAY()-$K186)</f>
        <v/>
      </c>
      <c r="BH186" s="15" t="str">
        <f aca="false">IFERROR(LEFT(IF($B186="","Notes, ","")&amp;IF($K186="","Latest Date Worked, ","")&amp;IF($AY186="","Last Action, ","")&amp;IF(AND(OR(TRIM($A186)="Denied",TRIM($A186)="Rejected"),$BA186=""),"Denial Reason, ","")&amp;IF(AND(TRIM($A186)="Denied",$BB186="",TRIM($BA186)&lt;&gt;"NO DENIAL"),"Denial Code, ","")&amp;IF(AND(TRIM($A186)&lt;&gt;"Finalized",$BD186=""),"Next Review Date, ","")&amp;IF(AND(TRIM($A186)&lt;&gt;"Finalized",$BE186=""),"Next Step, ","")&amp;IF(AND(TRIM($A186)="Finalized",$AV186="",$AR186="",$AT186="",$AX186="",$AW186=""),"CPT outcome, ",""),LEN(IF($B186="","Notes, ","")&amp;IF($K186="","Latest Date Worked, ","")&amp;IF($AY186="","Last Action, ","")&amp;IF(AND(OR(TRIM($A186)="Denied",TRIM($A186)="Rejected"),$BA186=""),"Denial Reason, ","")&amp;IF(AND(TRIM($A186)="Denied",$BB186="",TRIM($BA186)&lt;&gt;"NO DENIAL"),"Denial Code, ","")&amp;IF(AND(TRIM($A186)&lt;&gt;"Finalized",$BD186=""),"Next Review Date, ","")&amp;IF(AND(TRIM($A186)&lt;&gt;"Finalized",$BE186=""),"Next Step, ","")&amp;IF(AND(TRIM($A186)="Finalized",$AV186="",$AR186="",$AT186="",$AX186="",$AW186=""),"CPT outcome, ",""))-2),"")</f>
        <v>Latest Date Worked, Last Action, Next Review Date</v>
      </c>
      <c r="BI186" s="15" t="str">
        <f aca="false">IF($BB186="","",IFERROR(INDEX('Denial Codes'!$C:$C,MATCH(LEFT($BB186,FIND(" - ",$BB186&amp;" - ")+2)&amp;"*",'Denial Codes'!$A:$A,0)),""))</f>
        <v/>
      </c>
      <c r="BJ186" s="15" t="str">
        <f aca="false">IF($BA186="","",IFERROR(INDEX(Lists!$B:$B,MATCH(TRIM($BA186),Lists!$A:$A,0))&amp;"",""))</f>
        <v/>
      </c>
    </row>
    <row r="187" customFormat="false" ht="15" hidden="false" customHeight="false" outlineLevel="0" collapsed="false">
      <c r="A187" s="7" t="s">
        <v>17</v>
      </c>
      <c r="B187" s="7" t="s">
        <v>982</v>
      </c>
      <c r="C187" s="8" t="n">
        <v>570992408</v>
      </c>
      <c r="D187" s="9" t="n">
        <v>46197</v>
      </c>
      <c r="E187" s="10" t="s">
        <v>685</v>
      </c>
      <c r="F187" s="11" t="n">
        <v>46185</v>
      </c>
      <c r="G187" s="10" t="s">
        <v>208</v>
      </c>
      <c r="H187" s="10" t="s">
        <v>208</v>
      </c>
      <c r="I187" s="10" t="s">
        <v>129</v>
      </c>
      <c r="J187" s="10" t="s">
        <v>983</v>
      </c>
      <c r="K187" s="9" t="n">
        <v>46271</v>
      </c>
      <c r="L187" s="12" t="n">
        <f aca="true">IF($O187="","",$O187-TODAY())</f>
        <v>-36</v>
      </c>
      <c r="M187" s="12" t="n">
        <f aca="true">IF(AND(TRIM($A187)="Finalized",$K187&lt;&gt;""),"",IF($D187="","",$D187+180-TODAY()))</f>
        <v>66</v>
      </c>
      <c r="N187" s="12" t="n">
        <f aca="true">IF(AND(TRIM($A187)="Finalized",$K187&lt;&gt;""),"",IF($D187="","",$D187+365-TODAY()))</f>
        <v>251</v>
      </c>
      <c r="O187" s="11" t="n">
        <f aca="false">IF(AND(TRIM($A187)="Finalized",$K187&lt;&gt;""),"",DATE(2026,9,10))</f>
        <v>46275</v>
      </c>
      <c r="P187" s="10" t="s">
        <v>165</v>
      </c>
      <c r="Q187" s="10" t="s">
        <v>210</v>
      </c>
      <c r="R187" s="10" t="s">
        <v>147</v>
      </c>
      <c r="S187" s="10" t="s">
        <v>116</v>
      </c>
      <c r="T187" s="10" t="s">
        <v>114</v>
      </c>
      <c r="U187" s="10" t="s">
        <v>116</v>
      </c>
      <c r="V187" s="10" t="s">
        <v>303</v>
      </c>
      <c r="W187" s="10" t="s">
        <v>132</v>
      </c>
      <c r="X187" s="10"/>
      <c r="Y187" s="10"/>
      <c r="Z187" s="10"/>
      <c r="AA187" s="10" t="s">
        <v>197</v>
      </c>
      <c r="AB187" s="8" t="n">
        <f aca="true">IF($F187="","",TODAY()-$F187)</f>
        <v>126</v>
      </c>
      <c r="AC187" s="10" t="s">
        <v>895</v>
      </c>
      <c r="AD187" s="10"/>
      <c r="AE187" s="10"/>
      <c r="AF187" s="10"/>
      <c r="AG187" s="10"/>
      <c r="AH187" s="10"/>
      <c r="AI187" s="10"/>
      <c r="AJ187" s="10" t="s">
        <v>686</v>
      </c>
      <c r="AK187" s="10"/>
      <c r="AL187" s="10"/>
      <c r="AM187" s="10"/>
      <c r="AN187" s="8"/>
      <c r="AO187" s="10" t="s">
        <v>506</v>
      </c>
      <c r="AP187" s="10" t="s">
        <v>175</v>
      </c>
      <c r="AQ187" s="11" t="n">
        <v>46189</v>
      </c>
      <c r="AR187" s="13"/>
      <c r="AS187" s="13"/>
      <c r="AT187" s="13"/>
      <c r="AU187" s="13"/>
      <c r="AV187" s="13" t="s">
        <v>895</v>
      </c>
      <c r="AW187" s="13"/>
      <c r="AX187" s="13" t="s">
        <v>895</v>
      </c>
      <c r="AY187" s="7" t="s">
        <v>159</v>
      </c>
      <c r="AZ187" s="7"/>
      <c r="BA187" s="7" t="s">
        <v>37</v>
      </c>
      <c r="BB187" s="7" t="s">
        <v>984</v>
      </c>
      <c r="BC187" s="7"/>
      <c r="BD187" s="9" t="n">
        <v>46301</v>
      </c>
      <c r="BE187" s="7"/>
      <c r="BF187" s="14" t="str">
        <f aca="true">IF(TRIM($A187)="Finalized","Closed",IF($BD187="","No review date set",IF($BD187&lt;TODAY(),"OVERDUE",IF($BD187-TODAY()&lt;=7,"Due within 7 days","Scheduled"))))</f>
        <v>OVERDUE</v>
      </c>
      <c r="BG187" s="14" t="n">
        <f aca="true">IF($K187="","",TODAY()-$K187)</f>
        <v>40</v>
      </c>
      <c r="BH187" s="15" t="str">
        <f aca="false">IFERROR(LEFT(IF($B187="","Notes, ","")&amp;IF($K187="","Latest Date Worked, ","")&amp;IF($AY187="","Last Action, ","")&amp;IF(AND(OR(TRIM($A187)="Denied",TRIM($A187)="Rejected"),$BA187=""),"Denial Reason, ","")&amp;IF(AND(TRIM($A187)="Denied",$BB187="",TRIM($BA187)&lt;&gt;"NO DENIAL"),"Denial Code, ","")&amp;IF(AND(TRIM($A187)&lt;&gt;"Finalized",$BD187=""),"Next Review Date, ","")&amp;IF(AND(TRIM($A187)&lt;&gt;"Finalized",$BE187=""),"Next Step, ","")&amp;IF(AND(TRIM($A187)="Finalized",$AV187="",$AR187="",$AT187="",$AX187="",$AW187=""),"CPT outcome, ",""),LEN(IF($B187="","Notes, ","")&amp;IF($K187="","Latest Date Worked, ","")&amp;IF($AY187="","Last Action, ","")&amp;IF(AND(OR(TRIM($A187)="Denied",TRIM($A187)="Rejected"),$BA187=""),"Denial Reason, ","")&amp;IF(AND(TRIM($A187)="Denied",$BB187="",TRIM($BA187)&lt;&gt;"NO DENIAL"),"Denial Code, ","")&amp;IF(AND(TRIM($A187)&lt;&gt;"Finalized",$BD187=""),"Next Review Date, ","")&amp;IF(AND(TRIM($A187)&lt;&gt;"Finalized",$BE187=""),"Next Step, ","")&amp;IF(AND(TRIM($A187)="Finalized",$AV187="",$AR187="",$AT187="",$AX187="",$AW187=""),"CPT outcome, ",""))-2),"")</f>
        <v>Next Step</v>
      </c>
      <c r="BI187" s="15" t="str">
        <f aca="false">IF($BB187="","",IFERROR(INDEX('Denial Codes'!$C:$C,MATCH(LEFT($BB187,FIND(" - ",$BB187&amp;" - ")+2)&amp;"*",'Denial Codes'!$A:$A,0)),""))</f>
        <v>Bundled / NCCI edit</v>
      </c>
      <c r="BJ187" s="15" t="str">
        <f aca="false">IF($BA187="","",IFERROR(INDEX(Lists!$B:$B,MATCH(TRIM($BA187),Lists!$A:$A,0))&amp;"",""))</f>
        <v>Check the NCCI pair; if the service was distinct, add 59/XU (or XS) and resubmit; otherwise adjust.</v>
      </c>
    </row>
    <row r="188" customFormat="false" ht="15" hidden="false" customHeight="false" outlineLevel="0" collapsed="false">
      <c r="A188" s="7" t="s">
        <v>18</v>
      </c>
      <c r="B188" s="7" t="s">
        <v>985</v>
      </c>
      <c r="C188" s="8" t="n">
        <v>562572005</v>
      </c>
      <c r="D188" s="9" t="n">
        <v>46204</v>
      </c>
      <c r="E188" s="10" t="s">
        <v>964</v>
      </c>
      <c r="F188" s="11" t="n">
        <v>46185</v>
      </c>
      <c r="G188" s="10" t="s">
        <v>163</v>
      </c>
      <c r="H188" s="10" t="s">
        <v>163</v>
      </c>
      <c r="I188" s="10" t="s">
        <v>129</v>
      </c>
      <c r="J188" s="10" t="s">
        <v>461</v>
      </c>
      <c r="K188" s="9"/>
      <c r="L188" s="12" t="n">
        <f aca="true">IF($O188="","",$O188-TODAY())</f>
        <v>-36</v>
      </c>
      <c r="M188" s="12" t="n">
        <f aca="true">IF(AND(TRIM($A188)="Finalized",$K188&lt;&gt;""),"",IF($F188="","",$F188+90-TODAY()))</f>
        <v>-36</v>
      </c>
      <c r="N188" s="12" t="n">
        <f aca="true">IF(AND(TRIM($A188)="Finalized",$K188&lt;&gt;""),"",IF($D188="","",$D188+365-TODAY()))</f>
        <v>258</v>
      </c>
      <c r="O188" s="11" t="n">
        <f aca="false">IF(AND(TRIM($A188)="Finalized",$K188&lt;&gt;""),"",DATE(2026,9,10))</f>
        <v>46275</v>
      </c>
      <c r="P188" s="10" t="s">
        <v>165</v>
      </c>
      <c r="Q188" s="10" t="s">
        <v>166</v>
      </c>
      <c r="R188" s="10" t="s">
        <v>165</v>
      </c>
      <c r="S188" s="10" t="s">
        <v>149</v>
      </c>
      <c r="T188" s="10" t="s">
        <v>114</v>
      </c>
      <c r="U188" s="10" t="s">
        <v>116</v>
      </c>
      <c r="V188" s="10" t="s">
        <v>303</v>
      </c>
      <c r="W188" s="10" t="s">
        <v>119</v>
      </c>
      <c r="X188" s="10" t="s">
        <v>120</v>
      </c>
      <c r="Y188" s="10"/>
      <c r="Z188" s="10"/>
      <c r="AA188" s="10" t="s">
        <v>230</v>
      </c>
      <c r="AB188" s="8" t="n">
        <f aca="true">IF($F188="","",TODAY()-$F188)</f>
        <v>126</v>
      </c>
      <c r="AC188" s="10" t="s">
        <v>273</v>
      </c>
      <c r="AD188" s="10"/>
      <c r="AE188" s="10"/>
      <c r="AF188" s="10"/>
      <c r="AG188" s="10"/>
      <c r="AH188" s="10"/>
      <c r="AI188" s="10"/>
      <c r="AJ188" s="10" t="s">
        <v>123</v>
      </c>
      <c r="AK188" s="10"/>
      <c r="AL188" s="10"/>
      <c r="AM188" s="10"/>
      <c r="AN188" s="8"/>
      <c r="AO188" s="10" t="s">
        <v>838</v>
      </c>
      <c r="AP188" s="10" t="s">
        <v>404</v>
      </c>
      <c r="AQ188" s="11" t="n">
        <v>46190</v>
      </c>
      <c r="AR188" s="13"/>
      <c r="AS188" s="13"/>
      <c r="AT188" s="13"/>
      <c r="AU188" s="13"/>
      <c r="AV188" s="13"/>
      <c r="AW188" s="13"/>
      <c r="AX188" s="13" t="s">
        <v>273</v>
      </c>
      <c r="AY188" s="7"/>
      <c r="AZ188" s="7" t="s">
        <v>203</v>
      </c>
      <c r="BA188" s="7" t="s">
        <v>47</v>
      </c>
      <c r="BB188" s="7" t="s">
        <v>508</v>
      </c>
      <c r="BC188" s="7"/>
      <c r="BD188" s="9"/>
      <c r="BE188" s="7" t="s">
        <v>986</v>
      </c>
      <c r="BF188" s="14" t="str">
        <f aca="true">IF(TRIM($A188)="Finalized","Closed",IF($BD188="","No review date set",IF($BD188&lt;TODAY(),"OVERDUE",IF($BD188-TODAY()&lt;=7,"Due within 7 days","Scheduled"))))</f>
        <v>No review date set</v>
      </c>
      <c r="BG188" s="14" t="str">
        <f aca="true">IF($K188="","",TODAY()-$K188)</f>
        <v/>
      </c>
      <c r="BH188" s="15" t="str">
        <f aca="false">IFERROR(LEFT(IF($B188="","Notes, ","")&amp;IF($K188="","Latest Date Worked, ","")&amp;IF($AY188="","Last Action, ","")&amp;IF(AND(OR(TRIM($A188)="Denied",TRIM($A188)="Rejected"),$BA188=""),"Denial Reason, ","")&amp;IF(AND(TRIM($A188)="Denied",$BB188="",TRIM($BA188)&lt;&gt;"NO DENIAL"),"Denial Code, ","")&amp;IF(AND(TRIM($A188)&lt;&gt;"Finalized",$BD188=""),"Next Review Date, ","")&amp;IF(AND(TRIM($A188)&lt;&gt;"Finalized",$BE188=""),"Next Step, ","")&amp;IF(AND(TRIM($A188)="Finalized",$AV188="",$AR188="",$AT188="",$AX188="",$AW188=""),"CPT outcome, ",""),LEN(IF($B188="","Notes, ","")&amp;IF($K188="","Latest Date Worked, ","")&amp;IF($AY188="","Last Action, ","")&amp;IF(AND(OR(TRIM($A188)="Denied",TRIM($A188)="Rejected"),$BA188=""),"Denial Reason, ","")&amp;IF(AND(TRIM($A188)="Denied",$BB188="",TRIM($BA188)&lt;&gt;"NO DENIAL"),"Denial Code, ","")&amp;IF(AND(TRIM($A188)&lt;&gt;"Finalized",$BD188=""),"Next Review Date, ","")&amp;IF(AND(TRIM($A188)&lt;&gt;"Finalized",$BE188=""),"Next Step, ","")&amp;IF(AND(TRIM($A188)="Finalized",$AV188="",$AR188="",$AT188="",$AX188="",$AW188=""),"CPT outcome, ",""))-2),"")</f>
        <v>Latest Date Worked, Last Action, Next Review Date</v>
      </c>
      <c r="BI188" s="15" t="str">
        <f aca="false">IF($BB188="","",IFERROR(INDEX('Denial Codes'!$C:$C,MATCH(LEFT($BB188,FIND(" - ",$BB188&amp;" - ")+2)&amp;"*",'Denial Codes'!$A:$A,0)),""))</f>
        <v>Credentialing / out of network</v>
      </c>
      <c r="BJ188" s="15" t="str">
        <f aca="false">IF($BA188="","",IFERROR(INDEX(Lists!$B:$B,MATCH(TRIM($BA188),Lists!$A:$A,0))&amp;"",""))</f>
        <v>Check provider enrollment, NPI/TIN and network status; appeal once credentialing is confirmed.</v>
      </c>
    </row>
    <row r="189" customFormat="false" ht="15" hidden="false" customHeight="false" outlineLevel="0" collapsed="false">
      <c r="A189" s="7" t="s">
        <v>16</v>
      </c>
      <c r="B189" s="7" t="s">
        <v>987</v>
      </c>
      <c r="C189" s="8" t="n">
        <v>568765283</v>
      </c>
      <c r="D189" s="9" t="n">
        <v>46184</v>
      </c>
      <c r="E189" s="10" t="s">
        <v>988</v>
      </c>
      <c r="F189" s="11" t="n">
        <v>46156</v>
      </c>
      <c r="G189" s="10" t="s">
        <v>427</v>
      </c>
      <c r="H189" s="10" t="s">
        <v>427</v>
      </c>
      <c r="I189" s="10" t="s">
        <v>129</v>
      </c>
      <c r="J189" s="10" t="s">
        <v>989</v>
      </c>
      <c r="K189" s="9" t="n">
        <v>46250</v>
      </c>
      <c r="L189" s="12" t="str">
        <f aca="true">IF($O189="","",$O189-TODAY())</f>
        <v/>
      </c>
      <c r="M189" s="12" t="str">
        <f aca="true">IF(AND(TRIM($A189)="Finalized",$K189&lt;&gt;""),"",IF($D189="","",$D189+365-TODAY()))</f>
        <v/>
      </c>
      <c r="N189" s="12" t="str">
        <f aca="true">IF(AND(TRIM($A189)="Finalized",$K189&lt;&gt;""),"",IF($D189="","",$D189+90-TODAY()))</f>
        <v/>
      </c>
      <c r="O189" s="11" t="str">
        <f aca="false">IF(AND(TRIM($A189)="Finalized",$K189&lt;&gt;""),"",DATE(2026,9,11))</f>
        <v/>
      </c>
      <c r="P189" s="10" t="s">
        <v>117</v>
      </c>
      <c r="Q189" s="10" t="s">
        <v>429</v>
      </c>
      <c r="R189" s="10" t="s">
        <v>114</v>
      </c>
      <c r="S189" s="10" t="s">
        <v>116</v>
      </c>
      <c r="T189" s="10" t="s">
        <v>165</v>
      </c>
      <c r="U189" s="10" t="s">
        <v>116</v>
      </c>
      <c r="V189" s="10" t="s">
        <v>266</v>
      </c>
      <c r="W189" s="10" t="s">
        <v>132</v>
      </c>
      <c r="X189" s="10"/>
      <c r="Y189" s="10"/>
      <c r="Z189" s="10"/>
      <c r="AA189" s="10" t="s">
        <v>197</v>
      </c>
      <c r="AB189" s="8" t="n">
        <f aca="true">IF($F189="","",TODAY()-$F189)</f>
        <v>155</v>
      </c>
      <c r="AC189" s="10" t="s">
        <v>251</v>
      </c>
      <c r="AD189" s="10" t="s">
        <v>545</v>
      </c>
      <c r="AE189" s="10"/>
      <c r="AF189" s="10"/>
      <c r="AG189" s="10"/>
      <c r="AH189" s="10"/>
      <c r="AI189" s="10"/>
      <c r="AJ189" s="10" t="s">
        <v>254</v>
      </c>
      <c r="AK189" s="10" t="s">
        <v>990</v>
      </c>
      <c r="AL189" s="10"/>
      <c r="AM189" s="10"/>
      <c r="AN189" s="8"/>
      <c r="AO189" s="10" t="s">
        <v>546</v>
      </c>
      <c r="AP189" s="10" t="s">
        <v>175</v>
      </c>
      <c r="AQ189" s="11" t="n">
        <v>46161</v>
      </c>
      <c r="AR189" s="13"/>
      <c r="AS189" s="13"/>
      <c r="AT189" s="13"/>
      <c r="AU189" s="13"/>
      <c r="AV189" s="13" t="s">
        <v>991</v>
      </c>
      <c r="AW189" s="13"/>
      <c r="AX189" s="13" t="s">
        <v>991</v>
      </c>
      <c r="AY189" s="7" t="s">
        <v>363</v>
      </c>
      <c r="AZ189" s="7" t="s">
        <v>159</v>
      </c>
      <c r="BA189" s="7" t="s">
        <v>53</v>
      </c>
      <c r="BB189" s="7"/>
      <c r="BC189" s="7"/>
      <c r="BD189" s="9"/>
      <c r="BE189" s="7"/>
      <c r="BF189" s="14" t="str">
        <f aca="true">IF(TRIM($A189)="Finalized","Closed",IF($BD189="","No review date set",IF($BD189&lt;TODAY(),"OVERDUE",IF($BD189-TODAY()&lt;=7,"Due within 7 days","Scheduled"))))</f>
        <v>Closed</v>
      </c>
      <c r="BG189" s="14" t="n">
        <f aca="true">IF($K189="","",TODAY()-$K189)</f>
        <v>61</v>
      </c>
      <c r="BH189" s="15" t="str">
        <f aca="false">IFERROR(LEFT(IF($B189="","Notes, ","")&amp;IF($K189="","Latest Date Worked, ","")&amp;IF($AY189="","Last Action, ","")&amp;IF(AND(OR(TRIM($A189)="Denied",TRIM($A189)="Rejected"),$BA189=""),"Denial Reason, ","")&amp;IF(AND(TRIM($A189)="Denied",$BB189="",TRIM($BA189)&lt;&gt;"NO DENIAL"),"Denial Code, ","")&amp;IF(AND(TRIM($A189)&lt;&gt;"Finalized",$BD189=""),"Next Review Date, ","")&amp;IF(AND(TRIM($A189)&lt;&gt;"Finalized",$BE189=""),"Next Step, ","")&amp;IF(AND(TRIM($A189)="Finalized",$AV189="",$AR189="",$AT189="",$AX189="",$AW189=""),"CPT outcome, ",""),LEN(IF($B189="","Notes, ","")&amp;IF($K189="","Latest Date Worked, ","")&amp;IF($AY189="","Last Action, ","")&amp;IF(AND(OR(TRIM($A189)="Denied",TRIM($A189)="Rejected"),$BA189=""),"Denial Reason, ","")&amp;IF(AND(TRIM($A189)="Denied",$BB189="",TRIM($BA189)&lt;&gt;"NO DENIAL"),"Denial Code, ","")&amp;IF(AND(TRIM($A189)&lt;&gt;"Finalized",$BD189=""),"Next Review Date, ","")&amp;IF(AND(TRIM($A189)&lt;&gt;"Finalized",$BE189=""),"Next Step, ","")&amp;IF(AND(TRIM($A189)="Finalized",$AV189="",$AR189="",$AT189="",$AX189="",$AW189=""),"CPT outcome, ",""))-2),"")</f>
        <v/>
      </c>
      <c r="BI189" s="15" t="str">
        <f aca="false">IF($BB189="","",IFERROR(INDEX('Denial Codes'!$C:$C,MATCH(LEFT($BB189,FIND(" - ",$BB189&amp;" - ")+2)&amp;"*",'Denial Codes'!$A:$A,0)),""))</f>
        <v/>
      </c>
      <c r="BJ189" s="15" t="str">
        <f aca="false">IF($BA189="","",IFERROR(INDEX(Lists!$B:$B,MATCH(TRIM($BA189),Lists!$A:$A,0))&amp;"",""))</f>
        <v/>
      </c>
    </row>
    <row r="190" customFormat="false" ht="15" hidden="false" customHeight="false" outlineLevel="0" collapsed="false">
      <c r="A190" s="7" t="s">
        <v>16</v>
      </c>
      <c r="B190" s="7" t="s">
        <v>992</v>
      </c>
      <c r="C190" s="8" t="n">
        <v>562534504</v>
      </c>
      <c r="D190" s="9" t="n">
        <v>46302</v>
      </c>
      <c r="E190" s="10" t="s">
        <v>993</v>
      </c>
      <c r="F190" s="11" t="n">
        <v>46189</v>
      </c>
      <c r="G190" s="10" t="s">
        <v>460</v>
      </c>
      <c r="H190" s="10" t="s">
        <v>460</v>
      </c>
      <c r="I190" s="10" t="s">
        <v>129</v>
      </c>
      <c r="J190" s="10" t="s">
        <v>400</v>
      </c>
      <c r="K190" s="9" t="n">
        <v>46279</v>
      </c>
      <c r="L190" s="12" t="str">
        <f aca="true">IF($O190="","",$O190-TODAY())</f>
        <v/>
      </c>
      <c r="M190" s="12" t="str">
        <f aca="true">IF(AND(TRIM($A190)="Finalized",$K190&lt;&gt;""),"",IF($D190="","",$D190+180-TODAY()))</f>
        <v/>
      </c>
      <c r="N190" s="12" t="str">
        <f aca="true">IF(AND(TRIM($A190)="Finalized",$K190&lt;&gt;""),"",IF($D190="","",$D190+365-TODAY()))</f>
        <v/>
      </c>
      <c r="O190" s="11" t="str">
        <f aca="false">IF(AND(TRIM($A190)="Finalized",$K190&lt;&gt;""),"",DATE(2026,9,14))</f>
        <v/>
      </c>
      <c r="P190" s="10" t="s">
        <v>165</v>
      </c>
      <c r="Q190" s="10" t="s">
        <v>462</v>
      </c>
      <c r="R190" s="10" t="s">
        <v>147</v>
      </c>
      <c r="S190" s="10" t="s">
        <v>116</v>
      </c>
      <c r="T190" s="10" t="s">
        <v>114</v>
      </c>
      <c r="U190" s="10" t="s">
        <v>116</v>
      </c>
      <c r="V190" s="10" t="s">
        <v>303</v>
      </c>
      <c r="W190" s="10" t="s">
        <v>183</v>
      </c>
      <c r="X190" s="10"/>
      <c r="Y190" s="10"/>
      <c r="Z190" s="10"/>
      <c r="AA190" s="10" t="s">
        <v>197</v>
      </c>
      <c r="AB190" s="8" t="n">
        <f aca="true">IF($F190="","",TODAY()-$F190)</f>
        <v>122</v>
      </c>
      <c r="AC190" s="10" t="s">
        <v>185</v>
      </c>
      <c r="AD190" s="10" t="s">
        <v>184</v>
      </c>
      <c r="AE190" s="10"/>
      <c r="AF190" s="10"/>
      <c r="AG190" s="10"/>
      <c r="AH190" s="10"/>
      <c r="AI190" s="10"/>
      <c r="AJ190" s="10" t="s">
        <v>340</v>
      </c>
      <c r="AK190" s="10"/>
      <c r="AL190" s="10"/>
      <c r="AM190" s="10"/>
      <c r="AN190" s="8"/>
      <c r="AO190" s="10" t="s">
        <v>669</v>
      </c>
      <c r="AP190" s="10" t="s">
        <v>994</v>
      </c>
      <c r="AQ190" s="11" t="n">
        <v>46274</v>
      </c>
      <c r="AR190" s="13"/>
      <c r="AS190" s="13"/>
      <c r="AT190" s="13"/>
      <c r="AU190" s="13"/>
      <c r="AV190" s="13" t="s">
        <v>507</v>
      </c>
      <c r="AW190" s="13"/>
      <c r="AX190" s="13" t="s">
        <v>507</v>
      </c>
      <c r="AY190" s="7" t="s">
        <v>363</v>
      </c>
      <c r="AZ190" s="7" t="s">
        <v>203</v>
      </c>
      <c r="BA190" s="7" t="s">
        <v>36</v>
      </c>
      <c r="BB190" s="7" t="s">
        <v>204</v>
      </c>
      <c r="BC190" s="7" t="s">
        <v>995</v>
      </c>
      <c r="BD190" s="9"/>
      <c r="BE190" s="7"/>
      <c r="BF190" s="14" t="str">
        <f aca="true">IF(TRIM($A190)="Finalized","Closed",IF($BD190="","No review date set",IF($BD190&lt;TODAY(),"OVERDUE",IF($BD190-TODAY()&lt;=7,"Due within 7 days","Scheduled"))))</f>
        <v>Closed</v>
      </c>
      <c r="BG190" s="14" t="n">
        <f aca="true">IF($K190="","",TODAY()-$K190)</f>
        <v>32</v>
      </c>
      <c r="BH190" s="15" t="str">
        <f aca="false">IFERROR(LEFT(IF($B190="","Notes, ","")&amp;IF($K190="","Latest Date Worked, ","")&amp;IF($AY190="","Last Action, ","")&amp;IF(AND(OR(TRIM($A190)="Denied",TRIM($A190)="Rejected"),$BA190=""),"Denial Reason, ","")&amp;IF(AND(TRIM($A190)="Denied",$BB190="",TRIM($BA190)&lt;&gt;"NO DENIAL"),"Denial Code, ","")&amp;IF(AND(TRIM($A190)&lt;&gt;"Finalized",$BD190=""),"Next Review Date, ","")&amp;IF(AND(TRIM($A190)&lt;&gt;"Finalized",$BE190=""),"Next Step, ","")&amp;IF(AND(TRIM($A190)="Finalized",$AV190="",$AR190="",$AT190="",$AX190="",$AW190=""),"CPT outcome, ",""),LEN(IF($B190="","Notes, ","")&amp;IF($K190="","Latest Date Worked, ","")&amp;IF($AY190="","Last Action, ","")&amp;IF(AND(OR(TRIM($A190)="Denied",TRIM($A190)="Rejected"),$BA190=""),"Denial Reason, ","")&amp;IF(AND(TRIM($A190)="Denied",$BB190="",TRIM($BA190)&lt;&gt;"NO DENIAL"),"Denial Code, ","")&amp;IF(AND(TRIM($A190)&lt;&gt;"Finalized",$BD190=""),"Next Review Date, ","")&amp;IF(AND(TRIM($A190)&lt;&gt;"Finalized",$BE190=""),"Next Step, ","")&amp;IF(AND(TRIM($A190)="Finalized",$AV190="",$AR190="",$AT190="",$AX190="",$AW190=""),"CPT outcome, ",""))-2),"")</f>
        <v/>
      </c>
      <c r="BI190" s="15" t="str">
        <f aca="false">IF($BB190="","",IFERROR(INDEX('Denial Codes'!$C:$C,MATCH(LEFT($BB190,FIND(" - ",$BB190&amp;" - ")+2)&amp;"*",'Denial Codes'!$A:$A,0)),""))</f>
        <v>Medical records needed</v>
      </c>
      <c r="BJ190" s="15" t="str">
        <f aca="false">IF($BA190="","",IFERROR(INDEX(Lists!$B:$B,MATCH(TRIM($BA190),Lists!$A:$A,0))&amp;"",""))</f>
        <v>Upload the MR on the payer portal, note the PIQ/reference number and set a review date.</v>
      </c>
    </row>
    <row r="191" customFormat="false" ht="15" hidden="false" customHeight="false" outlineLevel="0" collapsed="false">
      <c r="A191" s="7" t="s">
        <v>18</v>
      </c>
      <c r="B191" s="7"/>
      <c r="C191" s="8" t="n">
        <v>562510277</v>
      </c>
      <c r="D191" s="9" t="n">
        <v>46240</v>
      </c>
      <c r="E191" s="10" t="s">
        <v>996</v>
      </c>
      <c r="F191" s="11" t="n">
        <v>46189</v>
      </c>
      <c r="G191" s="10" t="s">
        <v>208</v>
      </c>
      <c r="H191" s="10" t="s">
        <v>208</v>
      </c>
      <c r="I191" s="10" t="s">
        <v>129</v>
      </c>
      <c r="J191" s="10" t="s">
        <v>997</v>
      </c>
      <c r="K191" s="9"/>
      <c r="L191" s="12" t="n">
        <f aca="true">IF($O191="","",$O191-TODAY())</f>
        <v>-32</v>
      </c>
      <c r="M191" s="12" t="n">
        <f aca="true">IF(AND(TRIM($A191)="Finalized",$K191&lt;&gt;""),"",IF($D191="","",$D191+180-TODAY()))</f>
        <v>109</v>
      </c>
      <c r="N191" s="12" t="n">
        <f aca="true">IF(AND(TRIM($A191)="Finalized",$K191&lt;&gt;""),"",IF($D191="","",$D191+365-TODAY()))</f>
        <v>294</v>
      </c>
      <c r="O191" s="11" t="n">
        <f aca="false">IF(AND(TRIM($A191)="Finalized",$K191&lt;&gt;""),"",DATE(2026,9,14))</f>
        <v>46279</v>
      </c>
      <c r="P191" s="10" t="s">
        <v>165</v>
      </c>
      <c r="Q191" s="10" t="s">
        <v>210</v>
      </c>
      <c r="R191" s="10" t="s">
        <v>147</v>
      </c>
      <c r="S191" s="10" t="s">
        <v>116</v>
      </c>
      <c r="T191" s="10" t="s">
        <v>114</v>
      </c>
      <c r="U191" s="10" t="s">
        <v>116</v>
      </c>
      <c r="V191" s="10" t="s">
        <v>303</v>
      </c>
      <c r="W191" s="10" t="s">
        <v>183</v>
      </c>
      <c r="X191" s="10"/>
      <c r="Y191" s="10"/>
      <c r="Z191" s="10"/>
      <c r="AA191" s="10" t="s">
        <v>197</v>
      </c>
      <c r="AB191" s="8" t="n">
        <f aca="true">IF($F191="","",TODAY()-$F191)</f>
        <v>122</v>
      </c>
      <c r="AC191" s="10" t="s">
        <v>283</v>
      </c>
      <c r="AD191" s="10"/>
      <c r="AE191" s="10"/>
      <c r="AF191" s="10"/>
      <c r="AG191" s="10"/>
      <c r="AH191" s="10"/>
      <c r="AI191" s="10"/>
      <c r="AJ191" s="10" t="s">
        <v>284</v>
      </c>
      <c r="AK191" s="10" t="s">
        <v>285</v>
      </c>
      <c r="AL191" s="10"/>
      <c r="AM191" s="10"/>
      <c r="AN191" s="8"/>
      <c r="AO191" s="10" t="s">
        <v>286</v>
      </c>
      <c r="AP191" s="10" t="s">
        <v>318</v>
      </c>
      <c r="AQ191" s="11" t="n">
        <v>46233</v>
      </c>
      <c r="AR191" s="13"/>
      <c r="AS191" s="13"/>
      <c r="AT191" s="13"/>
      <c r="AU191" s="13"/>
      <c r="AV191" s="13"/>
      <c r="AW191" s="13"/>
      <c r="AX191" s="13"/>
      <c r="AY191" s="7"/>
      <c r="AZ191" s="7"/>
      <c r="BA191" s="7" t="s">
        <v>47</v>
      </c>
      <c r="BB191" s="7"/>
      <c r="BC191" s="7"/>
      <c r="BD191" s="9"/>
      <c r="BE191" s="7" t="s">
        <v>998</v>
      </c>
      <c r="BF191" s="14" t="str">
        <f aca="true">IF(TRIM($A191)="Finalized","Closed",IF($BD191="","No review date set",IF($BD191&lt;TODAY(),"OVERDUE",IF($BD191-TODAY()&lt;=7,"Due within 7 days","Scheduled"))))</f>
        <v>No review date set</v>
      </c>
      <c r="BG191" s="14" t="str">
        <f aca="true">IF($K191="","",TODAY()-$K191)</f>
        <v/>
      </c>
      <c r="BH191" s="15" t="str">
        <f aca="false">IFERROR(LEFT(IF($B191="","Notes, ","")&amp;IF($K191="","Latest Date Worked, ","")&amp;IF($AY191="","Last Action, ","")&amp;IF(AND(OR(TRIM($A191)="Denied",TRIM($A191)="Rejected"),$BA191=""),"Denial Reason, ","")&amp;IF(AND(TRIM($A191)="Denied",$BB191="",TRIM($BA191)&lt;&gt;"NO DENIAL"),"Denial Code, ","")&amp;IF(AND(TRIM($A191)&lt;&gt;"Finalized",$BD191=""),"Next Review Date, ","")&amp;IF(AND(TRIM($A191)&lt;&gt;"Finalized",$BE191=""),"Next Step, ","")&amp;IF(AND(TRIM($A191)="Finalized",$AV191="",$AR191="",$AT191="",$AX191="",$AW191=""),"CPT outcome, ",""),LEN(IF($B191="","Notes, ","")&amp;IF($K191="","Latest Date Worked, ","")&amp;IF($AY191="","Last Action, ","")&amp;IF(AND(OR(TRIM($A191)="Denied",TRIM($A191)="Rejected"),$BA191=""),"Denial Reason, ","")&amp;IF(AND(TRIM($A191)="Denied",$BB191="",TRIM($BA191)&lt;&gt;"NO DENIAL"),"Denial Code, ","")&amp;IF(AND(TRIM($A191)&lt;&gt;"Finalized",$BD191=""),"Next Review Date, ","")&amp;IF(AND(TRIM($A191)&lt;&gt;"Finalized",$BE191=""),"Next Step, ","")&amp;IF(AND(TRIM($A191)="Finalized",$AV191="",$AR191="",$AT191="",$AX191="",$AW191=""),"CPT outcome, ",""))-2),"")</f>
        <v>Notes, Latest Date Worked, Last Action, Next Review Date</v>
      </c>
      <c r="BI191" s="15" t="str">
        <f aca="false">IF($BB191="","",IFERROR(INDEX('Denial Codes'!$C:$C,MATCH(LEFT($BB191,FIND(" - ",$BB191&amp;" - ")+2)&amp;"*",'Denial Codes'!$A:$A,0)),""))</f>
        <v/>
      </c>
      <c r="BJ191" s="15" t="str">
        <f aca="false">IF($BA191="","",IFERROR(INDEX(Lists!$B:$B,MATCH(TRIM($BA191),Lists!$A:$A,0))&amp;"",""))</f>
        <v>Check provider enrollment, NPI/TIN and network status; appeal once credentialing is confirmed.</v>
      </c>
    </row>
    <row r="192" customFormat="false" ht="15" hidden="false" customHeight="false" outlineLevel="0" collapsed="false">
      <c r="A192" s="7" t="s">
        <v>18</v>
      </c>
      <c r="B192" s="7"/>
      <c r="C192" s="8" t="n">
        <v>562710031</v>
      </c>
      <c r="D192" s="9" t="n">
        <v>46225</v>
      </c>
      <c r="E192" s="10" t="s">
        <v>999</v>
      </c>
      <c r="F192" s="11" t="n">
        <v>46190</v>
      </c>
      <c r="G192" s="10" t="s">
        <v>218</v>
      </c>
      <c r="H192" s="10" t="s">
        <v>218</v>
      </c>
      <c r="I192" s="10" t="s">
        <v>129</v>
      </c>
      <c r="J192" s="10" t="s">
        <v>450</v>
      </c>
      <c r="K192" s="9"/>
      <c r="L192" s="12" t="n">
        <f aca="true">IF($O192="","",$O192-TODAY())</f>
        <v>-31</v>
      </c>
      <c r="M192" s="12" t="n">
        <f aca="true">IF(AND(TRIM($A192)="Finalized",$K192&lt;&gt;""),"",IF($F192="","",$F192+90-TODAY()))</f>
        <v>-31</v>
      </c>
      <c r="N192" s="12" t="n">
        <f aca="true">IF(AND(TRIM($A192)="Finalized",$K192&lt;&gt;""),"",IF($D192="","",$D192+180-TODAY()))</f>
        <v>94</v>
      </c>
      <c r="O192" s="11" t="n">
        <f aca="false">IF(AND(TRIM($A192)="Finalized",$K192&lt;&gt;""),"",DATE(2026,9,15))</f>
        <v>46280</v>
      </c>
      <c r="P192" s="10" t="s">
        <v>165</v>
      </c>
      <c r="Q192" s="10" t="s">
        <v>220</v>
      </c>
      <c r="R192" s="10" t="s">
        <v>165</v>
      </c>
      <c r="S192" s="10" t="s">
        <v>149</v>
      </c>
      <c r="T192" s="10" t="s">
        <v>147</v>
      </c>
      <c r="U192" s="10" t="s">
        <v>116</v>
      </c>
      <c r="V192" s="10" t="s">
        <v>303</v>
      </c>
      <c r="W192" s="10" t="s">
        <v>119</v>
      </c>
      <c r="X192" s="10" t="s">
        <v>304</v>
      </c>
      <c r="Y192" s="10"/>
      <c r="Z192" s="10"/>
      <c r="AA192" s="10" t="s">
        <v>197</v>
      </c>
      <c r="AB192" s="8" t="n">
        <f aca="true">IF($F192="","",TODAY()-$F192)</f>
        <v>121</v>
      </c>
      <c r="AC192" s="10" t="s">
        <v>451</v>
      </c>
      <c r="AD192" s="10"/>
      <c r="AE192" s="10"/>
      <c r="AF192" s="10"/>
      <c r="AG192" s="10"/>
      <c r="AH192" s="10"/>
      <c r="AI192" s="10"/>
      <c r="AJ192" s="10" t="s">
        <v>686</v>
      </c>
      <c r="AK192" s="10" t="s">
        <v>306</v>
      </c>
      <c r="AL192" s="10"/>
      <c r="AM192" s="10"/>
      <c r="AN192" s="8"/>
      <c r="AO192" s="10" t="s">
        <v>262</v>
      </c>
      <c r="AP192" s="10" t="s">
        <v>156</v>
      </c>
      <c r="AQ192" s="11" t="n">
        <v>46191</v>
      </c>
      <c r="AR192" s="13"/>
      <c r="AS192" s="13"/>
      <c r="AT192" s="13"/>
      <c r="AU192" s="13"/>
      <c r="AV192" s="13"/>
      <c r="AW192" s="13"/>
      <c r="AX192" s="13" t="s">
        <v>451</v>
      </c>
      <c r="AY192" s="7"/>
      <c r="AZ192" s="7"/>
      <c r="BA192" s="7" t="s">
        <v>47</v>
      </c>
      <c r="BB192" s="7" t="s">
        <v>508</v>
      </c>
      <c r="BC192" s="7"/>
      <c r="BD192" s="9"/>
      <c r="BE192" s="7" t="s">
        <v>1000</v>
      </c>
      <c r="BF192" s="14" t="str">
        <f aca="true">IF(TRIM($A192)="Finalized","Closed",IF($BD192="","No review date set",IF($BD192&lt;TODAY(),"OVERDUE",IF($BD192-TODAY()&lt;=7,"Due within 7 days","Scheduled"))))</f>
        <v>No review date set</v>
      </c>
      <c r="BG192" s="14" t="str">
        <f aca="true">IF($K192="","",TODAY()-$K192)</f>
        <v/>
      </c>
      <c r="BH192" s="15" t="str">
        <f aca="false">IFERROR(LEFT(IF($B192="","Notes, ","")&amp;IF($K192="","Latest Date Worked, ","")&amp;IF($AY192="","Last Action, ","")&amp;IF(AND(OR(TRIM($A192)="Denied",TRIM($A192)="Rejected"),$BA192=""),"Denial Reason, ","")&amp;IF(AND(TRIM($A192)="Denied",$BB192="",TRIM($BA192)&lt;&gt;"NO DENIAL"),"Denial Code, ","")&amp;IF(AND(TRIM($A192)&lt;&gt;"Finalized",$BD192=""),"Next Review Date, ","")&amp;IF(AND(TRIM($A192)&lt;&gt;"Finalized",$BE192=""),"Next Step, ","")&amp;IF(AND(TRIM($A192)="Finalized",$AV192="",$AR192="",$AT192="",$AX192="",$AW192=""),"CPT outcome, ",""),LEN(IF($B192="","Notes, ","")&amp;IF($K192="","Latest Date Worked, ","")&amp;IF($AY192="","Last Action, ","")&amp;IF(AND(OR(TRIM($A192)="Denied",TRIM($A192)="Rejected"),$BA192=""),"Denial Reason, ","")&amp;IF(AND(TRIM($A192)="Denied",$BB192="",TRIM($BA192)&lt;&gt;"NO DENIAL"),"Denial Code, ","")&amp;IF(AND(TRIM($A192)&lt;&gt;"Finalized",$BD192=""),"Next Review Date, ","")&amp;IF(AND(TRIM($A192)&lt;&gt;"Finalized",$BE192=""),"Next Step, ","")&amp;IF(AND(TRIM($A192)="Finalized",$AV192="",$AR192="",$AT192="",$AX192="",$AW192=""),"CPT outcome, ",""))-2),"")</f>
        <v>Notes, Latest Date Worked, Last Action, Next Review Date</v>
      </c>
      <c r="BI192" s="15" t="str">
        <f aca="false">IF($BB192="","",IFERROR(INDEX('Denial Codes'!$C:$C,MATCH(LEFT($BB192,FIND(" - ",$BB192&amp;" - ")+2)&amp;"*",'Denial Codes'!$A:$A,0)),""))</f>
        <v>Credentialing / out of network</v>
      </c>
      <c r="BJ192" s="15" t="str">
        <f aca="false">IF($BA192="","",IFERROR(INDEX(Lists!$B:$B,MATCH(TRIM($BA192),Lists!$A:$A,0))&amp;"",""))</f>
        <v>Check provider enrollment, NPI/TIN and network status; appeal once credentialing is confirmed.</v>
      </c>
    </row>
    <row r="193" customFormat="false" ht="15" hidden="false" customHeight="false" outlineLevel="0" collapsed="false">
      <c r="A193" s="7" t="s">
        <v>23</v>
      </c>
      <c r="B193" s="7" t="s">
        <v>987</v>
      </c>
      <c r="C193" s="8" t="n">
        <v>568970208</v>
      </c>
      <c r="D193" s="9" t="n">
        <v>46260</v>
      </c>
      <c r="E193" s="10" t="s">
        <v>988</v>
      </c>
      <c r="F193" s="11" t="n">
        <v>46161</v>
      </c>
      <c r="G193" s="10" t="s">
        <v>427</v>
      </c>
      <c r="H193" s="10" t="s">
        <v>427</v>
      </c>
      <c r="I193" s="10" t="s">
        <v>129</v>
      </c>
      <c r="J193" s="10" t="s">
        <v>228</v>
      </c>
      <c r="K193" s="9" t="n">
        <v>46252</v>
      </c>
      <c r="L193" s="12" t="n">
        <f aca="true">IF($O193="","",$O193-TODAY())</f>
        <v>-30</v>
      </c>
      <c r="M193" s="12" t="n">
        <f aca="true">IF(AND(TRIM($A193)="Finalized",$K193&lt;&gt;""),"",IF($D193="","",$D193+365-TODAY()))</f>
        <v>314</v>
      </c>
      <c r="N193" s="12" t="n">
        <f aca="true">IF(AND(TRIM($A193)="Finalized",$K193&lt;&gt;""),"",IF($D193="","",$D193+90-TODAY()))</f>
        <v>39</v>
      </c>
      <c r="O193" s="11" t="n">
        <f aca="false">IF(AND(TRIM($A193)="Finalized",$K193&lt;&gt;""),"",DATE(2026,9,16))</f>
        <v>46281</v>
      </c>
      <c r="P193" s="10" t="s">
        <v>117</v>
      </c>
      <c r="Q193" s="10" t="s">
        <v>429</v>
      </c>
      <c r="R193" s="10" t="s">
        <v>114</v>
      </c>
      <c r="S193" s="10" t="s">
        <v>116</v>
      </c>
      <c r="T193" s="10" t="s">
        <v>165</v>
      </c>
      <c r="U193" s="10" t="s">
        <v>116</v>
      </c>
      <c r="V193" s="10" t="s">
        <v>266</v>
      </c>
      <c r="W193" s="10" t="s">
        <v>119</v>
      </c>
      <c r="X193" s="10" t="s">
        <v>229</v>
      </c>
      <c r="Y193" s="10"/>
      <c r="Z193" s="10"/>
      <c r="AA193" s="10" t="s">
        <v>230</v>
      </c>
      <c r="AB193" s="8" t="n">
        <f aca="true">IF($F193="","",TODAY()-$F193)</f>
        <v>150</v>
      </c>
      <c r="AC193" s="10" t="s">
        <v>122</v>
      </c>
      <c r="AD193" s="10"/>
      <c r="AE193" s="10"/>
      <c r="AF193" s="10"/>
      <c r="AG193" s="10"/>
      <c r="AH193" s="10"/>
      <c r="AI193" s="10"/>
      <c r="AJ193" s="10" t="s">
        <v>123</v>
      </c>
      <c r="AK193" s="10" t="s">
        <v>254</v>
      </c>
      <c r="AL193" s="10"/>
      <c r="AM193" s="10"/>
      <c r="AN193" s="8"/>
      <c r="AO193" s="10" t="s">
        <v>546</v>
      </c>
      <c r="AP193" s="10" t="s">
        <v>648</v>
      </c>
      <c r="AQ193" s="11" t="n">
        <v>46162</v>
      </c>
      <c r="AR193" s="13"/>
      <c r="AS193" s="13"/>
      <c r="AT193" s="13"/>
      <c r="AU193" s="13"/>
      <c r="AV193" s="13"/>
      <c r="AW193" s="13"/>
      <c r="AX193" s="13"/>
      <c r="AY193" s="7" t="s">
        <v>159</v>
      </c>
      <c r="AZ193" s="7"/>
      <c r="BA193" s="7"/>
      <c r="BB193" s="7"/>
      <c r="BC193" s="7"/>
      <c r="BD193" s="9" t="n">
        <v>46283</v>
      </c>
      <c r="BE193" s="7" t="s">
        <v>1001</v>
      </c>
      <c r="BF193" s="14" t="str">
        <f aca="true">IF(TRIM($A193)="Finalized","Closed",IF($BD193="","No review date set",IF($BD193&lt;TODAY(),"OVERDUE",IF($BD193-TODAY()&lt;=7,"Due within 7 days","Scheduled"))))</f>
        <v>OVERDUE</v>
      </c>
      <c r="BG193" s="14" t="n">
        <f aca="true">IF($K193="","",TODAY()-$K193)</f>
        <v>59</v>
      </c>
      <c r="BH193" s="15" t="str">
        <f aca="false">IFERROR(LEFT(IF($B193="","Notes, ","")&amp;IF($K193="","Latest Date Worked, ","")&amp;IF($AY193="","Last Action, ","")&amp;IF(AND(OR(TRIM($A193)="Denied",TRIM($A193)="Rejected"),$BA193=""),"Denial Reason, ","")&amp;IF(AND(TRIM($A193)="Denied",$BB193="",TRIM($BA193)&lt;&gt;"NO DENIAL"),"Denial Code, ","")&amp;IF(AND(TRIM($A193)&lt;&gt;"Finalized",$BD193=""),"Next Review Date, ","")&amp;IF(AND(TRIM($A193)&lt;&gt;"Finalized",$BE193=""),"Next Step, ","")&amp;IF(AND(TRIM($A193)="Finalized",$AV193="",$AR193="",$AT193="",$AX193="",$AW193=""),"CPT outcome, ",""),LEN(IF($B193="","Notes, ","")&amp;IF($K193="","Latest Date Worked, ","")&amp;IF($AY193="","Last Action, ","")&amp;IF(AND(OR(TRIM($A193)="Denied",TRIM($A193)="Rejected"),$BA193=""),"Denial Reason, ","")&amp;IF(AND(TRIM($A193)="Denied",$BB193="",TRIM($BA193)&lt;&gt;"NO DENIAL"),"Denial Code, ","")&amp;IF(AND(TRIM($A193)&lt;&gt;"Finalized",$BD193=""),"Next Review Date, ","")&amp;IF(AND(TRIM($A193)&lt;&gt;"Finalized",$BE193=""),"Next Step, ","")&amp;IF(AND(TRIM($A193)="Finalized",$AV193="",$AR193="",$AT193="",$AX193="",$AW193=""),"CPT outcome, ",""))-2),"")</f>
        <v/>
      </c>
      <c r="BI193" s="15" t="str">
        <f aca="false">IF($BB193="","",IFERROR(INDEX('Denial Codes'!$C:$C,MATCH(LEFT($BB193,FIND(" - ",$BB193&amp;" - ")+2)&amp;"*",'Denial Codes'!$A:$A,0)),""))</f>
        <v/>
      </c>
      <c r="BJ193" s="15" t="str">
        <f aca="false">IF($BA193="","",IFERROR(INDEX(Lists!$B:$B,MATCH(TRIM($BA193),Lists!$A:$A,0))&amp;"",""))</f>
        <v/>
      </c>
    </row>
    <row r="194" customFormat="false" ht="15" hidden="false" customHeight="false" outlineLevel="0" collapsed="false">
      <c r="A194" s="7" t="s">
        <v>16</v>
      </c>
      <c r="B194" s="7" t="s">
        <v>1002</v>
      </c>
      <c r="C194" s="8" t="n">
        <v>563172458</v>
      </c>
      <c r="D194" s="9" t="n">
        <v>46217</v>
      </c>
      <c r="E194" s="10" t="s">
        <v>249</v>
      </c>
      <c r="F194" s="11" t="n">
        <v>46191</v>
      </c>
      <c r="G194" s="10" t="s">
        <v>180</v>
      </c>
      <c r="H194" s="10" t="s">
        <v>180</v>
      </c>
      <c r="I194" s="10" t="s">
        <v>129</v>
      </c>
      <c r="J194" s="10" t="s">
        <v>113</v>
      </c>
      <c r="K194" s="9" t="n">
        <v>46262</v>
      </c>
      <c r="L194" s="12" t="str">
        <f aca="true">IF($O194="","",$O194-TODAY())</f>
        <v/>
      </c>
      <c r="M194" s="12" t="str">
        <f aca="true">IF(AND(TRIM($A194)="Finalized",$K194&lt;&gt;""),"",IF($D194="","",$D194+180-TODAY()))</f>
        <v/>
      </c>
      <c r="N194" s="12" t="str">
        <f aca="true">IF(AND(TRIM($A194)="Finalized",$K194&lt;&gt;""),"",IF($D194="","",$D194+365-TODAY()))</f>
        <v/>
      </c>
      <c r="O194" s="11" t="str">
        <f aca="false">IF(AND(TRIM($A194)="Finalized",$K194&lt;&gt;""),"",DATE(2026,9,16))</f>
        <v/>
      </c>
      <c r="P194" s="10" t="s">
        <v>165</v>
      </c>
      <c r="Q194" s="10" t="s">
        <v>182</v>
      </c>
      <c r="R194" s="10" t="s">
        <v>147</v>
      </c>
      <c r="S194" s="10" t="s">
        <v>116</v>
      </c>
      <c r="T194" s="10" t="s">
        <v>114</v>
      </c>
      <c r="U194" s="10" t="s">
        <v>116</v>
      </c>
      <c r="V194" s="10" t="s">
        <v>303</v>
      </c>
      <c r="W194" s="10" t="s">
        <v>119</v>
      </c>
      <c r="X194" s="10" t="s">
        <v>120</v>
      </c>
      <c r="Y194" s="10"/>
      <c r="Z194" s="10"/>
      <c r="AA194" s="10" t="s">
        <v>121</v>
      </c>
      <c r="AB194" s="8" t="n">
        <f aca="true">IF($F194="","",TODAY()-$F194)</f>
        <v>120</v>
      </c>
      <c r="AC194" s="10" t="s">
        <v>122</v>
      </c>
      <c r="AD194" s="10"/>
      <c r="AE194" s="10"/>
      <c r="AF194" s="10"/>
      <c r="AG194" s="10"/>
      <c r="AH194" s="10"/>
      <c r="AI194" s="10"/>
      <c r="AJ194" s="10" t="s">
        <v>123</v>
      </c>
      <c r="AK194" s="10"/>
      <c r="AL194" s="10"/>
      <c r="AM194" s="10"/>
      <c r="AN194" s="8"/>
      <c r="AO194" s="10" t="s">
        <v>669</v>
      </c>
      <c r="AP194" s="10" t="s">
        <v>188</v>
      </c>
      <c r="AQ194" s="11" t="n">
        <v>46196</v>
      </c>
      <c r="AR194" s="13" t="s">
        <v>122</v>
      </c>
      <c r="AS194" s="13" t="s">
        <v>1003</v>
      </c>
      <c r="AT194" s="13"/>
      <c r="AU194" s="13"/>
      <c r="AV194" s="13"/>
      <c r="AW194" s="13"/>
      <c r="AX194" s="13" t="s">
        <v>122</v>
      </c>
      <c r="AY194" s="7" t="s">
        <v>411</v>
      </c>
      <c r="AZ194" s="7"/>
      <c r="BA194" s="7" t="s">
        <v>41</v>
      </c>
      <c r="BB194" s="7" t="s">
        <v>1003</v>
      </c>
      <c r="BC194" s="7"/>
      <c r="BD194" s="9"/>
      <c r="BE194" s="7"/>
      <c r="BF194" s="14" t="str">
        <f aca="true">IF(TRIM($A194)="Finalized","Closed",IF($BD194="","No review date set",IF($BD194&lt;TODAY(),"OVERDUE",IF($BD194-TODAY()&lt;=7,"Due within 7 days","Scheduled"))))</f>
        <v>Closed</v>
      </c>
      <c r="BG194" s="14" t="n">
        <f aca="true">IF($K194="","",TODAY()-$K194)</f>
        <v>49</v>
      </c>
      <c r="BH194" s="15" t="str">
        <f aca="false">IFERROR(LEFT(IF($B194="","Notes, ","")&amp;IF($K194="","Latest Date Worked, ","")&amp;IF($AY194="","Last Action, ","")&amp;IF(AND(OR(TRIM($A194)="Denied",TRIM($A194)="Rejected"),$BA194=""),"Denial Reason, ","")&amp;IF(AND(TRIM($A194)="Denied",$BB194="",TRIM($BA194)&lt;&gt;"NO DENIAL"),"Denial Code, ","")&amp;IF(AND(TRIM($A194)&lt;&gt;"Finalized",$BD194=""),"Next Review Date, ","")&amp;IF(AND(TRIM($A194)&lt;&gt;"Finalized",$BE194=""),"Next Step, ","")&amp;IF(AND(TRIM($A194)="Finalized",$AV194="",$AR194="",$AT194="",$AX194="",$AW194=""),"CPT outcome, ",""),LEN(IF($B194="","Notes, ","")&amp;IF($K194="","Latest Date Worked, ","")&amp;IF($AY194="","Last Action, ","")&amp;IF(AND(OR(TRIM($A194)="Denied",TRIM($A194)="Rejected"),$BA194=""),"Denial Reason, ","")&amp;IF(AND(TRIM($A194)="Denied",$BB194="",TRIM($BA194)&lt;&gt;"NO DENIAL"),"Denial Code, ","")&amp;IF(AND(TRIM($A194)&lt;&gt;"Finalized",$BD194=""),"Next Review Date, ","")&amp;IF(AND(TRIM($A194)&lt;&gt;"Finalized",$BE194=""),"Next Step, ","")&amp;IF(AND(TRIM($A194)="Finalized",$AV194="",$AR194="",$AT194="",$AX194="",$AW194=""),"CPT outcome, ",""))-2),"")</f>
        <v/>
      </c>
      <c r="BI194" s="15" t="str">
        <f aca="false">IF($BB194="","",IFERROR(INDEX('Denial Codes'!$C:$C,MATCH(LEFT($BB194,FIND(" - ",$BB194&amp;" - ")+2)&amp;"*",'Denial Codes'!$A:$A,0)),""))</f>
        <v>Not covered by plan</v>
      </c>
      <c r="BJ194" s="15" t="str">
        <f aca="false">IF($BA194="","",IFERROR(INDEX(Lists!$B:$B,MATCH(TRIM($BA194),Lists!$A:$A,0))&amp;"",""))</f>
        <v>Confirm benefits; bill the patient if an ABN/waiver is on file, otherwise appeal or adjust.</v>
      </c>
    </row>
    <row r="195" customFormat="false" ht="15" hidden="false" customHeight="false" outlineLevel="0" collapsed="false">
      <c r="A195" s="7" t="s">
        <v>17</v>
      </c>
      <c r="B195" s="7" t="s">
        <v>1004</v>
      </c>
      <c r="C195" s="8" t="n">
        <v>570556322</v>
      </c>
      <c r="D195" s="9" t="n">
        <v>46129</v>
      </c>
      <c r="E195" s="10" t="s">
        <v>693</v>
      </c>
      <c r="F195" s="11" t="n">
        <v>46101</v>
      </c>
      <c r="G195" s="10" t="s">
        <v>163</v>
      </c>
      <c r="H195" s="10" t="s">
        <v>163</v>
      </c>
      <c r="I195" s="10" t="s">
        <v>129</v>
      </c>
      <c r="J195" s="10" t="s">
        <v>209</v>
      </c>
      <c r="K195" s="9" t="n">
        <v>46266</v>
      </c>
      <c r="L195" s="12" t="n">
        <f aca="true">IF($O195="","",$O195-TODAY())</f>
        <v>-120</v>
      </c>
      <c r="M195" s="12" t="n">
        <f aca="true">IF(AND(TRIM($A195)="Finalized",$K195&lt;&gt;""),"",IF($F195="","",$F195+90-TODAY()))</f>
        <v>-120</v>
      </c>
      <c r="N195" s="12" t="n">
        <f aca="true">IF(AND(TRIM($A195)="Finalized",$K195&lt;&gt;""),"",IF($D195="","",$D195+365-TODAY()))</f>
        <v>183</v>
      </c>
      <c r="O195" s="11" t="n">
        <f aca="false">IF(AND(TRIM($A195)="Finalized",$K195&lt;&gt;""),"",DATE(2026,6,18))</f>
        <v>46191</v>
      </c>
      <c r="P195" s="10" t="s">
        <v>165</v>
      </c>
      <c r="Q195" s="10" t="s">
        <v>166</v>
      </c>
      <c r="R195" s="10" t="s">
        <v>165</v>
      </c>
      <c r="S195" s="10" t="s">
        <v>149</v>
      </c>
      <c r="T195" s="10" t="s">
        <v>114</v>
      </c>
      <c r="U195" s="10" t="s">
        <v>116</v>
      </c>
      <c r="V195" s="10" t="s">
        <v>167</v>
      </c>
      <c r="W195" s="10" t="s">
        <v>183</v>
      </c>
      <c r="X195" s="10"/>
      <c r="Y195" s="10"/>
      <c r="Z195" s="10"/>
      <c r="AA195" s="10" t="s">
        <v>197</v>
      </c>
      <c r="AB195" s="8" t="n">
        <f aca="true">IF($F195="","",TODAY()-$F195)</f>
        <v>210</v>
      </c>
      <c r="AC195" s="10" t="s">
        <v>184</v>
      </c>
      <c r="AD195" s="10" t="s">
        <v>211</v>
      </c>
      <c r="AE195" s="10"/>
      <c r="AF195" s="10"/>
      <c r="AG195" s="10"/>
      <c r="AH195" s="10"/>
      <c r="AI195" s="10"/>
      <c r="AJ195" s="10" t="s">
        <v>385</v>
      </c>
      <c r="AK195" s="10"/>
      <c r="AL195" s="10"/>
      <c r="AM195" s="10"/>
      <c r="AN195" s="8"/>
      <c r="AO195" s="10" t="s">
        <v>341</v>
      </c>
      <c r="AP195" s="10" t="s">
        <v>202</v>
      </c>
      <c r="AQ195" s="11" t="n">
        <v>46119</v>
      </c>
      <c r="AR195" s="13"/>
      <c r="AS195" s="13"/>
      <c r="AT195" s="13"/>
      <c r="AU195" s="13"/>
      <c r="AV195" s="13"/>
      <c r="AW195" s="13"/>
      <c r="AX195" s="13"/>
      <c r="AY195" s="7" t="s">
        <v>159</v>
      </c>
      <c r="AZ195" s="7"/>
      <c r="BA195" s="7" t="s">
        <v>46</v>
      </c>
      <c r="BB195" s="7"/>
      <c r="BC195" s="7"/>
      <c r="BD195" s="9" t="n">
        <v>46296</v>
      </c>
      <c r="BE195" s="7"/>
      <c r="BF195" s="14" t="str">
        <f aca="true">IF(TRIM($A195)="Finalized","Closed",IF($BD195="","No review date set",IF($BD195&lt;TODAY(),"OVERDUE",IF($BD195-TODAY()&lt;=7,"Due within 7 days","Scheduled"))))</f>
        <v>OVERDUE</v>
      </c>
      <c r="BG195" s="14" t="n">
        <f aca="true">IF($K195="","",TODAY()-$K195)</f>
        <v>45</v>
      </c>
      <c r="BH195" s="15" t="str">
        <f aca="false">IFERROR(LEFT(IF($B195="","Notes, ","")&amp;IF($K195="","Latest Date Worked, ","")&amp;IF($AY195="","Last Action, ","")&amp;IF(AND(OR(TRIM($A195)="Denied",TRIM($A195)="Rejected"),$BA195=""),"Denial Reason, ","")&amp;IF(AND(TRIM($A195)="Denied",$BB195="",TRIM($BA195)&lt;&gt;"NO DENIAL"),"Denial Code, ","")&amp;IF(AND(TRIM($A195)&lt;&gt;"Finalized",$BD195=""),"Next Review Date, ","")&amp;IF(AND(TRIM($A195)&lt;&gt;"Finalized",$BE195=""),"Next Step, ","")&amp;IF(AND(TRIM($A195)="Finalized",$AV195="",$AR195="",$AT195="",$AX195="",$AW195=""),"CPT outcome, ",""),LEN(IF($B195="","Notes, ","")&amp;IF($K195="","Latest Date Worked, ","")&amp;IF($AY195="","Last Action, ","")&amp;IF(AND(OR(TRIM($A195)="Denied",TRIM($A195)="Rejected"),$BA195=""),"Denial Reason, ","")&amp;IF(AND(TRIM($A195)="Denied",$BB195="",TRIM($BA195)&lt;&gt;"NO DENIAL"),"Denial Code, ","")&amp;IF(AND(TRIM($A195)&lt;&gt;"Finalized",$BD195=""),"Next Review Date, ","")&amp;IF(AND(TRIM($A195)&lt;&gt;"Finalized",$BE195=""),"Next Step, ","")&amp;IF(AND(TRIM($A195)="Finalized",$AV195="",$AR195="",$AT195="",$AX195="",$AW195=""),"CPT outcome, ",""))-2),"")</f>
        <v>Denial Code, Next Step</v>
      </c>
      <c r="BI195" s="15" t="str">
        <f aca="false">IF($BB195="","",IFERROR(INDEX('Denial Codes'!$C:$C,MATCH(LEFT($BB195,FIND(" - ",$BB195&amp;" - ")+2)&amp;"*",'Denial Codes'!$A:$A,0)),""))</f>
        <v/>
      </c>
      <c r="BJ195" s="15" t="str">
        <f aca="false">IF($BA195="","",IFERROR(INDEX(Lists!$B:$B,MATCH(TRIM($BA195),Lists!$A:$A,0))&amp;"",""))</f>
        <v>Verify eligibility; correct the member ID/MBI, name or DOB and resubmit.</v>
      </c>
    </row>
    <row r="196" customFormat="false" ht="15" hidden="false" customHeight="false" outlineLevel="0" collapsed="false">
      <c r="A196" s="7" t="s">
        <v>16</v>
      </c>
      <c r="B196" s="7" t="s">
        <v>1005</v>
      </c>
      <c r="C196" s="8" t="n">
        <v>562803289</v>
      </c>
      <c r="D196" s="9" t="n">
        <v>46296</v>
      </c>
      <c r="E196" s="10" t="s">
        <v>1006</v>
      </c>
      <c r="F196" s="11" t="n">
        <v>46191</v>
      </c>
      <c r="G196" s="10" t="s">
        <v>180</v>
      </c>
      <c r="H196" s="10" t="s">
        <v>180</v>
      </c>
      <c r="I196" s="10" t="s">
        <v>129</v>
      </c>
      <c r="J196" s="10" t="s">
        <v>181</v>
      </c>
      <c r="K196" s="9" t="n">
        <v>46272</v>
      </c>
      <c r="L196" s="12" t="str">
        <f aca="true">IF($O196="","",$O196-TODAY())</f>
        <v/>
      </c>
      <c r="M196" s="12" t="str">
        <f aca="true">IF(AND(TRIM($A196)="Finalized",$K196&lt;&gt;""),"",IF($D196="","",$D196+180-TODAY()))</f>
        <v/>
      </c>
      <c r="N196" s="12" t="str">
        <f aca="true">IF(AND(TRIM($A196)="Finalized",$K196&lt;&gt;""),"",IF($D196="","",$D196+365-TODAY()))</f>
        <v/>
      </c>
      <c r="O196" s="11" t="str">
        <f aca="false">IF(AND(TRIM($A196)="Finalized",$K196&lt;&gt;""),"",DATE(2026,9,16))</f>
        <v/>
      </c>
      <c r="P196" s="10" t="s">
        <v>165</v>
      </c>
      <c r="Q196" s="10" t="s">
        <v>182</v>
      </c>
      <c r="R196" s="10" t="s">
        <v>147</v>
      </c>
      <c r="S196" s="10" t="s">
        <v>116</v>
      </c>
      <c r="T196" s="10" t="s">
        <v>114</v>
      </c>
      <c r="U196" s="10" t="s">
        <v>116</v>
      </c>
      <c r="V196" s="10" t="s">
        <v>303</v>
      </c>
      <c r="W196" s="10" t="s">
        <v>183</v>
      </c>
      <c r="X196" s="10"/>
      <c r="Y196" s="10"/>
      <c r="Z196" s="10"/>
      <c r="AA196" s="10" t="s">
        <v>197</v>
      </c>
      <c r="AB196" s="8" t="n">
        <f aca="true">IF($F196="","",TODAY()-$F196)</f>
        <v>120</v>
      </c>
      <c r="AC196" s="10" t="s">
        <v>184</v>
      </c>
      <c r="AD196" s="10" t="s">
        <v>185</v>
      </c>
      <c r="AE196" s="10"/>
      <c r="AF196" s="10"/>
      <c r="AG196" s="10"/>
      <c r="AH196" s="10"/>
      <c r="AI196" s="10"/>
      <c r="AJ196" s="10" t="s">
        <v>340</v>
      </c>
      <c r="AK196" s="10"/>
      <c r="AL196" s="10"/>
      <c r="AM196" s="10"/>
      <c r="AN196" s="8"/>
      <c r="AO196" s="10" t="s">
        <v>546</v>
      </c>
      <c r="AP196" s="10" t="s">
        <v>994</v>
      </c>
      <c r="AQ196" s="11" t="n">
        <v>46217</v>
      </c>
      <c r="AR196" s="13"/>
      <c r="AS196" s="13"/>
      <c r="AT196" s="13"/>
      <c r="AU196" s="13"/>
      <c r="AV196" s="13" t="s">
        <v>507</v>
      </c>
      <c r="AW196" s="13"/>
      <c r="AX196" s="13" t="s">
        <v>507</v>
      </c>
      <c r="AY196" s="7" t="s">
        <v>363</v>
      </c>
      <c r="AZ196" s="7" t="s">
        <v>203</v>
      </c>
      <c r="BA196" s="7" t="s">
        <v>36</v>
      </c>
      <c r="BB196" s="7" t="s">
        <v>204</v>
      </c>
      <c r="BC196" s="7" t="s">
        <v>1007</v>
      </c>
      <c r="BD196" s="9"/>
      <c r="BE196" s="7"/>
      <c r="BF196" s="14" t="str">
        <f aca="true">IF(TRIM($A196)="Finalized","Closed",IF($BD196="","No review date set",IF($BD196&lt;TODAY(),"OVERDUE",IF($BD196-TODAY()&lt;=7,"Due within 7 days","Scheduled"))))</f>
        <v>Closed</v>
      </c>
      <c r="BG196" s="14" t="n">
        <f aca="true">IF($K196="","",TODAY()-$K196)</f>
        <v>39</v>
      </c>
      <c r="BH196" s="15" t="str">
        <f aca="false">IFERROR(LEFT(IF($B196="","Notes, ","")&amp;IF($K196="","Latest Date Worked, ","")&amp;IF($AY196="","Last Action, ","")&amp;IF(AND(OR(TRIM($A196)="Denied",TRIM($A196)="Rejected"),$BA196=""),"Denial Reason, ","")&amp;IF(AND(TRIM($A196)="Denied",$BB196="",TRIM($BA196)&lt;&gt;"NO DENIAL"),"Denial Code, ","")&amp;IF(AND(TRIM($A196)&lt;&gt;"Finalized",$BD196=""),"Next Review Date, ","")&amp;IF(AND(TRIM($A196)&lt;&gt;"Finalized",$BE196=""),"Next Step, ","")&amp;IF(AND(TRIM($A196)="Finalized",$AV196="",$AR196="",$AT196="",$AX196="",$AW196=""),"CPT outcome, ",""),LEN(IF($B196="","Notes, ","")&amp;IF($K196="","Latest Date Worked, ","")&amp;IF($AY196="","Last Action, ","")&amp;IF(AND(OR(TRIM($A196)="Denied",TRIM($A196)="Rejected"),$BA196=""),"Denial Reason, ","")&amp;IF(AND(TRIM($A196)="Denied",$BB196="",TRIM($BA196)&lt;&gt;"NO DENIAL"),"Denial Code, ","")&amp;IF(AND(TRIM($A196)&lt;&gt;"Finalized",$BD196=""),"Next Review Date, ","")&amp;IF(AND(TRIM($A196)&lt;&gt;"Finalized",$BE196=""),"Next Step, ","")&amp;IF(AND(TRIM($A196)="Finalized",$AV196="",$AR196="",$AT196="",$AX196="",$AW196=""),"CPT outcome, ",""))-2),"")</f>
        <v/>
      </c>
      <c r="BI196" s="15" t="str">
        <f aca="false">IF($BB196="","",IFERROR(INDEX('Denial Codes'!$C:$C,MATCH(LEFT($BB196,FIND(" - ",$BB196&amp;" - ")+2)&amp;"*",'Denial Codes'!$A:$A,0)),""))</f>
        <v>Medical records needed</v>
      </c>
      <c r="BJ196" s="15" t="str">
        <f aca="false">IF($BA196="","",IFERROR(INDEX(Lists!$B:$B,MATCH(TRIM($BA196),Lists!$A:$A,0))&amp;"",""))</f>
        <v>Upload the MR on the payer portal, note the PIQ/reference number and set a review date.</v>
      </c>
    </row>
    <row r="197" customFormat="false" ht="15" hidden="false" customHeight="false" outlineLevel="0" collapsed="false">
      <c r="A197" s="7" t="s">
        <v>19</v>
      </c>
      <c r="B197" s="7" t="s">
        <v>1008</v>
      </c>
      <c r="C197" s="8" t="n">
        <v>571013418</v>
      </c>
      <c r="D197" s="9"/>
      <c r="E197" s="10" t="s">
        <v>1009</v>
      </c>
      <c r="F197" s="11" t="n">
        <v>46191</v>
      </c>
      <c r="G197" s="10" t="s">
        <v>180</v>
      </c>
      <c r="H197" s="10" t="s">
        <v>180</v>
      </c>
      <c r="I197" s="10" t="s">
        <v>129</v>
      </c>
      <c r="J197" s="10" t="s">
        <v>1010</v>
      </c>
      <c r="K197" s="9" t="n">
        <v>46272</v>
      </c>
      <c r="L197" s="12" t="n">
        <f aca="true">IF($O197="","",$O197-TODAY())</f>
        <v>-30</v>
      </c>
      <c r="M197" s="12" t="str">
        <f aca="true">IF(AND(TRIM($A197)="Finalized",$K197&lt;&gt;""),"",IF($D197="","",$D197+180-TODAY()))</f>
        <v/>
      </c>
      <c r="N197" s="12" t="str">
        <f aca="true">IF(AND(TRIM($A197)="Finalized",$K197&lt;&gt;""),"",IF($D197="","",$D197+365-TODAY()))</f>
        <v/>
      </c>
      <c r="O197" s="11" t="n">
        <f aca="false">IF(AND(TRIM($A197)="Finalized",$K197&lt;&gt;""),"",DATE(2026,9,16))</f>
        <v>46281</v>
      </c>
      <c r="P197" s="10" t="s">
        <v>165</v>
      </c>
      <c r="Q197" s="10" t="s">
        <v>182</v>
      </c>
      <c r="R197" s="10" t="s">
        <v>147</v>
      </c>
      <c r="S197" s="10" t="s">
        <v>116</v>
      </c>
      <c r="T197" s="10" t="s">
        <v>114</v>
      </c>
      <c r="U197" s="10" t="s">
        <v>116</v>
      </c>
      <c r="V197" s="10" t="s">
        <v>303</v>
      </c>
      <c r="W197" s="10" t="s">
        <v>132</v>
      </c>
      <c r="X197" s="10" t="s">
        <v>134</v>
      </c>
      <c r="Y197" s="10"/>
      <c r="Z197" s="10"/>
      <c r="AA197" s="10" t="s">
        <v>197</v>
      </c>
      <c r="AB197" s="8" t="n">
        <f aca="true">IF($F197="","",TODAY()-$F197)</f>
        <v>120</v>
      </c>
      <c r="AC197" s="10" t="s">
        <v>716</v>
      </c>
      <c r="AD197" s="10" t="s">
        <v>1011</v>
      </c>
      <c r="AE197" s="10" t="s">
        <v>1011</v>
      </c>
      <c r="AF197" s="10"/>
      <c r="AG197" s="10"/>
      <c r="AH197" s="10"/>
      <c r="AI197" s="10"/>
      <c r="AJ197" s="10" t="s">
        <v>170</v>
      </c>
      <c r="AK197" s="10" t="s">
        <v>1012</v>
      </c>
      <c r="AL197" s="10" t="s">
        <v>1013</v>
      </c>
      <c r="AM197" s="10"/>
      <c r="AN197" s="8"/>
      <c r="AO197" s="10" t="s">
        <v>546</v>
      </c>
      <c r="AP197" s="10" t="s">
        <v>175</v>
      </c>
      <c r="AQ197" s="11" t="n">
        <v>46210</v>
      </c>
      <c r="AR197" s="13"/>
      <c r="AS197" s="13"/>
      <c r="AT197" s="13"/>
      <c r="AU197" s="13"/>
      <c r="AV197" s="13"/>
      <c r="AW197" s="13"/>
      <c r="AX197" s="13" t="s">
        <v>1014</v>
      </c>
      <c r="AY197" s="7" t="s">
        <v>159</v>
      </c>
      <c r="AZ197" s="7"/>
      <c r="BA197" s="7" t="s">
        <v>37</v>
      </c>
      <c r="BB197" s="7"/>
      <c r="BC197" s="7"/>
      <c r="BD197" s="9" t="n">
        <v>46302</v>
      </c>
      <c r="BE197" s="7"/>
      <c r="BF197" s="14" t="str">
        <f aca="true">IF(TRIM($A197)="Finalized","Closed",IF($BD197="","No review date set",IF($BD197&lt;TODAY(),"OVERDUE",IF($BD197-TODAY()&lt;=7,"Due within 7 days","Scheduled"))))</f>
        <v>OVERDUE</v>
      </c>
      <c r="BG197" s="14" t="n">
        <f aca="true">IF($K197="","",TODAY()-$K197)</f>
        <v>39</v>
      </c>
      <c r="BH197" s="15" t="str">
        <f aca="false">IFERROR(LEFT(IF($B197="","Notes, ","")&amp;IF($K197="","Latest Date Worked, ","")&amp;IF($AY197="","Last Action, ","")&amp;IF(AND(OR(TRIM($A197)="Denied",TRIM($A197)="Rejected"),$BA197=""),"Denial Reason, ","")&amp;IF(AND(TRIM($A197)="Denied",$BB197="",TRIM($BA197)&lt;&gt;"NO DENIAL"),"Denial Code, ","")&amp;IF(AND(TRIM($A197)&lt;&gt;"Finalized",$BD197=""),"Next Review Date, ","")&amp;IF(AND(TRIM($A197)&lt;&gt;"Finalized",$BE197=""),"Next Step, ","")&amp;IF(AND(TRIM($A197)="Finalized",$AV197="",$AR197="",$AT197="",$AX197="",$AW197=""),"CPT outcome, ",""),LEN(IF($B197="","Notes, ","")&amp;IF($K197="","Latest Date Worked, ","")&amp;IF($AY197="","Last Action, ","")&amp;IF(AND(OR(TRIM($A197)="Denied",TRIM($A197)="Rejected"),$BA197=""),"Denial Reason, ","")&amp;IF(AND(TRIM($A197)="Denied",$BB197="",TRIM($BA197)&lt;&gt;"NO DENIAL"),"Denial Code, ","")&amp;IF(AND(TRIM($A197)&lt;&gt;"Finalized",$BD197=""),"Next Review Date, ","")&amp;IF(AND(TRIM($A197)&lt;&gt;"Finalized",$BE197=""),"Next Step, ","")&amp;IF(AND(TRIM($A197)="Finalized",$AV197="",$AR197="",$AT197="",$AX197="",$AW197=""),"CPT outcome, ",""))-2),"")</f>
        <v>Next Step</v>
      </c>
      <c r="BI197" s="15" t="str">
        <f aca="false">IF($BB197="","",IFERROR(INDEX('Denial Codes'!$C:$C,MATCH(LEFT($BB197,FIND(" - ",$BB197&amp;" - ")+2)&amp;"*",'Denial Codes'!$A:$A,0)),""))</f>
        <v/>
      </c>
      <c r="BJ197" s="15" t="str">
        <f aca="false">IF($BA197="","",IFERROR(INDEX(Lists!$B:$B,MATCH(TRIM($BA197),Lists!$A:$A,0))&amp;"",""))</f>
        <v>Check the NCCI pair; if the service was distinct, add 59/XU (or XS) and resubmit; otherwise adjust.</v>
      </c>
    </row>
    <row r="198" customFormat="false" ht="15" hidden="false" customHeight="false" outlineLevel="0" collapsed="false">
      <c r="A198" s="7" t="s">
        <v>17</v>
      </c>
      <c r="B198" s="7" t="s">
        <v>203</v>
      </c>
      <c r="C198" s="8" t="n">
        <v>565102380</v>
      </c>
      <c r="D198" s="9" t="n">
        <v>46270</v>
      </c>
      <c r="E198" s="10" t="s">
        <v>949</v>
      </c>
      <c r="F198" s="11" t="n">
        <v>46195</v>
      </c>
      <c r="G198" s="10" t="s">
        <v>460</v>
      </c>
      <c r="H198" s="10" t="s">
        <v>460</v>
      </c>
      <c r="I198" s="10" t="s">
        <v>129</v>
      </c>
      <c r="J198" s="10" t="s">
        <v>1015</v>
      </c>
      <c r="K198" s="9" t="n">
        <v>46282</v>
      </c>
      <c r="L198" s="12" t="n">
        <f aca="true">IF($O198="","",$O198-TODAY())</f>
        <v>-26</v>
      </c>
      <c r="M198" s="12" t="n">
        <f aca="true">IF(AND(TRIM($A198)="Finalized",$K198&lt;&gt;""),"",IF($D198="","",$D198+180-TODAY()))</f>
        <v>139</v>
      </c>
      <c r="N198" s="12" t="n">
        <f aca="true">IF(AND(TRIM($A198)="Finalized",$K198&lt;&gt;""),"",IF($D198="","",$D198+365-TODAY()))</f>
        <v>324</v>
      </c>
      <c r="O198" s="11" t="n">
        <f aca="false">IF(AND(TRIM($A198)="Finalized",$K198&lt;&gt;""),"",DATE(2026,9,20))</f>
        <v>46285</v>
      </c>
      <c r="P198" s="10" t="s">
        <v>165</v>
      </c>
      <c r="Q198" s="10" t="s">
        <v>462</v>
      </c>
      <c r="R198" s="10" t="s">
        <v>147</v>
      </c>
      <c r="S198" s="10" t="s">
        <v>116</v>
      </c>
      <c r="T198" s="10" t="s">
        <v>114</v>
      </c>
      <c r="U198" s="10" t="s">
        <v>116</v>
      </c>
      <c r="V198" s="10" t="s">
        <v>303</v>
      </c>
      <c r="W198" s="10" t="s">
        <v>434</v>
      </c>
      <c r="X198" s="10" t="s">
        <v>478</v>
      </c>
      <c r="Y198" s="10" t="s">
        <v>930</v>
      </c>
      <c r="Z198" s="10" t="s">
        <v>436</v>
      </c>
      <c r="AA198" s="10" t="s">
        <v>951</v>
      </c>
      <c r="AB198" s="8" t="n">
        <f aca="true">IF($F198="","",TODAY()-$F198)</f>
        <v>116</v>
      </c>
      <c r="AC198" s="10" t="s">
        <v>440</v>
      </c>
      <c r="AD198" s="10" t="s">
        <v>441</v>
      </c>
      <c r="AE198" s="10" t="s">
        <v>657</v>
      </c>
      <c r="AF198" s="10" t="s">
        <v>439</v>
      </c>
      <c r="AG198" s="10" t="s">
        <v>443</v>
      </c>
      <c r="AH198" s="10"/>
      <c r="AI198" s="10"/>
      <c r="AJ198" s="10" t="s">
        <v>444</v>
      </c>
      <c r="AK198" s="10" t="s">
        <v>445</v>
      </c>
      <c r="AL198" s="10" t="s">
        <v>446</v>
      </c>
      <c r="AM198" s="10"/>
      <c r="AN198" s="8"/>
      <c r="AO198" s="10" t="s">
        <v>447</v>
      </c>
      <c r="AP198" s="10" t="s">
        <v>175</v>
      </c>
      <c r="AQ198" s="11" t="n">
        <v>46216</v>
      </c>
      <c r="AR198" s="13"/>
      <c r="AS198" s="13"/>
      <c r="AT198" s="13"/>
      <c r="AU198" s="13"/>
      <c r="AV198" s="13"/>
      <c r="AW198" s="13"/>
      <c r="AX198" s="13"/>
      <c r="AY198" s="7" t="s">
        <v>203</v>
      </c>
      <c r="AZ198" s="7"/>
      <c r="BA198" s="7" t="s">
        <v>36</v>
      </c>
      <c r="BB198" s="7" t="s">
        <v>204</v>
      </c>
      <c r="BC198" s="7" t="s">
        <v>1016</v>
      </c>
      <c r="BD198" s="9" t="n">
        <v>46312</v>
      </c>
      <c r="BE198" s="7"/>
      <c r="BF198" s="14" t="str">
        <f aca="true">IF(TRIM($A198)="Finalized","Closed",IF($BD198="","No review date set",IF($BD198&lt;TODAY(),"OVERDUE",IF($BD198-TODAY()&lt;=7,"Due within 7 days","Scheduled"))))</f>
        <v>Due within 7 days</v>
      </c>
      <c r="BG198" s="14" t="n">
        <f aca="true">IF($K198="","",TODAY()-$K198)</f>
        <v>29</v>
      </c>
      <c r="BH198" s="15" t="str">
        <f aca="false">IFERROR(LEFT(IF($B198="","Notes, ","")&amp;IF($K198="","Latest Date Worked, ","")&amp;IF($AY198="","Last Action, ","")&amp;IF(AND(OR(TRIM($A198)="Denied",TRIM($A198)="Rejected"),$BA198=""),"Denial Reason, ","")&amp;IF(AND(TRIM($A198)="Denied",$BB198="",TRIM($BA198)&lt;&gt;"NO DENIAL"),"Denial Code, ","")&amp;IF(AND(TRIM($A198)&lt;&gt;"Finalized",$BD198=""),"Next Review Date, ","")&amp;IF(AND(TRIM($A198)&lt;&gt;"Finalized",$BE198=""),"Next Step, ","")&amp;IF(AND(TRIM($A198)="Finalized",$AV198="",$AR198="",$AT198="",$AX198="",$AW198=""),"CPT outcome, ",""),LEN(IF($B198="","Notes, ","")&amp;IF($K198="","Latest Date Worked, ","")&amp;IF($AY198="","Last Action, ","")&amp;IF(AND(OR(TRIM($A198)="Denied",TRIM($A198)="Rejected"),$BA198=""),"Denial Reason, ","")&amp;IF(AND(TRIM($A198)="Denied",$BB198="",TRIM($BA198)&lt;&gt;"NO DENIAL"),"Denial Code, ","")&amp;IF(AND(TRIM($A198)&lt;&gt;"Finalized",$BD198=""),"Next Review Date, ","")&amp;IF(AND(TRIM($A198)&lt;&gt;"Finalized",$BE198=""),"Next Step, ","")&amp;IF(AND(TRIM($A198)="Finalized",$AV198="",$AR198="",$AT198="",$AX198="",$AW198=""),"CPT outcome, ",""))-2),"")</f>
        <v>Next Step</v>
      </c>
      <c r="BI198" s="15" t="str">
        <f aca="false">IF($BB198="","",IFERROR(INDEX('Denial Codes'!$C:$C,MATCH(LEFT($BB198,FIND(" - ",$BB198&amp;" - ")+2)&amp;"*",'Denial Codes'!$A:$A,0)),""))</f>
        <v>Medical records needed</v>
      </c>
      <c r="BJ198" s="15" t="str">
        <f aca="false">IF($BA198="","",IFERROR(INDEX(Lists!$B:$B,MATCH(TRIM($BA198),Lists!$A:$A,0))&amp;"",""))</f>
        <v>Upload the MR on the payer portal, note the PIQ/reference number and set a review date.</v>
      </c>
    </row>
    <row r="199" customFormat="false" ht="15" hidden="false" customHeight="false" outlineLevel="0" collapsed="false">
      <c r="A199" s="7" t="s">
        <v>17</v>
      </c>
      <c r="B199" s="7" t="s">
        <v>203</v>
      </c>
      <c r="C199" s="8" t="n">
        <v>565108599</v>
      </c>
      <c r="D199" s="9" t="n">
        <v>46240</v>
      </c>
      <c r="E199" s="10" t="s">
        <v>795</v>
      </c>
      <c r="F199" s="11" t="n">
        <v>46195</v>
      </c>
      <c r="G199" s="10" t="s">
        <v>347</v>
      </c>
      <c r="H199" s="10" t="s">
        <v>347</v>
      </c>
      <c r="I199" s="10" t="s">
        <v>129</v>
      </c>
      <c r="J199" s="10" t="s">
        <v>1017</v>
      </c>
      <c r="K199" s="9" t="n">
        <v>46282</v>
      </c>
      <c r="L199" s="12" t="n">
        <f aca="true">IF($O199="","",$O199-TODAY())</f>
        <v>-26</v>
      </c>
      <c r="M199" s="12" t="n">
        <f aca="true">IF(AND(TRIM($A199)="Finalized",$K199&lt;&gt;""),"",IF($F199="","",$F199+90-TODAY()))</f>
        <v>-26</v>
      </c>
      <c r="N199" s="12" t="n">
        <f aca="true">IF(AND(TRIM($A199)="Finalized",$K199&lt;&gt;""),"",IF($D199="","",$D199+540-TODAY()))</f>
        <v>469</v>
      </c>
      <c r="O199" s="11" t="n">
        <f aca="false">IF(AND(TRIM($A199)="Finalized",$K199&lt;&gt;""),"",DATE(2026,9,20))</f>
        <v>46285</v>
      </c>
      <c r="P199" s="10" t="s">
        <v>165</v>
      </c>
      <c r="Q199" s="10" t="s">
        <v>348</v>
      </c>
      <c r="R199" s="10" t="s">
        <v>165</v>
      </c>
      <c r="S199" s="10" t="s">
        <v>149</v>
      </c>
      <c r="T199" s="10" t="s">
        <v>349</v>
      </c>
      <c r="U199" s="10" t="s">
        <v>116</v>
      </c>
      <c r="V199" s="10" t="s">
        <v>303</v>
      </c>
      <c r="W199" s="10" t="s">
        <v>434</v>
      </c>
      <c r="X199" s="10" t="s">
        <v>655</v>
      </c>
      <c r="Y199" s="10" t="s">
        <v>621</v>
      </c>
      <c r="Z199" s="10"/>
      <c r="AA199" s="10" t="s">
        <v>951</v>
      </c>
      <c r="AB199" s="8" t="n">
        <f aca="true">IF($F199="","",TODAY()-$F199)</f>
        <v>116</v>
      </c>
      <c r="AC199" s="10" t="s">
        <v>443</v>
      </c>
      <c r="AD199" s="10" t="s">
        <v>441</v>
      </c>
      <c r="AE199" s="10" t="s">
        <v>657</v>
      </c>
      <c r="AF199" s="10" t="s">
        <v>440</v>
      </c>
      <c r="AG199" s="10" t="s">
        <v>439</v>
      </c>
      <c r="AH199" s="10"/>
      <c r="AI199" s="10"/>
      <c r="AJ199" s="10" t="s">
        <v>579</v>
      </c>
      <c r="AK199" s="10" t="s">
        <v>445</v>
      </c>
      <c r="AL199" s="10" t="s">
        <v>622</v>
      </c>
      <c r="AM199" s="10"/>
      <c r="AN199" s="8"/>
      <c r="AO199" s="10" t="s">
        <v>447</v>
      </c>
      <c r="AP199" s="10" t="s">
        <v>188</v>
      </c>
      <c r="AQ199" s="11" t="n">
        <v>46216</v>
      </c>
      <c r="AR199" s="13" t="s">
        <v>657</v>
      </c>
      <c r="AS199" s="13" t="s">
        <v>215</v>
      </c>
      <c r="AT199" s="13"/>
      <c r="AU199" s="13"/>
      <c r="AV199" s="13" t="s">
        <v>1018</v>
      </c>
      <c r="AW199" s="13"/>
      <c r="AX199" s="13" t="s">
        <v>1019</v>
      </c>
      <c r="AY199" s="7" t="s">
        <v>203</v>
      </c>
      <c r="AZ199" s="7"/>
      <c r="BA199" s="7" t="s">
        <v>37</v>
      </c>
      <c r="BB199" s="7" t="s">
        <v>215</v>
      </c>
      <c r="BC199" s="7" t="s">
        <v>1020</v>
      </c>
      <c r="BD199" s="9" t="n">
        <v>46312</v>
      </c>
      <c r="BE199" s="7"/>
      <c r="BF199" s="14" t="str">
        <f aca="true">IF(TRIM($A199)="Finalized","Closed",IF($BD199="","No review date set",IF($BD199&lt;TODAY(),"OVERDUE",IF($BD199-TODAY()&lt;=7,"Due within 7 days","Scheduled"))))</f>
        <v>Due within 7 days</v>
      </c>
      <c r="BG199" s="14" t="n">
        <f aca="true">IF($K199="","",TODAY()-$K199)</f>
        <v>29</v>
      </c>
      <c r="BH199" s="15" t="str">
        <f aca="false">IFERROR(LEFT(IF($B199="","Notes, ","")&amp;IF($K199="","Latest Date Worked, ","")&amp;IF($AY199="","Last Action, ","")&amp;IF(AND(OR(TRIM($A199)="Denied",TRIM($A199)="Rejected"),$BA199=""),"Denial Reason, ","")&amp;IF(AND(TRIM($A199)="Denied",$BB199="",TRIM($BA199)&lt;&gt;"NO DENIAL"),"Denial Code, ","")&amp;IF(AND(TRIM($A199)&lt;&gt;"Finalized",$BD199=""),"Next Review Date, ","")&amp;IF(AND(TRIM($A199)&lt;&gt;"Finalized",$BE199=""),"Next Step, ","")&amp;IF(AND(TRIM($A199)="Finalized",$AV199="",$AR199="",$AT199="",$AX199="",$AW199=""),"CPT outcome, ",""),LEN(IF($B199="","Notes, ","")&amp;IF($K199="","Latest Date Worked, ","")&amp;IF($AY199="","Last Action, ","")&amp;IF(AND(OR(TRIM($A199)="Denied",TRIM($A199)="Rejected"),$BA199=""),"Denial Reason, ","")&amp;IF(AND(TRIM($A199)="Denied",$BB199="",TRIM($BA199)&lt;&gt;"NO DENIAL"),"Denial Code, ","")&amp;IF(AND(TRIM($A199)&lt;&gt;"Finalized",$BD199=""),"Next Review Date, ","")&amp;IF(AND(TRIM($A199)&lt;&gt;"Finalized",$BE199=""),"Next Step, ","")&amp;IF(AND(TRIM($A199)="Finalized",$AV199="",$AR199="",$AT199="",$AX199="",$AW199=""),"CPT outcome, ",""))-2),"")</f>
        <v>Next Step</v>
      </c>
      <c r="BI199" s="15" t="str">
        <f aca="false">IF($BB199="","",IFERROR(INDEX('Denial Codes'!$C:$C,MATCH(LEFT($BB199,FIND(" - ",$BB199&amp;" - ")+2)&amp;"*",'Denial Codes'!$A:$A,0)),""))</f>
        <v>Bundled / NCCI edit</v>
      </c>
      <c r="BJ199" s="15" t="str">
        <f aca="false">IF($BA199="","",IFERROR(INDEX(Lists!$B:$B,MATCH(TRIM($BA199),Lists!$A:$A,0))&amp;"",""))</f>
        <v>Check the NCCI pair; if the service was distinct, add 59/XU (or XS) and resubmit; otherwise adjust.</v>
      </c>
    </row>
    <row r="200" customFormat="false" ht="15" hidden="false" customHeight="false" outlineLevel="0" collapsed="false">
      <c r="A200" s="7" t="s">
        <v>18</v>
      </c>
      <c r="B200" s="7"/>
      <c r="C200" s="8" t="n">
        <v>563182075</v>
      </c>
      <c r="D200" s="9" t="n">
        <v>46204</v>
      </c>
      <c r="E200" s="10" t="s">
        <v>1021</v>
      </c>
      <c r="F200" s="11" t="n">
        <v>46195</v>
      </c>
      <c r="G200" s="10" t="s">
        <v>208</v>
      </c>
      <c r="H200" s="10" t="s">
        <v>208</v>
      </c>
      <c r="I200" s="10" t="s">
        <v>129</v>
      </c>
      <c r="J200" s="10" t="s">
        <v>1022</v>
      </c>
      <c r="K200" s="9"/>
      <c r="L200" s="12" t="n">
        <f aca="true">IF($O200="","",$O200-TODAY())</f>
        <v>-26</v>
      </c>
      <c r="M200" s="12" t="n">
        <f aca="true">IF(AND(TRIM($A200)="Finalized",$K200&lt;&gt;""),"",IF($D200="","",$D200+180-TODAY()))</f>
        <v>73</v>
      </c>
      <c r="N200" s="12" t="n">
        <f aca="true">IF(AND(TRIM($A200)="Finalized",$K200&lt;&gt;""),"",IF($D200="","",$D200+365-TODAY()))</f>
        <v>258</v>
      </c>
      <c r="O200" s="11" t="n">
        <f aca="false">IF(AND(TRIM($A200)="Finalized",$K200&lt;&gt;""),"",DATE(2026,9,20))</f>
        <v>46285</v>
      </c>
      <c r="P200" s="10" t="s">
        <v>165</v>
      </c>
      <c r="Q200" s="10" t="s">
        <v>210</v>
      </c>
      <c r="R200" s="10" t="s">
        <v>147</v>
      </c>
      <c r="S200" s="10" t="s">
        <v>116</v>
      </c>
      <c r="T200" s="10" t="s">
        <v>114</v>
      </c>
      <c r="U200" s="10" t="s">
        <v>116</v>
      </c>
      <c r="V200" s="10" t="s">
        <v>303</v>
      </c>
      <c r="W200" s="10" t="s">
        <v>119</v>
      </c>
      <c r="X200" s="10" t="s">
        <v>229</v>
      </c>
      <c r="Y200" s="10"/>
      <c r="Z200" s="10"/>
      <c r="AA200" s="10" t="s">
        <v>121</v>
      </c>
      <c r="AB200" s="8" t="n">
        <f aca="true">IF($F200="","",TODAY()-$F200)</f>
        <v>116</v>
      </c>
      <c r="AC200" s="10" t="s">
        <v>273</v>
      </c>
      <c r="AD200" s="10"/>
      <c r="AE200" s="10"/>
      <c r="AF200" s="10"/>
      <c r="AG200" s="10"/>
      <c r="AH200" s="10"/>
      <c r="AI200" s="10"/>
      <c r="AJ200" s="10" t="s">
        <v>139</v>
      </c>
      <c r="AK200" s="10"/>
      <c r="AL200" s="10"/>
      <c r="AM200" s="10"/>
      <c r="AN200" s="8"/>
      <c r="AO200" s="10" t="s">
        <v>344</v>
      </c>
      <c r="AP200" s="10" t="s">
        <v>268</v>
      </c>
      <c r="AQ200" s="11" t="n">
        <v>46196</v>
      </c>
      <c r="AR200" s="13"/>
      <c r="AS200" s="13"/>
      <c r="AT200" s="13"/>
      <c r="AU200" s="13"/>
      <c r="AV200" s="13"/>
      <c r="AW200" s="13"/>
      <c r="AX200" s="13" t="s">
        <v>273</v>
      </c>
      <c r="AY200" s="7"/>
      <c r="AZ200" s="7"/>
      <c r="BA200" s="7" t="s">
        <v>44</v>
      </c>
      <c r="BB200" s="7" t="s">
        <v>1023</v>
      </c>
      <c r="BC200" s="7"/>
      <c r="BD200" s="9"/>
      <c r="BE200" s="7" t="s">
        <v>1024</v>
      </c>
      <c r="BF200" s="14" t="str">
        <f aca="true">IF(TRIM($A200)="Finalized","Closed",IF($BD200="","No review date set",IF($BD200&lt;TODAY(),"OVERDUE",IF($BD200-TODAY()&lt;=7,"Due within 7 days","Scheduled"))))</f>
        <v>No review date set</v>
      </c>
      <c r="BG200" s="14" t="str">
        <f aca="true">IF($K200="","",TODAY()-$K200)</f>
        <v/>
      </c>
      <c r="BH200" s="15" t="str">
        <f aca="false">IFERROR(LEFT(IF($B200="","Notes, ","")&amp;IF($K200="","Latest Date Worked, ","")&amp;IF($AY200="","Last Action, ","")&amp;IF(AND(OR(TRIM($A200)="Denied",TRIM($A200)="Rejected"),$BA200=""),"Denial Reason, ","")&amp;IF(AND(TRIM($A200)="Denied",$BB200="",TRIM($BA200)&lt;&gt;"NO DENIAL"),"Denial Code, ","")&amp;IF(AND(TRIM($A200)&lt;&gt;"Finalized",$BD200=""),"Next Review Date, ","")&amp;IF(AND(TRIM($A200)&lt;&gt;"Finalized",$BE200=""),"Next Step, ","")&amp;IF(AND(TRIM($A200)="Finalized",$AV200="",$AR200="",$AT200="",$AX200="",$AW200=""),"CPT outcome, ",""),LEN(IF($B200="","Notes, ","")&amp;IF($K200="","Latest Date Worked, ","")&amp;IF($AY200="","Last Action, ","")&amp;IF(AND(OR(TRIM($A200)="Denied",TRIM($A200)="Rejected"),$BA200=""),"Denial Reason, ","")&amp;IF(AND(TRIM($A200)="Denied",$BB200="",TRIM($BA200)&lt;&gt;"NO DENIAL"),"Denial Code, ","")&amp;IF(AND(TRIM($A200)&lt;&gt;"Finalized",$BD200=""),"Next Review Date, ","")&amp;IF(AND(TRIM($A200)&lt;&gt;"Finalized",$BE200=""),"Next Step, ","")&amp;IF(AND(TRIM($A200)="Finalized",$AV200="",$AR200="",$AT200="",$AX200="",$AW200=""),"CPT outcome, ",""))-2),"")</f>
        <v>Notes, Latest Date Worked, Last Action, Next Review Date</v>
      </c>
      <c r="BI200" s="15" t="str">
        <f aca="false">IF($BB200="","",IFERROR(INDEX('Denial Codes'!$C:$C,MATCH(LEFT($BB200,FIND(" - ",$BB200&amp;" - ")+2)&amp;"*",'Denial Codes'!$A:$A,0)),""))</f>
        <v>Not covered by plan</v>
      </c>
      <c r="BJ200" s="15" t="str">
        <f aca="false">IF($BA200="","",IFERROR(INDEX(Lists!$B:$B,MATCH(TRIM($BA200),Lists!$A:$A,0))&amp;"",""))</f>
        <v>Bill the correct payer, delegated vendor or capitated group/IPA (e.g. Optum Behavioral, Preferred Homecare).</v>
      </c>
    </row>
    <row r="201" customFormat="false" ht="15" hidden="false" customHeight="false" outlineLevel="0" collapsed="false">
      <c r="A201" s="7" t="s">
        <v>16</v>
      </c>
      <c r="B201" s="7" t="s">
        <v>475</v>
      </c>
      <c r="C201" s="8" t="n">
        <v>563029504</v>
      </c>
      <c r="D201" s="9" t="n">
        <v>46302</v>
      </c>
      <c r="E201" s="10" t="s">
        <v>1025</v>
      </c>
      <c r="F201" s="11" t="n">
        <v>46195</v>
      </c>
      <c r="G201" s="10" t="s">
        <v>555</v>
      </c>
      <c r="H201" s="10" t="s">
        <v>555</v>
      </c>
      <c r="I201" s="10" t="s">
        <v>129</v>
      </c>
      <c r="J201" s="10" t="s">
        <v>181</v>
      </c>
      <c r="K201" s="9" t="n">
        <v>46284</v>
      </c>
      <c r="L201" s="12" t="str">
        <f aca="true">IF($O201="","",$O201-TODAY())</f>
        <v/>
      </c>
      <c r="M201" s="12" t="str">
        <f aca="true">IF(AND(TRIM($A201)="Finalized",$K201&lt;&gt;""),"",IF($D201="","",$D201+365-TODAY()))</f>
        <v/>
      </c>
      <c r="N201" s="12" t="str">
        <f aca="true">IF(AND(TRIM($A201)="Finalized",$K201&lt;&gt;""),"",IF($D201="","",$D201+365-TODAY()))</f>
        <v/>
      </c>
      <c r="O201" s="11" t="str">
        <f aca="false">IF(AND(TRIM($A201)="Finalized",$K201&lt;&gt;""),"",DATE(2026,9,20))</f>
        <v/>
      </c>
      <c r="P201" s="10" t="s">
        <v>165</v>
      </c>
      <c r="Q201" s="10" t="s">
        <v>557</v>
      </c>
      <c r="R201" s="10" t="s">
        <v>114</v>
      </c>
      <c r="S201" s="10" t="s">
        <v>116</v>
      </c>
      <c r="T201" s="10" t="s">
        <v>114</v>
      </c>
      <c r="U201" s="10" t="s">
        <v>116</v>
      </c>
      <c r="V201" s="10" t="s">
        <v>303</v>
      </c>
      <c r="W201" s="10" t="s">
        <v>183</v>
      </c>
      <c r="X201" s="10"/>
      <c r="Y201" s="10"/>
      <c r="Z201" s="10"/>
      <c r="AA201" s="10" t="s">
        <v>197</v>
      </c>
      <c r="AB201" s="8" t="n">
        <f aca="true">IF($F201="","",TODAY()-$F201)</f>
        <v>116</v>
      </c>
      <c r="AC201" s="10" t="s">
        <v>184</v>
      </c>
      <c r="AD201" s="10" t="s">
        <v>185</v>
      </c>
      <c r="AE201" s="10"/>
      <c r="AF201" s="10"/>
      <c r="AG201" s="10"/>
      <c r="AH201" s="10"/>
      <c r="AI201" s="10"/>
      <c r="AJ201" s="10" t="s">
        <v>340</v>
      </c>
      <c r="AK201" s="10"/>
      <c r="AL201" s="10"/>
      <c r="AM201" s="10"/>
      <c r="AN201" s="8"/>
      <c r="AO201" s="10" t="s">
        <v>506</v>
      </c>
      <c r="AP201" s="10" t="s">
        <v>268</v>
      </c>
      <c r="AQ201" s="11" t="n">
        <v>46273</v>
      </c>
      <c r="AR201" s="13"/>
      <c r="AS201" s="13"/>
      <c r="AT201" s="13"/>
      <c r="AU201" s="13"/>
      <c r="AV201" s="13" t="s">
        <v>507</v>
      </c>
      <c r="AW201" s="13"/>
      <c r="AX201" s="13" t="s">
        <v>507</v>
      </c>
      <c r="AY201" s="7" t="s">
        <v>363</v>
      </c>
      <c r="AZ201" s="7" t="s">
        <v>203</v>
      </c>
      <c r="BA201" s="7" t="s">
        <v>36</v>
      </c>
      <c r="BB201" s="7" t="s">
        <v>204</v>
      </c>
      <c r="BC201" s="7" t="s">
        <v>1026</v>
      </c>
      <c r="BD201" s="9"/>
      <c r="BE201" s="7"/>
      <c r="BF201" s="14" t="str">
        <f aca="true">IF(TRIM($A201)="Finalized","Closed",IF($BD201="","No review date set",IF($BD201&lt;TODAY(),"OVERDUE",IF($BD201-TODAY()&lt;=7,"Due within 7 days","Scheduled"))))</f>
        <v>Closed</v>
      </c>
      <c r="BG201" s="14" t="n">
        <f aca="true">IF($K201="","",TODAY()-$K201)</f>
        <v>27</v>
      </c>
      <c r="BH201" s="15" t="str">
        <f aca="false">IFERROR(LEFT(IF($B201="","Notes, ","")&amp;IF($K201="","Latest Date Worked, ","")&amp;IF($AY201="","Last Action, ","")&amp;IF(AND(OR(TRIM($A201)="Denied",TRIM($A201)="Rejected"),$BA201=""),"Denial Reason, ","")&amp;IF(AND(TRIM($A201)="Denied",$BB201="",TRIM($BA201)&lt;&gt;"NO DENIAL"),"Denial Code, ","")&amp;IF(AND(TRIM($A201)&lt;&gt;"Finalized",$BD201=""),"Next Review Date, ","")&amp;IF(AND(TRIM($A201)&lt;&gt;"Finalized",$BE201=""),"Next Step, ","")&amp;IF(AND(TRIM($A201)="Finalized",$AV201="",$AR201="",$AT201="",$AX201="",$AW201=""),"CPT outcome, ",""),LEN(IF($B201="","Notes, ","")&amp;IF($K201="","Latest Date Worked, ","")&amp;IF($AY201="","Last Action, ","")&amp;IF(AND(OR(TRIM($A201)="Denied",TRIM($A201)="Rejected"),$BA201=""),"Denial Reason, ","")&amp;IF(AND(TRIM($A201)="Denied",$BB201="",TRIM($BA201)&lt;&gt;"NO DENIAL"),"Denial Code, ","")&amp;IF(AND(TRIM($A201)&lt;&gt;"Finalized",$BD201=""),"Next Review Date, ","")&amp;IF(AND(TRIM($A201)&lt;&gt;"Finalized",$BE201=""),"Next Step, ","")&amp;IF(AND(TRIM($A201)="Finalized",$AV201="",$AR201="",$AT201="",$AX201="",$AW201=""),"CPT outcome, ",""))-2),"")</f>
        <v/>
      </c>
      <c r="BI201" s="15" t="str">
        <f aca="false">IF($BB201="","",IFERROR(INDEX('Denial Codes'!$C:$C,MATCH(LEFT($BB201,FIND(" - ",$BB201&amp;" - ")+2)&amp;"*",'Denial Codes'!$A:$A,0)),""))</f>
        <v>Medical records needed</v>
      </c>
      <c r="BJ201" s="15" t="str">
        <f aca="false">IF($BA201="","",IFERROR(INDEX(Lists!$B:$B,MATCH(TRIM($BA201),Lists!$A:$A,0))&amp;"",""))</f>
        <v>Upload the MR on the payer portal, note the PIQ/reference number and set a review date.</v>
      </c>
    </row>
    <row r="202" customFormat="false" ht="15" hidden="false" customHeight="false" outlineLevel="0" collapsed="false">
      <c r="A202" s="7" t="s">
        <v>17</v>
      </c>
      <c r="B202" s="7" t="s">
        <v>1027</v>
      </c>
      <c r="C202" s="8" t="n">
        <v>564043829</v>
      </c>
      <c r="D202" s="9" t="n">
        <v>46220</v>
      </c>
      <c r="E202" s="10" t="s">
        <v>1028</v>
      </c>
      <c r="F202" s="11" t="n">
        <v>46196</v>
      </c>
      <c r="G202" s="10" t="s">
        <v>369</v>
      </c>
      <c r="H202" s="10" t="s">
        <v>369</v>
      </c>
      <c r="I202" s="10" t="s">
        <v>129</v>
      </c>
      <c r="J202" s="10" t="s">
        <v>1029</v>
      </c>
      <c r="K202" s="9" t="n">
        <v>46282</v>
      </c>
      <c r="L202" s="12" t="n">
        <f aca="true">IF($O202="","",$O202-TODAY())</f>
        <v>-25</v>
      </c>
      <c r="M202" s="12" t="n">
        <f aca="true">IF(AND(TRIM($A202)="Finalized",$K202&lt;&gt;""),"",IF($D202="","",$D202+365-TODAY()))</f>
        <v>274</v>
      </c>
      <c r="N202" s="12" t="n">
        <f aca="true">IF(AND(TRIM($A202)="Finalized",$K202&lt;&gt;""),"",IF($D202="","",$D202+365-TODAY()))</f>
        <v>274</v>
      </c>
      <c r="O202" s="11" t="n">
        <f aca="false">IF(AND(TRIM($A202)="Finalized",$K202&lt;&gt;""),"",DATE(2026,9,21))</f>
        <v>46286</v>
      </c>
      <c r="P202" s="10" t="s">
        <v>165</v>
      </c>
      <c r="Q202" s="10" t="s">
        <v>371</v>
      </c>
      <c r="R202" s="10" t="s">
        <v>114</v>
      </c>
      <c r="S202" s="10" t="s">
        <v>116</v>
      </c>
      <c r="T202" s="10" t="s">
        <v>114</v>
      </c>
      <c r="U202" s="10" t="s">
        <v>116</v>
      </c>
      <c r="V202" s="10" t="s">
        <v>303</v>
      </c>
      <c r="W202" s="10" t="s">
        <v>119</v>
      </c>
      <c r="X202" s="10" t="s">
        <v>151</v>
      </c>
      <c r="Y202" s="10"/>
      <c r="Z202" s="10"/>
      <c r="AA202" s="10" t="s">
        <v>197</v>
      </c>
      <c r="AB202" s="8" t="n">
        <f aca="true">IF($F202="","",TODAY()-$F202)</f>
        <v>115</v>
      </c>
      <c r="AC202" s="10" t="s">
        <v>305</v>
      </c>
      <c r="AD202" s="10"/>
      <c r="AE202" s="10"/>
      <c r="AF202" s="10"/>
      <c r="AG202" s="10"/>
      <c r="AH202" s="10"/>
      <c r="AI202" s="10"/>
      <c r="AJ202" s="10" t="s">
        <v>124</v>
      </c>
      <c r="AK202" s="10"/>
      <c r="AL202" s="10"/>
      <c r="AM202" s="10"/>
      <c r="AN202" s="8"/>
      <c r="AO202" s="10" t="s">
        <v>669</v>
      </c>
      <c r="AP202" s="10" t="s">
        <v>188</v>
      </c>
      <c r="AQ202" s="11" t="n">
        <v>46204</v>
      </c>
      <c r="AR202" s="13"/>
      <c r="AS202" s="13"/>
      <c r="AT202" s="13"/>
      <c r="AU202" s="13"/>
      <c r="AV202" s="13"/>
      <c r="AW202" s="13"/>
      <c r="AX202" s="13" t="s">
        <v>305</v>
      </c>
      <c r="AY202" s="7" t="s">
        <v>203</v>
      </c>
      <c r="AZ202" s="7"/>
      <c r="BA202" s="7" t="s">
        <v>36</v>
      </c>
      <c r="BB202" s="7" t="s">
        <v>204</v>
      </c>
      <c r="BC202" s="7" t="s">
        <v>1030</v>
      </c>
      <c r="BD202" s="9" t="n">
        <v>46312</v>
      </c>
      <c r="BE202" s="7"/>
      <c r="BF202" s="14" t="str">
        <f aca="true">IF(TRIM($A202)="Finalized","Closed",IF($BD202="","No review date set",IF($BD202&lt;TODAY(),"OVERDUE",IF($BD202-TODAY()&lt;=7,"Due within 7 days","Scheduled"))))</f>
        <v>Due within 7 days</v>
      </c>
      <c r="BG202" s="14" t="n">
        <f aca="true">IF($K202="","",TODAY()-$K202)</f>
        <v>29</v>
      </c>
      <c r="BH202" s="15" t="str">
        <f aca="false">IFERROR(LEFT(IF($B202="","Notes, ","")&amp;IF($K202="","Latest Date Worked, ","")&amp;IF($AY202="","Last Action, ","")&amp;IF(AND(OR(TRIM($A202)="Denied",TRIM($A202)="Rejected"),$BA202=""),"Denial Reason, ","")&amp;IF(AND(TRIM($A202)="Denied",$BB202="",TRIM($BA202)&lt;&gt;"NO DENIAL"),"Denial Code, ","")&amp;IF(AND(TRIM($A202)&lt;&gt;"Finalized",$BD202=""),"Next Review Date, ","")&amp;IF(AND(TRIM($A202)&lt;&gt;"Finalized",$BE202=""),"Next Step, ","")&amp;IF(AND(TRIM($A202)="Finalized",$AV202="",$AR202="",$AT202="",$AX202="",$AW202=""),"CPT outcome, ",""),LEN(IF($B202="","Notes, ","")&amp;IF($K202="","Latest Date Worked, ","")&amp;IF($AY202="","Last Action, ","")&amp;IF(AND(OR(TRIM($A202)="Denied",TRIM($A202)="Rejected"),$BA202=""),"Denial Reason, ","")&amp;IF(AND(TRIM($A202)="Denied",$BB202="",TRIM($BA202)&lt;&gt;"NO DENIAL"),"Denial Code, ","")&amp;IF(AND(TRIM($A202)&lt;&gt;"Finalized",$BD202=""),"Next Review Date, ","")&amp;IF(AND(TRIM($A202)&lt;&gt;"Finalized",$BE202=""),"Next Step, ","")&amp;IF(AND(TRIM($A202)="Finalized",$AV202="",$AR202="",$AT202="",$AX202="",$AW202=""),"CPT outcome, ",""))-2),"")</f>
        <v>Next Step</v>
      </c>
      <c r="BI202" s="15" t="str">
        <f aca="false">IF($BB202="","",IFERROR(INDEX('Denial Codes'!$C:$C,MATCH(LEFT($BB202,FIND(" - ",$BB202&amp;" - ")+2)&amp;"*",'Denial Codes'!$A:$A,0)),""))</f>
        <v>Medical records needed</v>
      </c>
      <c r="BJ202" s="15" t="str">
        <f aca="false">IF($BA202="","",IFERROR(INDEX(Lists!$B:$B,MATCH(TRIM($BA202),Lists!$A:$A,0))&amp;"",""))</f>
        <v>Upload the MR on the payer portal, note the PIQ/reference number and set a review date.</v>
      </c>
    </row>
    <row r="203" customFormat="false" ht="15" hidden="false" customHeight="false" outlineLevel="0" collapsed="false">
      <c r="A203" s="7" t="s">
        <v>17</v>
      </c>
      <c r="B203" s="7" t="s">
        <v>203</v>
      </c>
      <c r="C203" s="8" t="n">
        <v>563839702</v>
      </c>
      <c r="D203" s="9" t="n">
        <v>46272</v>
      </c>
      <c r="E203" s="10" t="s">
        <v>1031</v>
      </c>
      <c r="F203" s="11" t="n">
        <v>46197</v>
      </c>
      <c r="G203" s="10" t="s">
        <v>208</v>
      </c>
      <c r="H203" s="10" t="s">
        <v>208</v>
      </c>
      <c r="I203" s="10" t="s">
        <v>145</v>
      </c>
      <c r="J203" s="10" t="s">
        <v>1032</v>
      </c>
      <c r="K203" s="9" t="n">
        <v>46282</v>
      </c>
      <c r="L203" s="12" t="n">
        <f aca="true">IF($O203="","",$O203-TODAY())</f>
        <v>-24</v>
      </c>
      <c r="M203" s="12" t="n">
        <f aca="true">IF(AND(TRIM($A203)="Finalized",$K203&lt;&gt;""),"",IF($D203="","",$D203+180-TODAY()))</f>
        <v>141</v>
      </c>
      <c r="N203" s="12" t="n">
        <f aca="true">IF(AND(TRIM($A203)="Finalized",$K203&lt;&gt;""),"",IF($D203="","",$D203+365-TODAY()))</f>
        <v>326</v>
      </c>
      <c r="O203" s="11" t="n">
        <f aca="false">IF(AND(TRIM($A203)="Finalized",$K203&lt;&gt;""),"",DATE(2026,9,22))</f>
        <v>46287</v>
      </c>
      <c r="P203" s="10" t="s">
        <v>165</v>
      </c>
      <c r="Q203" s="10" t="s">
        <v>210</v>
      </c>
      <c r="R203" s="10" t="s">
        <v>147</v>
      </c>
      <c r="S203" s="10" t="s">
        <v>116</v>
      </c>
      <c r="T203" s="10" t="s">
        <v>114</v>
      </c>
      <c r="U203" s="10" t="s">
        <v>116</v>
      </c>
      <c r="V203" s="10" t="s">
        <v>303</v>
      </c>
      <c r="W203" s="10" t="s">
        <v>132</v>
      </c>
      <c r="X203" s="10"/>
      <c r="Y203" s="10"/>
      <c r="Z203" s="10"/>
      <c r="AA203" s="10" t="s">
        <v>197</v>
      </c>
      <c r="AB203" s="8" t="n">
        <f aca="true">IF($F203="","",TODAY()-$F203)</f>
        <v>114</v>
      </c>
      <c r="AC203" s="10" t="s">
        <v>541</v>
      </c>
      <c r="AD203" s="10"/>
      <c r="AE203" s="10"/>
      <c r="AF203" s="10"/>
      <c r="AG203" s="10"/>
      <c r="AH203" s="10"/>
      <c r="AI203" s="10"/>
      <c r="AJ203" s="10" t="s">
        <v>124</v>
      </c>
      <c r="AK203" s="10" t="s">
        <v>139</v>
      </c>
      <c r="AL203" s="10" t="s">
        <v>1033</v>
      </c>
      <c r="AM203" s="10"/>
      <c r="AN203" s="8"/>
      <c r="AO203" s="10" t="s">
        <v>174</v>
      </c>
      <c r="AP203" s="10" t="s">
        <v>175</v>
      </c>
      <c r="AQ203" s="11" t="n">
        <v>46203</v>
      </c>
      <c r="AR203" s="13"/>
      <c r="AS203" s="13"/>
      <c r="AT203" s="13"/>
      <c r="AU203" s="13"/>
      <c r="AV203" s="13"/>
      <c r="AW203" s="13"/>
      <c r="AX203" s="13"/>
      <c r="AY203" s="7" t="s">
        <v>203</v>
      </c>
      <c r="AZ203" s="7"/>
      <c r="BA203" s="7" t="s">
        <v>36</v>
      </c>
      <c r="BB203" s="7" t="s">
        <v>204</v>
      </c>
      <c r="BC203" s="7" t="s">
        <v>1034</v>
      </c>
      <c r="BD203" s="9" t="n">
        <v>46312</v>
      </c>
      <c r="BE203" s="7"/>
      <c r="BF203" s="14" t="str">
        <f aca="true">IF(TRIM($A203)="Finalized","Closed",IF($BD203="","No review date set",IF($BD203&lt;TODAY(),"OVERDUE",IF($BD203-TODAY()&lt;=7,"Due within 7 days","Scheduled"))))</f>
        <v>Due within 7 days</v>
      </c>
      <c r="BG203" s="14" t="n">
        <f aca="true">IF($K203="","",TODAY()-$K203)</f>
        <v>29</v>
      </c>
      <c r="BH203" s="15" t="str">
        <f aca="false">IFERROR(LEFT(IF($B203="","Notes, ","")&amp;IF($K203="","Latest Date Worked, ","")&amp;IF($AY203="","Last Action, ","")&amp;IF(AND(OR(TRIM($A203)="Denied",TRIM($A203)="Rejected"),$BA203=""),"Denial Reason, ","")&amp;IF(AND(TRIM($A203)="Denied",$BB203="",TRIM($BA203)&lt;&gt;"NO DENIAL"),"Denial Code, ","")&amp;IF(AND(TRIM($A203)&lt;&gt;"Finalized",$BD203=""),"Next Review Date, ","")&amp;IF(AND(TRIM($A203)&lt;&gt;"Finalized",$BE203=""),"Next Step, ","")&amp;IF(AND(TRIM($A203)="Finalized",$AV203="",$AR203="",$AT203="",$AX203="",$AW203=""),"CPT outcome, ",""),LEN(IF($B203="","Notes, ","")&amp;IF($K203="","Latest Date Worked, ","")&amp;IF($AY203="","Last Action, ","")&amp;IF(AND(OR(TRIM($A203)="Denied",TRIM($A203)="Rejected"),$BA203=""),"Denial Reason, ","")&amp;IF(AND(TRIM($A203)="Denied",$BB203="",TRIM($BA203)&lt;&gt;"NO DENIAL"),"Denial Code, ","")&amp;IF(AND(TRIM($A203)&lt;&gt;"Finalized",$BD203=""),"Next Review Date, ","")&amp;IF(AND(TRIM($A203)&lt;&gt;"Finalized",$BE203=""),"Next Step, ","")&amp;IF(AND(TRIM($A203)="Finalized",$AV203="",$AR203="",$AT203="",$AX203="",$AW203=""),"CPT outcome, ",""))-2),"")</f>
        <v>Next Step</v>
      </c>
      <c r="BI203" s="15" t="str">
        <f aca="false">IF($BB203="","",IFERROR(INDEX('Denial Codes'!$C:$C,MATCH(LEFT($BB203,FIND(" - ",$BB203&amp;" - ")+2)&amp;"*",'Denial Codes'!$A:$A,0)),""))</f>
        <v>Medical records needed</v>
      </c>
      <c r="BJ203" s="15" t="str">
        <f aca="false">IF($BA203="","",IFERROR(INDEX(Lists!$B:$B,MATCH(TRIM($BA203),Lists!$A:$A,0))&amp;"",""))</f>
        <v>Upload the MR on the payer portal, note the PIQ/reference number and set a review date.</v>
      </c>
    </row>
    <row r="204" customFormat="false" ht="15" hidden="false" customHeight="false" outlineLevel="0" collapsed="false">
      <c r="A204" s="7" t="s">
        <v>17</v>
      </c>
      <c r="B204" s="7" t="s">
        <v>1035</v>
      </c>
      <c r="C204" s="8" t="n">
        <v>565362589</v>
      </c>
      <c r="D204" s="9" t="n">
        <v>46288</v>
      </c>
      <c r="E204" s="10" t="s">
        <v>379</v>
      </c>
      <c r="F204" s="11" t="n">
        <v>46197</v>
      </c>
      <c r="G204" s="10" t="s">
        <v>163</v>
      </c>
      <c r="H204" s="10" t="s">
        <v>163</v>
      </c>
      <c r="I204" s="10" t="s">
        <v>260</v>
      </c>
      <c r="J204" s="10" t="s">
        <v>424</v>
      </c>
      <c r="K204" s="9" t="n">
        <v>46284</v>
      </c>
      <c r="L204" s="12" t="n">
        <f aca="true">IF($O204="","",$O204-TODAY())</f>
        <v>-24</v>
      </c>
      <c r="M204" s="12" t="n">
        <f aca="true">IF(AND(TRIM($A204)="Finalized",$K204&lt;&gt;""),"",IF($F204="","",$F204+90-TODAY()))</f>
        <v>-24</v>
      </c>
      <c r="N204" s="12" t="n">
        <f aca="true">IF(AND(TRIM($A204)="Finalized",$K204&lt;&gt;""),"",IF($D204="","",$D204+365-TODAY()))</f>
        <v>342</v>
      </c>
      <c r="O204" s="11" t="n">
        <f aca="false">IF(AND(TRIM($A204)="Finalized",$K204&lt;&gt;""),"",DATE(2026,9,22))</f>
        <v>46287</v>
      </c>
      <c r="P204" s="10" t="s">
        <v>165</v>
      </c>
      <c r="Q204" s="10" t="s">
        <v>166</v>
      </c>
      <c r="R204" s="10" t="s">
        <v>165</v>
      </c>
      <c r="S204" s="10" t="s">
        <v>149</v>
      </c>
      <c r="T204" s="10" t="s">
        <v>114</v>
      </c>
      <c r="U204" s="10" t="s">
        <v>116</v>
      </c>
      <c r="V204" s="10" t="s">
        <v>303</v>
      </c>
      <c r="W204" s="10" t="s">
        <v>183</v>
      </c>
      <c r="X204" s="10"/>
      <c r="Y204" s="10"/>
      <c r="Z204" s="10"/>
      <c r="AA204" s="10" t="s">
        <v>197</v>
      </c>
      <c r="AB204" s="8" t="n">
        <f aca="true">IF($F204="","",TODAY()-$F204)</f>
        <v>114</v>
      </c>
      <c r="AC204" s="10" t="s">
        <v>211</v>
      </c>
      <c r="AD204" s="10" t="s">
        <v>184</v>
      </c>
      <c r="AE204" s="10"/>
      <c r="AF204" s="10"/>
      <c r="AG204" s="10"/>
      <c r="AH204" s="10"/>
      <c r="AI204" s="10"/>
      <c r="AJ204" s="10" t="s">
        <v>403</v>
      </c>
      <c r="AK204" s="10"/>
      <c r="AL204" s="10"/>
      <c r="AM204" s="10"/>
      <c r="AN204" s="8"/>
      <c r="AO204" s="10" t="s">
        <v>201</v>
      </c>
      <c r="AP204" s="10" t="s">
        <v>202</v>
      </c>
      <c r="AQ204" s="11" t="n">
        <v>46274</v>
      </c>
      <c r="AR204" s="13"/>
      <c r="AS204" s="13"/>
      <c r="AT204" s="13"/>
      <c r="AU204" s="13"/>
      <c r="AV204" s="13"/>
      <c r="AW204" s="13"/>
      <c r="AX204" s="13" t="s">
        <v>214</v>
      </c>
      <c r="AY204" s="7" t="s">
        <v>328</v>
      </c>
      <c r="AZ204" s="7"/>
      <c r="BA204" s="7" t="s">
        <v>47</v>
      </c>
      <c r="BB204" s="7" t="s">
        <v>1036</v>
      </c>
      <c r="BC204" s="7" t="s">
        <v>1037</v>
      </c>
      <c r="BD204" s="9" t="n">
        <v>46314</v>
      </c>
      <c r="BE204" s="7" t="s">
        <v>1038</v>
      </c>
      <c r="BF204" s="14" t="str">
        <f aca="true">IF(TRIM($A204)="Finalized","Closed",IF($BD204="","No review date set",IF($BD204&lt;TODAY(),"OVERDUE",IF($BD204-TODAY()&lt;=7,"Due within 7 days","Scheduled"))))</f>
        <v>Due within 7 days</v>
      </c>
      <c r="BG204" s="14" t="n">
        <f aca="true">IF($K204="","",TODAY()-$K204)</f>
        <v>27</v>
      </c>
      <c r="BH204" s="15" t="str">
        <f aca="false">IFERROR(LEFT(IF($B204="","Notes, ","")&amp;IF($K204="","Latest Date Worked, ","")&amp;IF($AY204="","Last Action, ","")&amp;IF(AND(OR(TRIM($A204)="Denied",TRIM($A204)="Rejected"),$BA204=""),"Denial Reason, ","")&amp;IF(AND(TRIM($A204)="Denied",$BB204="",TRIM($BA204)&lt;&gt;"NO DENIAL"),"Denial Code, ","")&amp;IF(AND(TRIM($A204)&lt;&gt;"Finalized",$BD204=""),"Next Review Date, ","")&amp;IF(AND(TRIM($A204)&lt;&gt;"Finalized",$BE204=""),"Next Step, ","")&amp;IF(AND(TRIM($A204)="Finalized",$AV204="",$AR204="",$AT204="",$AX204="",$AW204=""),"CPT outcome, ",""),LEN(IF($B204="","Notes, ","")&amp;IF($K204="","Latest Date Worked, ","")&amp;IF($AY204="","Last Action, ","")&amp;IF(AND(OR(TRIM($A204)="Denied",TRIM($A204)="Rejected"),$BA204=""),"Denial Reason, ","")&amp;IF(AND(TRIM($A204)="Denied",$BB204="",TRIM($BA204)&lt;&gt;"NO DENIAL"),"Denial Code, ","")&amp;IF(AND(TRIM($A204)&lt;&gt;"Finalized",$BD204=""),"Next Review Date, ","")&amp;IF(AND(TRIM($A204)&lt;&gt;"Finalized",$BE204=""),"Next Step, ","")&amp;IF(AND(TRIM($A204)="Finalized",$AV204="",$AR204="",$AT204="",$AX204="",$AW204=""),"CPT outcome, ",""))-2),"")</f>
        <v/>
      </c>
      <c r="BI204" s="15" t="str">
        <f aca="false">IF($BB204="","",IFERROR(INDEX('Denial Codes'!$C:$C,MATCH(LEFT($BB204,FIND(" - ",$BB204&amp;" - ")+2)&amp;"*",'Denial Codes'!$A:$A,0)),""))</f>
        <v>Credentialing / out of network</v>
      </c>
      <c r="BJ204" s="15" t="str">
        <f aca="false">IF($BA204="","",IFERROR(INDEX(Lists!$B:$B,MATCH(TRIM($BA204),Lists!$A:$A,0))&amp;"",""))</f>
        <v>Check provider enrollment, NPI/TIN and network status; appeal once credentialing is confirmed.</v>
      </c>
    </row>
    <row r="205" customFormat="false" ht="15" hidden="false" customHeight="false" outlineLevel="0" collapsed="false">
      <c r="A205" s="7" t="s">
        <v>18</v>
      </c>
      <c r="B205" s="7"/>
      <c r="C205" s="8" t="n">
        <v>564105695</v>
      </c>
      <c r="D205" s="9" t="n">
        <v>46211</v>
      </c>
      <c r="E205" s="10" t="s">
        <v>1039</v>
      </c>
      <c r="F205" s="11" t="n">
        <v>46197</v>
      </c>
      <c r="G205" s="10" t="s">
        <v>208</v>
      </c>
      <c r="H205" s="10" t="s">
        <v>208</v>
      </c>
      <c r="I205" s="10" t="s">
        <v>145</v>
      </c>
      <c r="J205" s="10" t="s">
        <v>272</v>
      </c>
      <c r="K205" s="9"/>
      <c r="L205" s="12" t="n">
        <f aca="true">IF($O205="","",$O205-TODAY())</f>
        <v>-24</v>
      </c>
      <c r="M205" s="12" t="n">
        <f aca="true">IF(AND(TRIM($A205)="Finalized",$K205&lt;&gt;""),"",IF($D205="","",$D205+180-TODAY()))</f>
        <v>80</v>
      </c>
      <c r="N205" s="12" t="n">
        <f aca="true">IF(AND(TRIM($A205)="Finalized",$K205&lt;&gt;""),"",IF($D205="","",$D205+365-TODAY()))</f>
        <v>265</v>
      </c>
      <c r="O205" s="11" t="n">
        <f aca="false">IF(AND(TRIM($A205)="Finalized",$K205&lt;&gt;""),"",DATE(2026,9,22))</f>
        <v>46287</v>
      </c>
      <c r="P205" s="10" t="s">
        <v>165</v>
      </c>
      <c r="Q205" s="10" t="s">
        <v>210</v>
      </c>
      <c r="R205" s="10" t="s">
        <v>147</v>
      </c>
      <c r="S205" s="10" t="s">
        <v>116</v>
      </c>
      <c r="T205" s="10" t="s">
        <v>114</v>
      </c>
      <c r="U205" s="10" t="s">
        <v>116</v>
      </c>
      <c r="V205" s="10" t="s">
        <v>303</v>
      </c>
      <c r="W205" s="10" t="s">
        <v>119</v>
      </c>
      <c r="X205" s="10" t="s">
        <v>120</v>
      </c>
      <c r="Y205" s="10"/>
      <c r="Z205" s="10"/>
      <c r="AA205" s="10" t="s">
        <v>121</v>
      </c>
      <c r="AB205" s="8" t="n">
        <f aca="true">IF($F205="","",TODAY()-$F205)</f>
        <v>114</v>
      </c>
      <c r="AC205" s="10" t="s">
        <v>273</v>
      </c>
      <c r="AD205" s="10"/>
      <c r="AE205" s="10"/>
      <c r="AF205" s="10"/>
      <c r="AG205" s="10"/>
      <c r="AH205" s="10"/>
      <c r="AI205" s="10"/>
      <c r="AJ205" s="10" t="s">
        <v>123</v>
      </c>
      <c r="AK205" s="10" t="s">
        <v>124</v>
      </c>
      <c r="AL205" s="10"/>
      <c r="AM205" s="10"/>
      <c r="AN205" s="8"/>
      <c r="AO205" s="10" t="s">
        <v>336</v>
      </c>
      <c r="AP205" s="10" t="s">
        <v>268</v>
      </c>
      <c r="AQ205" s="11" t="n">
        <v>46205</v>
      </c>
      <c r="AR205" s="13"/>
      <c r="AS205" s="13"/>
      <c r="AT205" s="13"/>
      <c r="AU205" s="13"/>
      <c r="AV205" s="13"/>
      <c r="AW205" s="13"/>
      <c r="AX205" s="13" t="s">
        <v>273</v>
      </c>
      <c r="AY205" s="7"/>
      <c r="AZ205" s="7"/>
      <c r="BA205" s="7" t="s">
        <v>44</v>
      </c>
      <c r="BB205" s="7" t="s">
        <v>1023</v>
      </c>
      <c r="BC205" s="7"/>
      <c r="BD205" s="9"/>
      <c r="BE205" s="7" t="s">
        <v>1024</v>
      </c>
      <c r="BF205" s="14" t="str">
        <f aca="true">IF(TRIM($A205)="Finalized","Closed",IF($BD205="","No review date set",IF($BD205&lt;TODAY(),"OVERDUE",IF($BD205-TODAY()&lt;=7,"Due within 7 days","Scheduled"))))</f>
        <v>No review date set</v>
      </c>
      <c r="BG205" s="14" t="str">
        <f aca="true">IF($K205="","",TODAY()-$K205)</f>
        <v/>
      </c>
      <c r="BH205" s="15" t="str">
        <f aca="false">IFERROR(LEFT(IF($B205="","Notes, ","")&amp;IF($K205="","Latest Date Worked, ","")&amp;IF($AY205="","Last Action, ","")&amp;IF(AND(OR(TRIM($A205)="Denied",TRIM($A205)="Rejected"),$BA205=""),"Denial Reason, ","")&amp;IF(AND(TRIM($A205)="Denied",$BB205="",TRIM($BA205)&lt;&gt;"NO DENIAL"),"Denial Code, ","")&amp;IF(AND(TRIM($A205)&lt;&gt;"Finalized",$BD205=""),"Next Review Date, ","")&amp;IF(AND(TRIM($A205)&lt;&gt;"Finalized",$BE205=""),"Next Step, ","")&amp;IF(AND(TRIM($A205)="Finalized",$AV205="",$AR205="",$AT205="",$AX205="",$AW205=""),"CPT outcome, ",""),LEN(IF($B205="","Notes, ","")&amp;IF($K205="","Latest Date Worked, ","")&amp;IF($AY205="","Last Action, ","")&amp;IF(AND(OR(TRIM($A205)="Denied",TRIM($A205)="Rejected"),$BA205=""),"Denial Reason, ","")&amp;IF(AND(TRIM($A205)="Denied",$BB205="",TRIM($BA205)&lt;&gt;"NO DENIAL"),"Denial Code, ","")&amp;IF(AND(TRIM($A205)&lt;&gt;"Finalized",$BD205=""),"Next Review Date, ","")&amp;IF(AND(TRIM($A205)&lt;&gt;"Finalized",$BE205=""),"Next Step, ","")&amp;IF(AND(TRIM($A205)="Finalized",$AV205="",$AR205="",$AT205="",$AX205="",$AW205=""),"CPT outcome, ",""))-2),"")</f>
        <v>Notes, Latest Date Worked, Last Action, Next Review Date</v>
      </c>
      <c r="BI205" s="15" t="str">
        <f aca="false">IF($BB205="","",IFERROR(INDEX('Denial Codes'!$C:$C,MATCH(LEFT($BB205,FIND(" - ",$BB205&amp;" - ")+2)&amp;"*",'Denial Codes'!$A:$A,0)),""))</f>
        <v>Not covered by plan</v>
      </c>
      <c r="BJ205" s="15" t="str">
        <f aca="false">IF($BA205="","",IFERROR(INDEX(Lists!$B:$B,MATCH(TRIM($BA205),Lists!$A:$A,0))&amp;"",""))</f>
        <v>Bill the correct payer, delegated vendor or capitated group/IPA (e.g. Optum Behavioral, Preferred Homecare).</v>
      </c>
    </row>
    <row r="206" customFormat="false" ht="15" hidden="false" customHeight="false" outlineLevel="0" collapsed="false">
      <c r="A206" s="7" t="s">
        <v>16</v>
      </c>
      <c r="B206" s="7" t="s">
        <v>1040</v>
      </c>
      <c r="C206" s="8" t="n">
        <v>561859042</v>
      </c>
      <c r="D206" s="9" t="n">
        <v>46190</v>
      </c>
      <c r="E206" s="10" t="s">
        <v>1041</v>
      </c>
      <c r="F206" s="11" t="n">
        <v>46168</v>
      </c>
      <c r="G206" s="10" t="s">
        <v>279</v>
      </c>
      <c r="H206" s="10" t="s">
        <v>279</v>
      </c>
      <c r="I206" s="10" t="s">
        <v>129</v>
      </c>
      <c r="J206" s="10" t="s">
        <v>228</v>
      </c>
      <c r="K206" s="9" t="n">
        <v>46253</v>
      </c>
      <c r="L206" s="12" t="str">
        <f aca="true">IF($O206="","",$O206-TODAY())</f>
        <v/>
      </c>
      <c r="M206" s="12" t="str">
        <f aca="true">IF(AND(TRIM($A206)="Finalized",$K206&lt;&gt;""),"",IF($F206="","",$F206+365-TODAY()))</f>
        <v/>
      </c>
      <c r="N206" s="12" t="str">
        <f aca="true">IF(AND(TRIM($A206)="Finalized",$K206&lt;&gt;""),"",IF($F206="","",$F206+365-TODAY()))</f>
        <v/>
      </c>
      <c r="O206" s="11" t="str">
        <f aca="false">IF(AND(TRIM($A206)="Finalized",$K206&lt;&gt;""),"",DATE(2026,9,23))</f>
        <v/>
      </c>
      <c r="P206" s="10" t="s">
        <v>117</v>
      </c>
      <c r="Q206" s="10" t="s">
        <v>281</v>
      </c>
      <c r="R206" s="10" t="s">
        <v>114</v>
      </c>
      <c r="S206" s="10" t="s">
        <v>149</v>
      </c>
      <c r="T206" s="10" t="s">
        <v>114</v>
      </c>
      <c r="U206" s="10" t="s">
        <v>149</v>
      </c>
      <c r="V206" s="10" t="s">
        <v>266</v>
      </c>
      <c r="W206" s="10" t="s">
        <v>119</v>
      </c>
      <c r="X206" s="10" t="s">
        <v>229</v>
      </c>
      <c r="Y206" s="10"/>
      <c r="Z206" s="10"/>
      <c r="AA206" s="10" t="s">
        <v>230</v>
      </c>
      <c r="AB206" s="8" t="n">
        <f aca="true">IF($F206="","",TODAY()-$F206)</f>
        <v>143</v>
      </c>
      <c r="AC206" s="10" t="s">
        <v>122</v>
      </c>
      <c r="AD206" s="10"/>
      <c r="AE206" s="10"/>
      <c r="AF206" s="10"/>
      <c r="AG206" s="10"/>
      <c r="AH206" s="10"/>
      <c r="AI206" s="10"/>
      <c r="AJ206" s="10" t="s">
        <v>123</v>
      </c>
      <c r="AK206" s="10" t="s">
        <v>254</v>
      </c>
      <c r="AL206" s="10" t="s">
        <v>139</v>
      </c>
      <c r="AM206" s="10" t="s">
        <v>311</v>
      </c>
      <c r="AN206" s="8"/>
      <c r="AO206" s="10" t="s">
        <v>307</v>
      </c>
      <c r="AP206" s="10" t="s">
        <v>308</v>
      </c>
      <c r="AQ206" s="11" t="n">
        <v>46183</v>
      </c>
      <c r="AR206" s="13"/>
      <c r="AS206" s="13"/>
      <c r="AT206" s="13"/>
      <c r="AU206" s="13"/>
      <c r="AV206" s="13" t="s">
        <v>122</v>
      </c>
      <c r="AW206" s="13"/>
      <c r="AX206" s="13" t="s">
        <v>122</v>
      </c>
      <c r="AY206" s="7" t="s">
        <v>363</v>
      </c>
      <c r="AZ206" s="7" t="s">
        <v>159</v>
      </c>
      <c r="BA206" s="7" t="s">
        <v>39</v>
      </c>
      <c r="BB206" s="7" t="s">
        <v>1042</v>
      </c>
      <c r="BC206" s="7"/>
      <c r="BD206" s="9"/>
      <c r="BE206" s="7"/>
      <c r="BF206" s="14" t="str">
        <f aca="true">IF(TRIM($A206)="Finalized","Closed",IF($BD206="","No review date set",IF($BD206&lt;TODAY(),"OVERDUE",IF($BD206-TODAY()&lt;=7,"Due within 7 days","Scheduled"))))</f>
        <v>Closed</v>
      </c>
      <c r="BG206" s="14" t="n">
        <f aca="true">IF($K206="","",TODAY()-$K206)</f>
        <v>58</v>
      </c>
      <c r="BH206" s="15" t="str">
        <f aca="false">IFERROR(LEFT(IF($B206="","Notes, ","")&amp;IF($K206="","Latest Date Worked, ","")&amp;IF($AY206="","Last Action, ","")&amp;IF(AND(OR(TRIM($A206)="Denied",TRIM($A206)="Rejected"),$BA206=""),"Denial Reason, ","")&amp;IF(AND(TRIM($A206)="Denied",$BB206="",TRIM($BA206)&lt;&gt;"NO DENIAL"),"Denial Code, ","")&amp;IF(AND(TRIM($A206)&lt;&gt;"Finalized",$BD206=""),"Next Review Date, ","")&amp;IF(AND(TRIM($A206)&lt;&gt;"Finalized",$BE206=""),"Next Step, ","")&amp;IF(AND(TRIM($A206)="Finalized",$AV206="",$AR206="",$AT206="",$AX206="",$AW206=""),"CPT outcome, ",""),LEN(IF($B206="","Notes, ","")&amp;IF($K206="","Latest Date Worked, ","")&amp;IF($AY206="","Last Action, ","")&amp;IF(AND(OR(TRIM($A206)="Denied",TRIM($A206)="Rejected"),$BA206=""),"Denial Reason, ","")&amp;IF(AND(TRIM($A206)="Denied",$BB206="",TRIM($BA206)&lt;&gt;"NO DENIAL"),"Denial Code, ","")&amp;IF(AND(TRIM($A206)&lt;&gt;"Finalized",$BD206=""),"Next Review Date, ","")&amp;IF(AND(TRIM($A206)&lt;&gt;"Finalized",$BE206=""),"Next Step, ","")&amp;IF(AND(TRIM($A206)="Finalized",$AV206="",$AR206="",$AT206="",$AX206="",$AW206=""),"CPT outcome, ",""))-2),"")</f>
        <v/>
      </c>
      <c r="BI206" s="15" t="str">
        <f aca="false">IF($BB206="","",IFERROR(INDEX('Denial Codes'!$C:$C,MATCH(LEFT($BB206,FIND(" - ",$BB206&amp;" - ")+2)&amp;"*",'Denial Codes'!$A:$A,0)),""))</f>
        <v>Diagnosis issue</v>
      </c>
      <c r="BJ206" s="15" t="str">
        <f aca="false">IF($BA206="","",IFERROR(INDEX(Lists!$B:$B,MATCH(TRIM($BA206),Lists!$A:$A,0))&amp;"",""))</f>
        <v>Review the diagnosis codes and pointers with the chart; correct and resubmit.</v>
      </c>
    </row>
    <row r="207" customFormat="false" ht="15" hidden="false" customHeight="false" outlineLevel="0" collapsed="false">
      <c r="A207" s="7" t="s">
        <v>19</v>
      </c>
      <c r="B207" s="7" t="s">
        <v>203</v>
      </c>
      <c r="C207" s="8" t="n">
        <v>564069244</v>
      </c>
      <c r="D207" s="9"/>
      <c r="E207" s="10" t="s">
        <v>1043</v>
      </c>
      <c r="F207" s="11" t="n">
        <v>46198</v>
      </c>
      <c r="G207" s="10" t="s">
        <v>180</v>
      </c>
      <c r="H207" s="10" t="s">
        <v>180</v>
      </c>
      <c r="I207" s="10" t="s">
        <v>129</v>
      </c>
      <c r="J207" s="10" t="s">
        <v>638</v>
      </c>
      <c r="K207" s="9" t="n">
        <v>46273</v>
      </c>
      <c r="L207" s="12" t="n">
        <f aca="true">IF($O207="","",$O207-TODAY())</f>
        <v>-23</v>
      </c>
      <c r="M207" s="12" t="str">
        <f aca="true">IF(AND(TRIM($A207)="Finalized",$K207&lt;&gt;""),"",IF($D207="","",$D207+180-TODAY()))</f>
        <v/>
      </c>
      <c r="N207" s="12" t="str">
        <f aca="true">IF(AND(TRIM($A207)="Finalized",$K207&lt;&gt;""),"",IF($D207="","",$D207+365-TODAY()))</f>
        <v/>
      </c>
      <c r="O207" s="11" t="n">
        <f aca="false">IF(AND(TRIM($A207)="Finalized",$K207&lt;&gt;""),"",DATE(2026,9,23))</f>
        <v>46288</v>
      </c>
      <c r="P207" s="10" t="s">
        <v>165</v>
      </c>
      <c r="Q207" s="10" t="s">
        <v>182</v>
      </c>
      <c r="R207" s="10" t="s">
        <v>147</v>
      </c>
      <c r="S207" s="10" t="s">
        <v>116</v>
      </c>
      <c r="T207" s="10" t="s">
        <v>114</v>
      </c>
      <c r="U207" s="10" t="s">
        <v>116</v>
      </c>
      <c r="V207" s="10" t="s">
        <v>303</v>
      </c>
      <c r="W207" s="10" t="s">
        <v>196</v>
      </c>
      <c r="X207" s="10"/>
      <c r="Y207" s="10"/>
      <c r="Z207" s="10"/>
      <c r="AA207" s="10" t="s">
        <v>197</v>
      </c>
      <c r="AB207" s="8" t="n">
        <f aca="true">IF($F207="","",TODAY()-$F207)</f>
        <v>113</v>
      </c>
      <c r="AC207" s="10" t="s">
        <v>198</v>
      </c>
      <c r="AD207" s="10" t="s">
        <v>222</v>
      </c>
      <c r="AE207" s="10" t="s">
        <v>487</v>
      </c>
      <c r="AF207" s="10"/>
      <c r="AG207" s="10"/>
      <c r="AH207" s="10"/>
      <c r="AI207" s="10"/>
      <c r="AJ207" s="10" t="s">
        <v>1044</v>
      </c>
      <c r="AK207" s="10"/>
      <c r="AL207" s="10"/>
      <c r="AM207" s="10"/>
      <c r="AN207" s="8"/>
      <c r="AO207" s="10" t="s">
        <v>213</v>
      </c>
      <c r="AP207" s="10" t="s">
        <v>224</v>
      </c>
      <c r="AQ207" s="11" t="n">
        <v>46204</v>
      </c>
      <c r="AR207" s="13"/>
      <c r="AS207" s="13"/>
      <c r="AT207" s="13"/>
      <c r="AU207" s="13"/>
      <c r="AV207" s="13" t="s">
        <v>222</v>
      </c>
      <c r="AW207" s="13"/>
      <c r="AX207" s="13" t="s">
        <v>1045</v>
      </c>
      <c r="AY207" s="7" t="s">
        <v>203</v>
      </c>
      <c r="AZ207" s="7"/>
      <c r="BA207" s="7" t="s">
        <v>36</v>
      </c>
      <c r="BB207" s="7" t="s">
        <v>204</v>
      </c>
      <c r="BC207" s="7" t="s">
        <v>1046</v>
      </c>
      <c r="BD207" s="9" t="n">
        <v>46303</v>
      </c>
      <c r="BE207" s="7" t="s">
        <v>1047</v>
      </c>
      <c r="BF207" s="14" t="str">
        <f aca="true">IF(TRIM($A207)="Finalized","Closed",IF($BD207="","No review date set",IF($BD207&lt;TODAY(),"OVERDUE",IF($BD207-TODAY()&lt;=7,"Due within 7 days","Scheduled"))))</f>
        <v>OVERDUE</v>
      </c>
      <c r="BG207" s="14" t="n">
        <f aca="true">IF($K207="","",TODAY()-$K207)</f>
        <v>38</v>
      </c>
      <c r="BH207" s="15" t="str">
        <f aca="false">IFERROR(LEFT(IF($B207="","Notes, ","")&amp;IF($K207="","Latest Date Worked, ","")&amp;IF($AY207="","Last Action, ","")&amp;IF(AND(OR(TRIM($A207)="Denied",TRIM($A207)="Rejected"),$BA207=""),"Denial Reason, ","")&amp;IF(AND(TRIM($A207)="Denied",$BB207="",TRIM($BA207)&lt;&gt;"NO DENIAL"),"Denial Code, ","")&amp;IF(AND(TRIM($A207)&lt;&gt;"Finalized",$BD207=""),"Next Review Date, ","")&amp;IF(AND(TRIM($A207)&lt;&gt;"Finalized",$BE207=""),"Next Step, ","")&amp;IF(AND(TRIM($A207)="Finalized",$AV207="",$AR207="",$AT207="",$AX207="",$AW207=""),"CPT outcome, ",""),LEN(IF($B207="","Notes, ","")&amp;IF($K207="","Latest Date Worked, ","")&amp;IF($AY207="","Last Action, ","")&amp;IF(AND(OR(TRIM($A207)="Denied",TRIM($A207)="Rejected"),$BA207=""),"Denial Reason, ","")&amp;IF(AND(TRIM($A207)="Denied",$BB207="",TRIM($BA207)&lt;&gt;"NO DENIAL"),"Denial Code, ","")&amp;IF(AND(TRIM($A207)&lt;&gt;"Finalized",$BD207=""),"Next Review Date, ","")&amp;IF(AND(TRIM($A207)&lt;&gt;"Finalized",$BE207=""),"Next Step, ","")&amp;IF(AND(TRIM($A207)="Finalized",$AV207="",$AR207="",$AT207="",$AX207="",$AW207=""),"CPT outcome, ",""))-2),"")</f>
        <v/>
      </c>
      <c r="BI207" s="15" t="str">
        <f aca="false">IF($BB207="","",IFERROR(INDEX('Denial Codes'!$C:$C,MATCH(LEFT($BB207,FIND(" - ",$BB207&amp;" - ")+2)&amp;"*",'Denial Codes'!$A:$A,0)),""))</f>
        <v>Medical records needed</v>
      </c>
      <c r="BJ207" s="15" t="str">
        <f aca="false">IF($BA207="","",IFERROR(INDEX(Lists!$B:$B,MATCH(TRIM($BA207),Lists!$A:$A,0))&amp;"",""))</f>
        <v>Upload the MR on the payer portal, note the PIQ/reference number and set a review date.</v>
      </c>
    </row>
    <row r="208" customFormat="false" ht="15" hidden="false" customHeight="false" outlineLevel="0" collapsed="false">
      <c r="A208" s="7" t="s">
        <v>19</v>
      </c>
      <c r="B208" s="7" t="s">
        <v>203</v>
      </c>
      <c r="C208" s="8" t="n">
        <v>563477944</v>
      </c>
      <c r="D208" s="9"/>
      <c r="E208" s="10" t="s">
        <v>1048</v>
      </c>
      <c r="F208" s="11" t="n">
        <v>46198</v>
      </c>
      <c r="G208" s="10" t="s">
        <v>180</v>
      </c>
      <c r="H208" s="10" t="s">
        <v>180</v>
      </c>
      <c r="I208" s="10" t="s">
        <v>129</v>
      </c>
      <c r="J208" s="10" t="s">
        <v>181</v>
      </c>
      <c r="K208" s="9" t="n">
        <v>46283</v>
      </c>
      <c r="L208" s="12" t="n">
        <f aca="true">IF($O208="","",$O208-TODAY())</f>
        <v>-23</v>
      </c>
      <c r="M208" s="12" t="str">
        <f aca="true">IF(AND(TRIM($A208)="Finalized",$K208&lt;&gt;""),"",IF($D208="","",$D208+180-TODAY()))</f>
        <v/>
      </c>
      <c r="N208" s="12" t="str">
        <f aca="true">IF(AND(TRIM($A208)="Finalized",$K208&lt;&gt;""),"",IF($D208="","",$D208+365-TODAY()))</f>
        <v/>
      </c>
      <c r="O208" s="11" t="n">
        <f aca="false">IF(AND(TRIM($A208)="Finalized",$K208&lt;&gt;""),"",DATE(2026,9,23))</f>
        <v>46288</v>
      </c>
      <c r="P208" s="10" t="s">
        <v>165</v>
      </c>
      <c r="Q208" s="10" t="s">
        <v>182</v>
      </c>
      <c r="R208" s="10" t="s">
        <v>147</v>
      </c>
      <c r="S208" s="10" t="s">
        <v>116</v>
      </c>
      <c r="T208" s="10" t="s">
        <v>114</v>
      </c>
      <c r="U208" s="10" t="s">
        <v>116</v>
      </c>
      <c r="V208" s="10" t="s">
        <v>303</v>
      </c>
      <c r="W208" s="10" t="s">
        <v>183</v>
      </c>
      <c r="X208" s="10"/>
      <c r="Y208" s="10"/>
      <c r="Z208" s="10"/>
      <c r="AA208" s="10" t="s">
        <v>197</v>
      </c>
      <c r="AB208" s="8" t="n">
        <f aca="true">IF($F208="","",TODAY()-$F208)</f>
        <v>113</v>
      </c>
      <c r="AC208" s="10" t="s">
        <v>184</v>
      </c>
      <c r="AD208" s="10" t="s">
        <v>185</v>
      </c>
      <c r="AE208" s="10"/>
      <c r="AF208" s="10"/>
      <c r="AG208" s="10"/>
      <c r="AH208" s="10"/>
      <c r="AI208" s="10"/>
      <c r="AJ208" s="10" t="s">
        <v>340</v>
      </c>
      <c r="AK208" s="10"/>
      <c r="AL208" s="10"/>
      <c r="AM208" s="10"/>
      <c r="AN208" s="8"/>
      <c r="AO208" s="10" t="s">
        <v>1049</v>
      </c>
      <c r="AP208" s="10" t="s">
        <v>994</v>
      </c>
      <c r="AQ208" s="11" t="n">
        <v>46217</v>
      </c>
      <c r="AR208" s="13"/>
      <c r="AS208" s="13"/>
      <c r="AT208" s="13"/>
      <c r="AU208" s="13"/>
      <c r="AV208" s="13"/>
      <c r="AW208" s="13"/>
      <c r="AX208" s="13" t="s">
        <v>507</v>
      </c>
      <c r="AY208" s="7" t="s">
        <v>203</v>
      </c>
      <c r="AZ208" s="7"/>
      <c r="BA208" s="7" t="s">
        <v>36</v>
      </c>
      <c r="BB208" s="7" t="s">
        <v>204</v>
      </c>
      <c r="BC208" s="7" t="s">
        <v>1050</v>
      </c>
      <c r="BD208" s="9" t="n">
        <v>46313</v>
      </c>
      <c r="BE208" s="7"/>
      <c r="BF208" s="14" t="str">
        <f aca="true">IF(TRIM($A208)="Finalized","Closed",IF($BD208="","No review date set",IF($BD208&lt;TODAY(),"OVERDUE",IF($BD208-TODAY()&lt;=7,"Due within 7 days","Scheduled"))))</f>
        <v>Due within 7 days</v>
      </c>
      <c r="BG208" s="14" t="n">
        <f aca="true">IF($K208="","",TODAY()-$K208)</f>
        <v>28</v>
      </c>
      <c r="BH208" s="15" t="str">
        <f aca="false">IFERROR(LEFT(IF($B208="","Notes, ","")&amp;IF($K208="","Latest Date Worked, ","")&amp;IF($AY208="","Last Action, ","")&amp;IF(AND(OR(TRIM($A208)="Denied",TRIM($A208)="Rejected"),$BA208=""),"Denial Reason, ","")&amp;IF(AND(TRIM($A208)="Denied",$BB208="",TRIM($BA208)&lt;&gt;"NO DENIAL"),"Denial Code, ","")&amp;IF(AND(TRIM($A208)&lt;&gt;"Finalized",$BD208=""),"Next Review Date, ","")&amp;IF(AND(TRIM($A208)&lt;&gt;"Finalized",$BE208=""),"Next Step, ","")&amp;IF(AND(TRIM($A208)="Finalized",$AV208="",$AR208="",$AT208="",$AX208="",$AW208=""),"CPT outcome, ",""),LEN(IF($B208="","Notes, ","")&amp;IF($K208="","Latest Date Worked, ","")&amp;IF($AY208="","Last Action, ","")&amp;IF(AND(OR(TRIM($A208)="Denied",TRIM($A208)="Rejected"),$BA208=""),"Denial Reason, ","")&amp;IF(AND(TRIM($A208)="Denied",$BB208="",TRIM($BA208)&lt;&gt;"NO DENIAL"),"Denial Code, ","")&amp;IF(AND(TRIM($A208)&lt;&gt;"Finalized",$BD208=""),"Next Review Date, ","")&amp;IF(AND(TRIM($A208)&lt;&gt;"Finalized",$BE208=""),"Next Step, ","")&amp;IF(AND(TRIM($A208)="Finalized",$AV208="",$AR208="",$AT208="",$AX208="",$AW208=""),"CPT outcome, ",""))-2),"")</f>
        <v>Next Step</v>
      </c>
      <c r="BI208" s="15" t="str">
        <f aca="false">IF($BB208="","",IFERROR(INDEX('Denial Codes'!$C:$C,MATCH(LEFT($BB208,FIND(" - ",$BB208&amp;" - ")+2)&amp;"*",'Denial Codes'!$A:$A,0)),""))</f>
        <v>Medical records needed</v>
      </c>
      <c r="BJ208" s="15" t="str">
        <f aca="false">IF($BA208="","",IFERROR(INDEX(Lists!$B:$B,MATCH(TRIM($BA208),Lists!$A:$A,0))&amp;"",""))</f>
        <v>Upload the MR on the payer portal, note the PIQ/reference number and set a review date.</v>
      </c>
    </row>
    <row r="209" customFormat="false" ht="15" hidden="false" customHeight="false" outlineLevel="0" collapsed="false">
      <c r="A209" s="7" t="s">
        <v>19</v>
      </c>
      <c r="B209" s="7" t="s">
        <v>1051</v>
      </c>
      <c r="C209" s="8" t="n">
        <v>572208778</v>
      </c>
      <c r="D209" s="9"/>
      <c r="E209" s="10" t="s">
        <v>1052</v>
      </c>
      <c r="F209" s="11" t="n">
        <v>46198</v>
      </c>
      <c r="G209" s="10" t="s">
        <v>1053</v>
      </c>
      <c r="H209" s="10" t="s">
        <v>1053</v>
      </c>
      <c r="I209" s="10" t="s">
        <v>129</v>
      </c>
      <c r="J209" s="10" t="s">
        <v>872</v>
      </c>
      <c r="K209" s="9" t="n">
        <v>46283</v>
      </c>
      <c r="L209" s="12" t="n">
        <f aca="true">IF($O209="","",$O209-TODAY())</f>
        <v>-23</v>
      </c>
      <c r="M209" s="12" t="str">
        <f aca="true">IF(AND(TRIM($A209)="Finalized",$K209&lt;&gt;""),"",IF($D209="","",$D209+180-TODAY()))</f>
        <v/>
      </c>
      <c r="N209" s="12" t="str">
        <f aca="true">IF(AND(TRIM($A209)="Finalized",$K209&lt;&gt;""),"",IF($D209="","",$D209+365-TODAY()))</f>
        <v/>
      </c>
      <c r="O209" s="11" t="n">
        <f aca="false">IF(AND(TRIM($A209)="Finalized",$K209&lt;&gt;""),"",DATE(2026,9,23))</f>
        <v>46288</v>
      </c>
      <c r="P209" s="10" t="s">
        <v>165</v>
      </c>
      <c r="Q209" s="10" t="s">
        <v>182</v>
      </c>
      <c r="R209" s="10" t="s">
        <v>147</v>
      </c>
      <c r="S209" s="10" t="s">
        <v>116</v>
      </c>
      <c r="T209" s="10" t="s">
        <v>114</v>
      </c>
      <c r="U209" s="10" t="s">
        <v>116</v>
      </c>
      <c r="V209" s="10" t="s">
        <v>303</v>
      </c>
      <c r="W209" s="10" t="s">
        <v>132</v>
      </c>
      <c r="X209" s="10"/>
      <c r="Y209" s="10"/>
      <c r="Z209" s="10"/>
      <c r="AA209" s="10" t="s">
        <v>197</v>
      </c>
      <c r="AB209" s="8" t="n">
        <f aca="true">IF($F209="","",TODAY()-$F209)</f>
        <v>113</v>
      </c>
      <c r="AC209" s="10" t="s">
        <v>702</v>
      </c>
      <c r="AD209" s="10"/>
      <c r="AE209" s="10"/>
      <c r="AF209" s="10"/>
      <c r="AG209" s="10"/>
      <c r="AH209" s="10"/>
      <c r="AI209" s="10"/>
      <c r="AJ209" s="10" t="s">
        <v>525</v>
      </c>
      <c r="AK209" s="10" t="s">
        <v>170</v>
      </c>
      <c r="AL209" s="10" t="s">
        <v>704</v>
      </c>
      <c r="AM209" s="10" t="s">
        <v>1054</v>
      </c>
      <c r="AN209" s="8"/>
      <c r="AO209" s="10" t="s">
        <v>546</v>
      </c>
      <c r="AP209" s="10" t="s">
        <v>175</v>
      </c>
      <c r="AQ209" s="11" t="n">
        <v>46203</v>
      </c>
      <c r="AR209" s="13"/>
      <c r="AS209" s="13"/>
      <c r="AT209" s="13"/>
      <c r="AU209" s="13"/>
      <c r="AV209" s="13"/>
      <c r="AW209" s="13"/>
      <c r="AX209" s="13"/>
      <c r="AY209" s="7" t="s">
        <v>159</v>
      </c>
      <c r="AZ209" s="7"/>
      <c r="BA209" s="7" t="s">
        <v>48</v>
      </c>
      <c r="BB209" s="7"/>
      <c r="BC209" s="7"/>
      <c r="BD209" s="9" t="n">
        <v>46313</v>
      </c>
      <c r="BE209" s="7"/>
      <c r="BF209" s="14" t="str">
        <f aca="true">IF(TRIM($A209)="Finalized","Closed",IF($BD209="","No review date set",IF($BD209&lt;TODAY(),"OVERDUE",IF($BD209-TODAY()&lt;=7,"Due within 7 days","Scheduled"))))</f>
        <v>Due within 7 days</v>
      </c>
      <c r="BG209" s="14" t="n">
        <f aca="true">IF($K209="","",TODAY()-$K209)</f>
        <v>28</v>
      </c>
      <c r="BH209" s="15" t="str">
        <f aca="false">IFERROR(LEFT(IF($B209="","Notes, ","")&amp;IF($K209="","Latest Date Worked, ","")&amp;IF($AY209="","Last Action, ","")&amp;IF(AND(OR(TRIM($A209)="Denied",TRIM($A209)="Rejected"),$BA209=""),"Denial Reason, ","")&amp;IF(AND(TRIM($A209)="Denied",$BB209="",TRIM($BA209)&lt;&gt;"NO DENIAL"),"Denial Code, ","")&amp;IF(AND(TRIM($A209)&lt;&gt;"Finalized",$BD209=""),"Next Review Date, ","")&amp;IF(AND(TRIM($A209)&lt;&gt;"Finalized",$BE209=""),"Next Step, ","")&amp;IF(AND(TRIM($A209)="Finalized",$AV209="",$AR209="",$AT209="",$AX209="",$AW209=""),"CPT outcome, ",""),LEN(IF($B209="","Notes, ","")&amp;IF($K209="","Latest Date Worked, ","")&amp;IF($AY209="","Last Action, ","")&amp;IF(AND(OR(TRIM($A209)="Denied",TRIM($A209)="Rejected"),$BA209=""),"Denial Reason, ","")&amp;IF(AND(TRIM($A209)="Denied",$BB209="",TRIM($BA209)&lt;&gt;"NO DENIAL"),"Denial Code, ","")&amp;IF(AND(TRIM($A209)&lt;&gt;"Finalized",$BD209=""),"Next Review Date, ","")&amp;IF(AND(TRIM($A209)&lt;&gt;"Finalized",$BE209=""),"Next Step, ","")&amp;IF(AND(TRIM($A209)="Finalized",$AV209="",$AR209="",$AT209="",$AX209="",$AW209=""),"CPT outcome, ",""))-2),"")</f>
        <v>Next Step</v>
      </c>
      <c r="BI209" s="15" t="str">
        <f aca="false">IF($BB209="","",IFERROR(INDEX('Denial Codes'!$C:$C,MATCH(LEFT($BB209,FIND(" - ",$BB209&amp;" - ")+2)&amp;"*",'Denial Codes'!$A:$A,0)),""))</f>
        <v/>
      </c>
      <c r="BJ209" s="15" t="str">
        <f aca="false">IF($BA209="","",IFERROR(INDEX(Lists!$B:$B,MATCH(TRIM($BA209),Lists!$A:$A,0))&amp;"",""))</f>
        <v>Get a valid referral or correct the referring provider, then resubmit.</v>
      </c>
    </row>
    <row r="210" customFormat="false" ht="15" hidden="false" customHeight="false" outlineLevel="0" collapsed="false">
      <c r="A210" s="7" t="s">
        <v>17</v>
      </c>
      <c r="B210" s="7" t="s">
        <v>1055</v>
      </c>
      <c r="C210" s="8" t="n">
        <v>563854100</v>
      </c>
      <c r="D210" s="9" t="n">
        <v>46210</v>
      </c>
      <c r="E210" s="10" t="s">
        <v>1056</v>
      </c>
      <c r="F210" s="11" t="n">
        <v>46198</v>
      </c>
      <c r="G210" s="10" t="s">
        <v>180</v>
      </c>
      <c r="H210" s="10" t="s">
        <v>180</v>
      </c>
      <c r="I210" s="10" t="s">
        <v>129</v>
      </c>
      <c r="J210" s="10" t="s">
        <v>1057</v>
      </c>
      <c r="K210" s="9" t="n">
        <v>46283</v>
      </c>
      <c r="L210" s="12" t="n">
        <f aca="true">IF($O210="","",$O210-TODAY())</f>
        <v>-23</v>
      </c>
      <c r="M210" s="12" t="n">
        <f aca="true">IF(AND(TRIM($A210)="Finalized",$K210&lt;&gt;""),"",IF($D210="","",$D210+180-TODAY()))</f>
        <v>79</v>
      </c>
      <c r="N210" s="12" t="n">
        <f aca="true">IF(AND(TRIM($A210)="Finalized",$K210&lt;&gt;""),"",IF($D210="","",$D210+365-TODAY()))</f>
        <v>264</v>
      </c>
      <c r="O210" s="11" t="n">
        <f aca="false">IF(AND(TRIM($A210)="Finalized",$K210&lt;&gt;""),"",DATE(2026,9,23))</f>
        <v>46288</v>
      </c>
      <c r="P210" s="10" t="s">
        <v>165</v>
      </c>
      <c r="Q210" s="10" t="s">
        <v>182</v>
      </c>
      <c r="R210" s="10" t="s">
        <v>147</v>
      </c>
      <c r="S210" s="10" t="s">
        <v>116</v>
      </c>
      <c r="T210" s="10" t="s">
        <v>114</v>
      </c>
      <c r="U210" s="10" t="s">
        <v>116</v>
      </c>
      <c r="V210" s="10" t="s">
        <v>303</v>
      </c>
      <c r="W210" s="10" t="s">
        <v>132</v>
      </c>
      <c r="X210" s="10" t="s">
        <v>621</v>
      </c>
      <c r="Y210" s="10"/>
      <c r="Z210" s="10"/>
      <c r="AA210" s="10" t="s">
        <v>197</v>
      </c>
      <c r="AB210" s="8" t="n">
        <f aca="true">IF($F210="","",TODAY()-$F210)</f>
        <v>113</v>
      </c>
      <c r="AC210" s="10" t="s">
        <v>858</v>
      </c>
      <c r="AD210" s="10"/>
      <c r="AE210" s="10"/>
      <c r="AF210" s="10"/>
      <c r="AG210" s="10"/>
      <c r="AH210" s="10"/>
      <c r="AI210" s="10"/>
      <c r="AJ210" s="10" t="s">
        <v>124</v>
      </c>
      <c r="AK210" s="10" t="s">
        <v>139</v>
      </c>
      <c r="AL210" s="10" t="s">
        <v>598</v>
      </c>
      <c r="AM210" s="10"/>
      <c r="AN210" s="8"/>
      <c r="AO210" s="10" t="s">
        <v>546</v>
      </c>
      <c r="AP210" s="10" t="s">
        <v>175</v>
      </c>
      <c r="AQ210" s="11" t="n">
        <v>46203</v>
      </c>
      <c r="AR210" s="13"/>
      <c r="AS210" s="13"/>
      <c r="AT210" s="13"/>
      <c r="AU210" s="13"/>
      <c r="AV210" s="13" t="s">
        <v>858</v>
      </c>
      <c r="AW210" s="13"/>
      <c r="AX210" s="13" t="s">
        <v>858</v>
      </c>
      <c r="AY210" s="7" t="s">
        <v>354</v>
      </c>
      <c r="AZ210" s="7"/>
      <c r="BA210" s="7" t="s">
        <v>34</v>
      </c>
      <c r="BB210" s="7"/>
      <c r="BC210" s="7" t="s">
        <v>1058</v>
      </c>
      <c r="BD210" s="9" t="n">
        <v>46313</v>
      </c>
      <c r="BE210" s="7"/>
      <c r="BF210" s="14" t="str">
        <f aca="true">IF(TRIM($A210)="Finalized","Closed",IF($BD210="","No review date set",IF($BD210&lt;TODAY(),"OVERDUE",IF($BD210-TODAY()&lt;=7,"Due within 7 days","Scheduled"))))</f>
        <v>Due within 7 days</v>
      </c>
      <c r="BG210" s="14" t="n">
        <f aca="true">IF($K210="","",TODAY()-$K210)</f>
        <v>28</v>
      </c>
      <c r="BH210" s="15" t="str">
        <f aca="false">IFERROR(LEFT(IF($B210="","Notes, ","")&amp;IF($K210="","Latest Date Worked, ","")&amp;IF($AY210="","Last Action, ","")&amp;IF(AND(OR(TRIM($A210)="Denied",TRIM($A210)="Rejected"),$BA210=""),"Denial Reason, ","")&amp;IF(AND(TRIM($A210)="Denied",$BB210="",TRIM($BA210)&lt;&gt;"NO DENIAL"),"Denial Code, ","")&amp;IF(AND(TRIM($A210)&lt;&gt;"Finalized",$BD210=""),"Next Review Date, ","")&amp;IF(AND(TRIM($A210)&lt;&gt;"Finalized",$BE210=""),"Next Step, ","")&amp;IF(AND(TRIM($A210)="Finalized",$AV210="",$AR210="",$AT210="",$AX210="",$AW210=""),"CPT outcome, ",""),LEN(IF($B210="","Notes, ","")&amp;IF($K210="","Latest Date Worked, ","")&amp;IF($AY210="","Last Action, ","")&amp;IF(AND(OR(TRIM($A210)="Denied",TRIM($A210)="Rejected"),$BA210=""),"Denial Reason, ","")&amp;IF(AND(TRIM($A210)="Denied",$BB210="",TRIM($BA210)&lt;&gt;"NO DENIAL"),"Denial Code, ","")&amp;IF(AND(TRIM($A210)&lt;&gt;"Finalized",$BD210=""),"Next Review Date, ","")&amp;IF(AND(TRIM($A210)&lt;&gt;"Finalized",$BE210=""),"Next Step, ","")&amp;IF(AND(TRIM($A210)="Finalized",$AV210="",$AR210="",$AT210="",$AX210="",$AW210=""),"CPT outcome, ",""))-2),"")</f>
        <v>Denial Code, Next Step</v>
      </c>
      <c r="BI210" s="15" t="str">
        <f aca="false">IF($BB210="","",IFERROR(INDEX('Denial Codes'!$C:$C,MATCH(LEFT($BB210,FIND(" - ",$BB210&amp;" - ")+2)&amp;"*",'Denial Codes'!$A:$A,0)),""))</f>
        <v/>
      </c>
      <c r="BJ210" s="15" t="str">
        <f aca="false">IF($BA210="","",IFERROR(INDEX(Lists!$B:$B,MATCH(TRIM($BA210),Lists!$A:$A,0))&amp;"",""))</f>
        <v>Check the portal for an auth; request a retro-auth or file an appeal with the auth number, then resubmit.</v>
      </c>
    </row>
    <row r="211" customFormat="false" ht="15" hidden="false" customHeight="false" outlineLevel="0" collapsed="false">
      <c r="A211" s="7" t="s">
        <v>17</v>
      </c>
      <c r="B211" s="7" t="s">
        <v>1059</v>
      </c>
      <c r="C211" s="8" t="n">
        <v>563454979</v>
      </c>
      <c r="D211" s="9" t="n">
        <v>46259</v>
      </c>
      <c r="E211" s="10" t="s">
        <v>402</v>
      </c>
      <c r="F211" s="11" t="n">
        <v>46198</v>
      </c>
      <c r="G211" s="10" t="s">
        <v>369</v>
      </c>
      <c r="H211" s="10" t="s">
        <v>369</v>
      </c>
      <c r="I211" s="10" t="s">
        <v>129</v>
      </c>
      <c r="J211" s="10" t="s">
        <v>209</v>
      </c>
      <c r="K211" s="9" t="n">
        <v>46309</v>
      </c>
      <c r="L211" s="12" t="n">
        <f aca="true">IF($O211="","",$O211-TODAY())</f>
        <v>-23</v>
      </c>
      <c r="M211" s="12" t="n">
        <f aca="true">IF(AND(TRIM($A211)="Finalized",$K211&lt;&gt;""),"",IF($D211="","",$D211+365-TODAY()))</f>
        <v>313</v>
      </c>
      <c r="N211" s="12" t="n">
        <f aca="true">IF(AND(TRIM($A211)="Finalized",$K211&lt;&gt;""),"",IF($D211="","",$D211+365-TODAY()))</f>
        <v>313</v>
      </c>
      <c r="O211" s="11" t="n">
        <f aca="false">IF(AND(TRIM($A211)="Finalized",$K211&lt;&gt;""),"",DATE(2026,9,23))</f>
        <v>46288</v>
      </c>
      <c r="P211" s="10" t="s">
        <v>165</v>
      </c>
      <c r="Q211" s="10" t="s">
        <v>371</v>
      </c>
      <c r="R211" s="10" t="s">
        <v>114</v>
      </c>
      <c r="S211" s="10" t="s">
        <v>116</v>
      </c>
      <c r="T211" s="10" t="s">
        <v>114</v>
      </c>
      <c r="U211" s="10" t="s">
        <v>116</v>
      </c>
      <c r="V211" s="10" t="s">
        <v>303</v>
      </c>
      <c r="W211" s="10" t="s">
        <v>183</v>
      </c>
      <c r="X211" s="10"/>
      <c r="Y211" s="10"/>
      <c r="Z211" s="10"/>
      <c r="AA211" s="10" t="s">
        <v>197</v>
      </c>
      <c r="AB211" s="8" t="n">
        <f aca="true">IF($F211="","",TODAY()-$F211)</f>
        <v>113</v>
      </c>
      <c r="AC211" s="10" t="s">
        <v>184</v>
      </c>
      <c r="AD211" s="10" t="s">
        <v>211</v>
      </c>
      <c r="AE211" s="10"/>
      <c r="AF211" s="10"/>
      <c r="AG211" s="10"/>
      <c r="AH211" s="10"/>
      <c r="AI211" s="10"/>
      <c r="AJ211" s="10" t="s">
        <v>340</v>
      </c>
      <c r="AK211" s="10"/>
      <c r="AL211" s="10"/>
      <c r="AM211" s="10"/>
      <c r="AN211" s="8"/>
      <c r="AO211" s="10" t="s">
        <v>359</v>
      </c>
      <c r="AP211" s="10" t="s">
        <v>994</v>
      </c>
      <c r="AQ211" s="11" t="n">
        <v>46246</v>
      </c>
      <c r="AR211" s="13"/>
      <c r="AS211" s="13"/>
      <c r="AT211" s="13"/>
      <c r="AU211" s="13"/>
      <c r="AV211" s="13"/>
      <c r="AW211" s="13"/>
      <c r="AX211" s="13" t="s">
        <v>214</v>
      </c>
      <c r="AY211" s="7" t="s">
        <v>159</v>
      </c>
      <c r="AZ211" s="7" t="s">
        <v>159</v>
      </c>
      <c r="BA211" s="7" t="s">
        <v>40</v>
      </c>
      <c r="BB211" s="7" t="s">
        <v>372</v>
      </c>
      <c r="BC211" s="7"/>
      <c r="BD211" s="9" t="n">
        <v>46340</v>
      </c>
      <c r="BE211" s="7"/>
      <c r="BF211" s="14" t="str">
        <f aca="true">IF(TRIM($A211)="Finalized","Closed",IF($BD211="","No review date set",IF($BD211&lt;TODAY(),"OVERDUE",IF($BD211-TODAY()&lt;=7,"Due within 7 days","Scheduled"))))</f>
        <v>Scheduled</v>
      </c>
      <c r="BG211" s="14" t="n">
        <f aca="true">IF($K211="","",TODAY()-$K211)</f>
        <v>2</v>
      </c>
      <c r="BH211" s="15" t="str">
        <f aca="false">IFERROR(LEFT(IF($B211="","Notes, ","")&amp;IF($K211="","Latest Date Worked, ","")&amp;IF($AY211="","Last Action, ","")&amp;IF(AND(OR(TRIM($A211)="Denied",TRIM($A211)="Rejected"),$BA211=""),"Denial Reason, ","")&amp;IF(AND(TRIM($A211)="Denied",$BB211="",TRIM($BA211)&lt;&gt;"NO DENIAL"),"Denial Code, ","")&amp;IF(AND(TRIM($A211)&lt;&gt;"Finalized",$BD211=""),"Next Review Date, ","")&amp;IF(AND(TRIM($A211)&lt;&gt;"Finalized",$BE211=""),"Next Step, ","")&amp;IF(AND(TRIM($A211)="Finalized",$AV211="",$AR211="",$AT211="",$AX211="",$AW211=""),"CPT outcome, ",""),LEN(IF($B211="","Notes, ","")&amp;IF($K211="","Latest Date Worked, ","")&amp;IF($AY211="","Last Action, ","")&amp;IF(AND(OR(TRIM($A211)="Denied",TRIM($A211)="Rejected"),$BA211=""),"Denial Reason, ","")&amp;IF(AND(TRIM($A211)="Denied",$BB211="",TRIM($BA211)&lt;&gt;"NO DENIAL"),"Denial Code, ","")&amp;IF(AND(TRIM($A211)&lt;&gt;"Finalized",$BD211=""),"Next Review Date, ","")&amp;IF(AND(TRIM($A211)&lt;&gt;"Finalized",$BE211=""),"Next Step, ","")&amp;IF(AND(TRIM($A211)="Finalized",$AV211="",$AR211="",$AT211="",$AX211="",$AW211=""),"CPT outcome, ",""))-2),"")</f>
        <v>Next Step</v>
      </c>
      <c r="BI211" s="15" t="str">
        <f aca="false">IF($BB211="","",IFERROR(INDEX('Denial Codes'!$C:$C,MATCH(LEFT($BB211,FIND(" - ",$BB211&amp;" - ")+2)&amp;"*",'Denial Codes'!$A:$A,0)),""))</f>
        <v>Coding / billing error</v>
      </c>
      <c r="BJ211" s="15" t="str">
        <f aca="false">IF($BA211="","",IFERROR(INDEX(Lists!$B:$B,MATCH(TRIM($BA211),Lists!$A:$A,0))&amp;"",""))</f>
        <v>Fix the code, units, charge or other claim data and resubmit as a corrected claim.</v>
      </c>
    </row>
    <row r="212" customFormat="false" ht="15" hidden="false" customHeight="false" outlineLevel="0" collapsed="false">
      <c r="A212" s="7" t="s">
        <v>18</v>
      </c>
      <c r="B212" s="7" t="s">
        <v>1060</v>
      </c>
      <c r="C212" s="8" t="n">
        <v>560450629</v>
      </c>
      <c r="D212" s="9" t="n">
        <v>46195</v>
      </c>
      <c r="E212" s="10" t="s">
        <v>1061</v>
      </c>
      <c r="F212" s="11" t="n">
        <v>46169</v>
      </c>
      <c r="G212" s="10" t="s">
        <v>738</v>
      </c>
      <c r="H212" s="10" t="s">
        <v>738</v>
      </c>
      <c r="I212" s="10" t="s">
        <v>129</v>
      </c>
      <c r="J212" s="10" t="s">
        <v>370</v>
      </c>
      <c r="K212" s="9"/>
      <c r="L212" s="12" t="n">
        <f aca="true">IF($O212="","",$O212-TODAY())</f>
        <v>-22</v>
      </c>
      <c r="M212" s="12" t="n">
        <f aca="true">IF(AND(TRIM($A212)="Finalized",$K212&lt;&gt;""),"",IF($D212="","",$D212+180-TODAY()))</f>
        <v>64</v>
      </c>
      <c r="N212" s="12" t="n">
        <f aca="true">IF(AND(TRIM($A212)="Finalized",$K212&lt;&gt;""),"",IF($D212="","",$D212+180-TODAY()))</f>
        <v>64</v>
      </c>
      <c r="O212" s="11" t="n">
        <f aca="false">IF(AND(TRIM($A212)="Finalized",$K212&lt;&gt;""),"",DATE(2026,9,24))</f>
        <v>46289</v>
      </c>
      <c r="P212" s="10" t="s">
        <v>117</v>
      </c>
      <c r="Q212" s="10" t="s">
        <v>740</v>
      </c>
      <c r="R212" s="10" t="s">
        <v>147</v>
      </c>
      <c r="S212" s="10" t="s">
        <v>116</v>
      </c>
      <c r="T212" s="10" t="s">
        <v>147</v>
      </c>
      <c r="U212" s="10" t="s">
        <v>116</v>
      </c>
      <c r="V212" s="10" t="s">
        <v>266</v>
      </c>
      <c r="W212" s="10" t="s">
        <v>183</v>
      </c>
      <c r="X212" s="10"/>
      <c r="Y212" s="10"/>
      <c r="Z212" s="10"/>
      <c r="AA212" s="10" t="s">
        <v>197</v>
      </c>
      <c r="AB212" s="8" t="n">
        <f aca="true">IF($F212="","",TODAY()-$F212)</f>
        <v>142</v>
      </c>
      <c r="AC212" s="10" t="s">
        <v>211</v>
      </c>
      <c r="AD212" s="10"/>
      <c r="AE212" s="10"/>
      <c r="AF212" s="10"/>
      <c r="AG212" s="10"/>
      <c r="AH212" s="10"/>
      <c r="AI212" s="10"/>
      <c r="AJ212" s="10" t="s">
        <v>340</v>
      </c>
      <c r="AK212" s="10"/>
      <c r="AL212" s="10"/>
      <c r="AM212" s="10"/>
      <c r="AN212" s="8"/>
      <c r="AO212" s="10" t="s">
        <v>359</v>
      </c>
      <c r="AP212" s="10" t="s">
        <v>188</v>
      </c>
      <c r="AQ212" s="11" t="n">
        <v>46182</v>
      </c>
      <c r="AR212" s="13"/>
      <c r="AS212" s="13"/>
      <c r="AT212" s="13"/>
      <c r="AU212" s="13"/>
      <c r="AV212" s="13"/>
      <c r="AW212" s="13"/>
      <c r="AX212" s="13"/>
      <c r="AY212" s="7"/>
      <c r="AZ212" s="7"/>
      <c r="BA212" s="7" t="s">
        <v>46</v>
      </c>
      <c r="BB212" s="7"/>
      <c r="BC212" s="7"/>
      <c r="BD212" s="9"/>
      <c r="BE212" s="7" t="s">
        <v>1062</v>
      </c>
      <c r="BF212" s="14" t="str">
        <f aca="true">IF(TRIM($A212)="Finalized","Closed",IF($BD212="","No review date set",IF($BD212&lt;TODAY(),"OVERDUE",IF($BD212-TODAY()&lt;=7,"Due within 7 days","Scheduled"))))</f>
        <v>No review date set</v>
      </c>
      <c r="BG212" s="14" t="str">
        <f aca="true">IF($K212="","",TODAY()-$K212)</f>
        <v/>
      </c>
      <c r="BH212" s="15" t="str">
        <f aca="false">IFERROR(LEFT(IF($B212="","Notes, ","")&amp;IF($K212="","Latest Date Worked, ","")&amp;IF($AY212="","Last Action, ","")&amp;IF(AND(OR(TRIM($A212)="Denied",TRIM($A212)="Rejected"),$BA212=""),"Denial Reason, ","")&amp;IF(AND(TRIM($A212)="Denied",$BB212="",TRIM($BA212)&lt;&gt;"NO DENIAL"),"Denial Code, ","")&amp;IF(AND(TRIM($A212)&lt;&gt;"Finalized",$BD212=""),"Next Review Date, ","")&amp;IF(AND(TRIM($A212)&lt;&gt;"Finalized",$BE212=""),"Next Step, ","")&amp;IF(AND(TRIM($A212)="Finalized",$AV212="",$AR212="",$AT212="",$AX212="",$AW212=""),"CPT outcome, ",""),LEN(IF($B212="","Notes, ","")&amp;IF($K212="","Latest Date Worked, ","")&amp;IF($AY212="","Last Action, ","")&amp;IF(AND(OR(TRIM($A212)="Denied",TRIM($A212)="Rejected"),$BA212=""),"Denial Reason, ","")&amp;IF(AND(TRIM($A212)="Denied",$BB212="",TRIM($BA212)&lt;&gt;"NO DENIAL"),"Denial Code, ","")&amp;IF(AND(TRIM($A212)&lt;&gt;"Finalized",$BD212=""),"Next Review Date, ","")&amp;IF(AND(TRIM($A212)&lt;&gt;"Finalized",$BE212=""),"Next Step, ","")&amp;IF(AND(TRIM($A212)="Finalized",$AV212="",$AR212="",$AT212="",$AX212="",$AW212=""),"CPT outcome, ",""))-2),"")</f>
        <v>Latest Date Worked, Last Action, Next Review Date</v>
      </c>
      <c r="BI212" s="15" t="str">
        <f aca="false">IF($BB212="","",IFERROR(INDEX('Denial Codes'!$C:$C,MATCH(LEFT($BB212,FIND(" - ",$BB212&amp;" - ")+2)&amp;"*",'Denial Codes'!$A:$A,0)),""))</f>
        <v/>
      </c>
      <c r="BJ212" s="15" t="str">
        <f aca="false">IF($BA212="","",IFERROR(INDEX(Lists!$B:$B,MATCH(TRIM($BA212),Lists!$A:$A,0))&amp;"",""))</f>
        <v>Verify eligibility; correct the member ID/MBI, name or DOB and resubmit.</v>
      </c>
    </row>
    <row r="213" customFormat="false" ht="15" hidden="false" customHeight="false" outlineLevel="0" collapsed="false">
      <c r="A213" s="7" t="s">
        <v>19</v>
      </c>
      <c r="B213" s="7" t="s">
        <v>1063</v>
      </c>
      <c r="C213" s="8" t="n">
        <v>563716478</v>
      </c>
      <c r="D213" s="9" t="n">
        <v>46267</v>
      </c>
      <c r="E213" s="10" t="s">
        <v>1064</v>
      </c>
      <c r="F213" s="11" t="n">
        <v>46202</v>
      </c>
      <c r="G213" s="10" t="s">
        <v>208</v>
      </c>
      <c r="H213" s="10" t="s">
        <v>163</v>
      </c>
      <c r="I213" s="10" t="s">
        <v>208</v>
      </c>
      <c r="J213" s="10" t="s">
        <v>400</v>
      </c>
      <c r="K213" s="9" t="n">
        <v>46275</v>
      </c>
      <c r="L213" s="12" t="n">
        <f aca="true">IF($O213="","",$O213-TODAY())</f>
        <v>-19</v>
      </c>
      <c r="M213" s="12" t="n">
        <f aca="true">IF(AND(TRIM($A213)="Finalized",$K213&lt;&gt;""),"",IF($F213="","",$F213+90-TODAY()))</f>
        <v>-19</v>
      </c>
      <c r="N213" s="12" t="n">
        <f aca="true">IF(AND(TRIM($A213)="Finalized",$K213&lt;&gt;""),"",IF($D213="","",$D213+365-TODAY()))</f>
        <v>321</v>
      </c>
      <c r="O213" s="11" t="n">
        <f aca="false">IF(AND(TRIM($A213)="Finalized",$K213&lt;&gt;""),"",DATE(2026,9,27))</f>
        <v>46292</v>
      </c>
      <c r="P213" s="10" t="s">
        <v>165</v>
      </c>
      <c r="Q213" s="10" t="s">
        <v>166</v>
      </c>
      <c r="R213" s="10" t="s">
        <v>165</v>
      </c>
      <c r="S213" s="10" t="s">
        <v>149</v>
      </c>
      <c r="T213" s="10" t="s">
        <v>114</v>
      </c>
      <c r="U213" s="10" t="s">
        <v>116</v>
      </c>
      <c r="V213" s="10" t="s">
        <v>303</v>
      </c>
      <c r="W213" s="10" t="s">
        <v>183</v>
      </c>
      <c r="X213" s="10"/>
      <c r="Y213" s="10"/>
      <c r="Z213" s="10"/>
      <c r="AA213" s="10" t="s">
        <v>197</v>
      </c>
      <c r="AB213" s="8" t="n">
        <f aca="true">IF($F213="","",TODAY()-$F213)</f>
        <v>109</v>
      </c>
      <c r="AC213" s="10" t="s">
        <v>185</v>
      </c>
      <c r="AD213" s="10" t="s">
        <v>184</v>
      </c>
      <c r="AE213" s="10"/>
      <c r="AF213" s="10"/>
      <c r="AG213" s="10"/>
      <c r="AH213" s="10"/>
      <c r="AI213" s="10"/>
      <c r="AJ213" s="10" t="s">
        <v>340</v>
      </c>
      <c r="AK213" s="10"/>
      <c r="AL213" s="10"/>
      <c r="AM213" s="10"/>
      <c r="AN213" s="8" t="s">
        <v>1065</v>
      </c>
      <c r="AO213" s="10" t="s">
        <v>336</v>
      </c>
      <c r="AP213" s="10" t="s">
        <v>268</v>
      </c>
      <c r="AQ213" s="11" t="n">
        <v>46217</v>
      </c>
      <c r="AR213" s="13"/>
      <c r="AS213" s="13"/>
      <c r="AT213" s="13"/>
      <c r="AU213" s="13"/>
      <c r="AV213" s="13" t="s">
        <v>189</v>
      </c>
      <c r="AW213" s="13"/>
      <c r="AX213" s="13" t="s">
        <v>189</v>
      </c>
      <c r="AY213" s="7" t="s">
        <v>233</v>
      </c>
      <c r="AZ213" s="7"/>
      <c r="BA213" s="7" t="s">
        <v>54</v>
      </c>
      <c r="BB213" s="7"/>
      <c r="BC213" s="7"/>
      <c r="BD213" s="9" t="n">
        <v>46305</v>
      </c>
      <c r="BE213" s="7" t="s">
        <v>1066</v>
      </c>
      <c r="BF213" s="14" t="str">
        <f aca="true">IF(TRIM($A213)="Finalized","Closed",IF($BD213="","No review date set",IF($BD213&lt;TODAY(),"OVERDUE",IF($BD213-TODAY()&lt;=7,"Due within 7 days","Scheduled"))))</f>
        <v>OVERDUE</v>
      </c>
      <c r="BG213" s="14" t="n">
        <f aca="true">IF($K213="","",TODAY()-$K213)</f>
        <v>36</v>
      </c>
      <c r="BH213" s="15" t="str">
        <f aca="false">IFERROR(LEFT(IF($B213="","Notes, ","")&amp;IF($K213="","Latest Date Worked, ","")&amp;IF($AY213="","Last Action, ","")&amp;IF(AND(OR(TRIM($A213)="Denied",TRIM($A213)="Rejected"),$BA213=""),"Denial Reason, ","")&amp;IF(AND(TRIM($A213)="Denied",$BB213="",TRIM($BA213)&lt;&gt;"NO DENIAL"),"Denial Code, ","")&amp;IF(AND(TRIM($A213)&lt;&gt;"Finalized",$BD213=""),"Next Review Date, ","")&amp;IF(AND(TRIM($A213)&lt;&gt;"Finalized",$BE213=""),"Next Step, ","")&amp;IF(AND(TRIM($A213)="Finalized",$AV213="",$AR213="",$AT213="",$AX213="",$AW213=""),"CPT outcome, ",""),LEN(IF($B213="","Notes, ","")&amp;IF($K213="","Latest Date Worked, ","")&amp;IF($AY213="","Last Action, ","")&amp;IF(AND(OR(TRIM($A213)="Denied",TRIM($A213)="Rejected"),$BA213=""),"Denial Reason, ","")&amp;IF(AND(TRIM($A213)="Denied",$BB213="",TRIM($BA213)&lt;&gt;"NO DENIAL"),"Denial Code, ","")&amp;IF(AND(TRIM($A213)&lt;&gt;"Finalized",$BD213=""),"Next Review Date, ","")&amp;IF(AND(TRIM($A213)&lt;&gt;"Finalized",$BE213=""),"Next Step, ","")&amp;IF(AND(TRIM($A213)="Finalized",$AV213="",$AR213="",$AT213="",$AX213="",$AW213=""),"CPT outcome, ",""))-2),"")</f>
        <v/>
      </c>
      <c r="BI213" s="15" t="str">
        <f aca="false">IF($BB213="","",IFERROR(INDEX('Denial Codes'!$C:$C,MATCH(LEFT($BB213,FIND(" - ",$BB213&amp;" - ")+2)&amp;"*",'Denial Codes'!$A:$A,0)),""))</f>
        <v/>
      </c>
      <c r="BJ213" s="15" t="str">
        <f aca="false">IF($BA213="","",IFERROR(INDEX(Lists!$B:$B,MATCH(TRIM($BA213),Lists!$A:$A,0))&amp;"",""))</f>
        <v/>
      </c>
    </row>
    <row r="214" customFormat="false" ht="15" hidden="false" customHeight="false" outlineLevel="0" collapsed="false">
      <c r="A214" s="7" t="s">
        <v>17</v>
      </c>
      <c r="B214" s="7" t="s">
        <v>1067</v>
      </c>
      <c r="C214" s="8" t="n">
        <v>564053524</v>
      </c>
      <c r="D214" s="9" t="n">
        <v>46220</v>
      </c>
      <c r="E214" s="10" t="s">
        <v>1068</v>
      </c>
      <c r="F214" s="11" t="n">
        <v>46202</v>
      </c>
      <c r="G214" s="10" t="s">
        <v>369</v>
      </c>
      <c r="H214" s="10" t="s">
        <v>369</v>
      </c>
      <c r="I214" s="10" t="s">
        <v>129</v>
      </c>
      <c r="J214" s="10" t="s">
        <v>583</v>
      </c>
      <c r="K214" s="9" t="n">
        <v>46282</v>
      </c>
      <c r="L214" s="12" t="n">
        <f aca="true">IF($O214="","",$O214-TODAY())</f>
        <v>-19</v>
      </c>
      <c r="M214" s="12" t="n">
        <f aca="true">IF(AND(TRIM($A214)="Finalized",$K214&lt;&gt;""),"",IF($D214="","",$D214+365-TODAY()))</f>
        <v>274</v>
      </c>
      <c r="N214" s="12" t="n">
        <f aca="true">IF(AND(TRIM($A214)="Finalized",$K214&lt;&gt;""),"",IF($D214="","",$D214+365-TODAY()))</f>
        <v>274</v>
      </c>
      <c r="O214" s="11" t="n">
        <f aca="false">IF(AND(TRIM($A214)="Finalized",$K214&lt;&gt;""),"",DATE(2026,9,27))</f>
        <v>46292</v>
      </c>
      <c r="P214" s="10" t="s">
        <v>165</v>
      </c>
      <c r="Q214" s="10" t="s">
        <v>371</v>
      </c>
      <c r="R214" s="10" t="s">
        <v>114</v>
      </c>
      <c r="S214" s="10" t="s">
        <v>116</v>
      </c>
      <c r="T214" s="10" t="s">
        <v>114</v>
      </c>
      <c r="U214" s="10" t="s">
        <v>116</v>
      </c>
      <c r="V214" s="10" t="s">
        <v>303</v>
      </c>
      <c r="W214" s="10" t="s">
        <v>119</v>
      </c>
      <c r="X214" s="10" t="s">
        <v>151</v>
      </c>
      <c r="Y214" s="10"/>
      <c r="Z214" s="10"/>
      <c r="AA214" s="10" t="s">
        <v>197</v>
      </c>
      <c r="AB214" s="8" t="n">
        <f aca="true">IF($F214="","",TODAY()-$F214)</f>
        <v>109</v>
      </c>
      <c r="AC214" s="10" t="s">
        <v>584</v>
      </c>
      <c r="AD214" s="10"/>
      <c r="AE214" s="10"/>
      <c r="AF214" s="10"/>
      <c r="AG214" s="10"/>
      <c r="AH214" s="10"/>
      <c r="AI214" s="10"/>
      <c r="AJ214" s="10" t="s">
        <v>1069</v>
      </c>
      <c r="AK214" s="10" t="s">
        <v>586</v>
      </c>
      <c r="AL214" s="10"/>
      <c r="AM214" s="10"/>
      <c r="AN214" s="8"/>
      <c r="AO214" s="10" t="s">
        <v>569</v>
      </c>
      <c r="AP214" s="10" t="s">
        <v>188</v>
      </c>
      <c r="AQ214" s="11" t="n">
        <v>46204</v>
      </c>
      <c r="AR214" s="13"/>
      <c r="AS214" s="13"/>
      <c r="AT214" s="13"/>
      <c r="AU214" s="13"/>
      <c r="AV214" s="13"/>
      <c r="AW214" s="13"/>
      <c r="AX214" s="13" t="s">
        <v>584</v>
      </c>
      <c r="AY214" s="7" t="s">
        <v>203</v>
      </c>
      <c r="AZ214" s="7"/>
      <c r="BA214" s="7" t="s">
        <v>36</v>
      </c>
      <c r="BB214" s="7" t="s">
        <v>204</v>
      </c>
      <c r="BC214" s="7" t="s">
        <v>1070</v>
      </c>
      <c r="BD214" s="9" t="n">
        <v>46312</v>
      </c>
      <c r="BE214" s="7"/>
      <c r="BF214" s="14" t="str">
        <f aca="true">IF(TRIM($A214)="Finalized","Closed",IF($BD214="","No review date set",IF($BD214&lt;TODAY(),"OVERDUE",IF($BD214-TODAY()&lt;=7,"Due within 7 days","Scheduled"))))</f>
        <v>Due within 7 days</v>
      </c>
      <c r="BG214" s="14" t="n">
        <f aca="true">IF($K214="","",TODAY()-$K214)</f>
        <v>29</v>
      </c>
      <c r="BH214" s="15" t="str">
        <f aca="false">IFERROR(LEFT(IF($B214="","Notes, ","")&amp;IF($K214="","Latest Date Worked, ","")&amp;IF($AY214="","Last Action, ","")&amp;IF(AND(OR(TRIM($A214)="Denied",TRIM($A214)="Rejected"),$BA214=""),"Denial Reason, ","")&amp;IF(AND(TRIM($A214)="Denied",$BB214="",TRIM($BA214)&lt;&gt;"NO DENIAL"),"Denial Code, ","")&amp;IF(AND(TRIM($A214)&lt;&gt;"Finalized",$BD214=""),"Next Review Date, ","")&amp;IF(AND(TRIM($A214)&lt;&gt;"Finalized",$BE214=""),"Next Step, ","")&amp;IF(AND(TRIM($A214)="Finalized",$AV214="",$AR214="",$AT214="",$AX214="",$AW214=""),"CPT outcome, ",""),LEN(IF($B214="","Notes, ","")&amp;IF($K214="","Latest Date Worked, ","")&amp;IF($AY214="","Last Action, ","")&amp;IF(AND(OR(TRIM($A214)="Denied",TRIM($A214)="Rejected"),$BA214=""),"Denial Reason, ","")&amp;IF(AND(TRIM($A214)="Denied",$BB214="",TRIM($BA214)&lt;&gt;"NO DENIAL"),"Denial Code, ","")&amp;IF(AND(TRIM($A214)&lt;&gt;"Finalized",$BD214=""),"Next Review Date, ","")&amp;IF(AND(TRIM($A214)&lt;&gt;"Finalized",$BE214=""),"Next Step, ","")&amp;IF(AND(TRIM($A214)="Finalized",$AV214="",$AR214="",$AT214="",$AX214="",$AW214=""),"CPT outcome, ",""))-2),"")</f>
        <v>Next Step</v>
      </c>
      <c r="BI214" s="15" t="str">
        <f aca="false">IF($BB214="","",IFERROR(INDEX('Denial Codes'!$C:$C,MATCH(LEFT($BB214,FIND(" - ",$BB214&amp;" - ")+2)&amp;"*",'Denial Codes'!$A:$A,0)),""))</f>
        <v>Medical records needed</v>
      </c>
      <c r="BJ214" s="15" t="str">
        <f aca="false">IF($BA214="","",IFERROR(INDEX(Lists!$B:$B,MATCH(TRIM($BA214),Lists!$A:$A,0))&amp;"",""))</f>
        <v>Upload the MR on the payer portal, note the PIQ/reference number and set a review date.</v>
      </c>
    </row>
    <row r="215" customFormat="false" ht="15" hidden="false" customHeight="false" outlineLevel="0" collapsed="false">
      <c r="A215" s="7" t="s">
        <v>16</v>
      </c>
      <c r="B215" s="7" t="s">
        <v>1071</v>
      </c>
      <c r="C215" s="8" t="n">
        <v>572251031</v>
      </c>
      <c r="D215" s="9" t="n">
        <v>46210</v>
      </c>
      <c r="E215" s="10" t="s">
        <v>776</v>
      </c>
      <c r="F215" s="11" t="n">
        <v>46202</v>
      </c>
      <c r="G215" s="10" t="s">
        <v>163</v>
      </c>
      <c r="H215" s="10" t="s">
        <v>163</v>
      </c>
      <c r="I215" s="10" t="s">
        <v>129</v>
      </c>
      <c r="J215" s="10" t="s">
        <v>228</v>
      </c>
      <c r="K215" s="9" t="n">
        <v>46283</v>
      </c>
      <c r="L215" s="12" t="str">
        <f aca="true">IF($O215="","",$O215-TODAY())</f>
        <v/>
      </c>
      <c r="M215" s="12" t="str">
        <f aca="true">IF(AND(TRIM($A215)="Finalized",$K215&lt;&gt;""),"",IF($F215="","",$F215+90-TODAY()))</f>
        <v/>
      </c>
      <c r="N215" s="12" t="str">
        <f aca="true">IF(AND(TRIM($A215)="Finalized",$K215&lt;&gt;""),"",IF($D215="","",$D215+365-TODAY()))</f>
        <v/>
      </c>
      <c r="O215" s="11" t="str">
        <f aca="false">IF(AND(TRIM($A215)="Finalized",$K215&lt;&gt;""),"",DATE(2026,9,27))</f>
        <v/>
      </c>
      <c r="P215" s="10" t="s">
        <v>165</v>
      </c>
      <c r="Q215" s="10" t="s">
        <v>166</v>
      </c>
      <c r="R215" s="10" t="s">
        <v>165</v>
      </c>
      <c r="S215" s="10" t="s">
        <v>149</v>
      </c>
      <c r="T215" s="10" t="s">
        <v>114</v>
      </c>
      <c r="U215" s="10" t="s">
        <v>116</v>
      </c>
      <c r="V215" s="10" t="s">
        <v>303</v>
      </c>
      <c r="W215" s="10" t="s">
        <v>119</v>
      </c>
      <c r="X215" s="10" t="s">
        <v>229</v>
      </c>
      <c r="Y215" s="10"/>
      <c r="Z215" s="10"/>
      <c r="AA215" s="10" t="s">
        <v>230</v>
      </c>
      <c r="AB215" s="8" t="n">
        <f aca="true">IF($F215="","",TODAY()-$F215)</f>
        <v>109</v>
      </c>
      <c r="AC215" s="10" t="s">
        <v>122</v>
      </c>
      <c r="AD215" s="10"/>
      <c r="AE215" s="10"/>
      <c r="AF215" s="10"/>
      <c r="AG215" s="10"/>
      <c r="AH215" s="10"/>
      <c r="AI215" s="10"/>
      <c r="AJ215" s="10" t="s">
        <v>123</v>
      </c>
      <c r="AK215" s="10"/>
      <c r="AL215" s="10"/>
      <c r="AM215" s="10"/>
      <c r="AN215" s="8"/>
      <c r="AO215" s="10" t="s">
        <v>213</v>
      </c>
      <c r="AP215" s="10" t="s">
        <v>1072</v>
      </c>
      <c r="AQ215" s="11" t="n">
        <v>46205</v>
      </c>
      <c r="AR215" s="13"/>
      <c r="AS215" s="13"/>
      <c r="AT215" s="13"/>
      <c r="AU215" s="13"/>
      <c r="AV215" s="13" t="s">
        <v>122</v>
      </c>
      <c r="AW215" s="13"/>
      <c r="AX215" s="13" t="s">
        <v>122</v>
      </c>
      <c r="AY215" s="7" t="s">
        <v>363</v>
      </c>
      <c r="AZ215" s="7" t="s">
        <v>159</v>
      </c>
      <c r="BA215" s="7" t="s">
        <v>45</v>
      </c>
      <c r="BB215" s="7" t="s">
        <v>1073</v>
      </c>
      <c r="BC215" s="7"/>
      <c r="BD215" s="9"/>
      <c r="BE215" s="7"/>
      <c r="BF215" s="14" t="str">
        <f aca="true">IF(TRIM($A215)="Finalized","Closed",IF($BD215="","No review date set",IF($BD215&lt;TODAY(),"OVERDUE",IF($BD215-TODAY()&lt;=7,"Due within 7 days","Scheduled"))))</f>
        <v>Closed</v>
      </c>
      <c r="BG215" s="14" t="n">
        <f aca="true">IF($K215="","",TODAY()-$K215)</f>
        <v>28</v>
      </c>
      <c r="BH215" s="15" t="str">
        <f aca="false">IFERROR(LEFT(IF($B215="","Notes, ","")&amp;IF($K215="","Latest Date Worked, ","")&amp;IF($AY215="","Last Action, ","")&amp;IF(AND(OR(TRIM($A215)="Denied",TRIM($A215)="Rejected"),$BA215=""),"Denial Reason, ","")&amp;IF(AND(TRIM($A215)="Denied",$BB215="",TRIM($BA215)&lt;&gt;"NO DENIAL"),"Denial Code, ","")&amp;IF(AND(TRIM($A215)&lt;&gt;"Finalized",$BD215=""),"Next Review Date, ","")&amp;IF(AND(TRIM($A215)&lt;&gt;"Finalized",$BE215=""),"Next Step, ","")&amp;IF(AND(TRIM($A215)="Finalized",$AV215="",$AR215="",$AT215="",$AX215="",$AW215=""),"CPT outcome, ",""),LEN(IF($B215="","Notes, ","")&amp;IF($K215="","Latest Date Worked, ","")&amp;IF($AY215="","Last Action, ","")&amp;IF(AND(OR(TRIM($A215)="Denied",TRIM($A215)="Rejected"),$BA215=""),"Denial Reason, ","")&amp;IF(AND(TRIM($A215)="Denied",$BB215="",TRIM($BA215)&lt;&gt;"NO DENIAL"),"Denial Code, ","")&amp;IF(AND(TRIM($A215)&lt;&gt;"Finalized",$BD215=""),"Next Review Date, ","")&amp;IF(AND(TRIM($A215)&lt;&gt;"Finalized",$BE215=""),"Next Step, ","")&amp;IF(AND(TRIM($A215)="Finalized",$AV215="",$AR215="",$AT215="",$AX215="",$AW215=""),"CPT outcome, ",""))-2),"")</f>
        <v/>
      </c>
      <c r="BI215" s="15" t="str">
        <f aca="false">IF($BB215="","",IFERROR(INDEX('Denial Codes'!$C:$C,MATCH(LEFT($BB215,FIND(" - ",$BB215&amp;" - ")+2)&amp;"*",'Denial Codes'!$A:$A,0)),""))</f>
        <v>Other insurance / COB</v>
      </c>
      <c r="BJ215" s="15" t="str">
        <f aca="false">IF($BA215="","",IFERROR(INDEX(Lists!$B:$B,MATCH(TRIM($BA215),Lists!$A:$A,0))&amp;"",""))</f>
        <v>Get the other insurance and primary EOB, update COB with the payer and bill primary first.</v>
      </c>
    </row>
    <row r="216" customFormat="false" ht="15" hidden="false" customHeight="false" outlineLevel="0" collapsed="false">
      <c r="A216" s="7" t="s">
        <v>17</v>
      </c>
      <c r="B216" s="7" t="s">
        <v>1074</v>
      </c>
      <c r="C216" s="8" t="n">
        <v>565098609</v>
      </c>
      <c r="D216" s="9" t="n">
        <v>46262</v>
      </c>
      <c r="E216" s="10" t="s">
        <v>1075</v>
      </c>
      <c r="F216" s="11" t="n">
        <v>46202</v>
      </c>
      <c r="G216" s="10" t="s">
        <v>347</v>
      </c>
      <c r="H216" s="10" t="s">
        <v>347</v>
      </c>
      <c r="I216" s="10" t="s">
        <v>129</v>
      </c>
      <c r="J216" s="10" t="s">
        <v>1076</v>
      </c>
      <c r="K216" s="9" t="n">
        <v>46283</v>
      </c>
      <c r="L216" s="12" t="n">
        <f aca="true">IF($O216="","",$O216-TODAY())</f>
        <v>-19</v>
      </c>
      <c r="M216" s="12" t="n">
        <f aca="true">IF(AND(TRIM($A216)="Finalized",$K216&lt;&gt;""),"",IF($F216="","",$F216+90-TODAY()))</f>
        <v>-19</v>
      </c>
      <c r="N216" s="12" t="n">
        <f aca="true">IF(AND(TRIM($A216)="Finalized",$K216&lt;&gt;""),"",IF($D216="","",$D216+540-TODAY()))</f>
        <v>491</v>
      </c>
      <c r="O216" s="11" t="n">
        <f aca="false">IF(AND(TRIM($A216)="Finalized",$K216&lt;&gt;""),"",DATE(2026,9,27))</f>
        <v>46292</v>
      </c>
      <c r="P216" s="10" t="s">
        <v>165</v>
      </c>
      <c r="Q216" s="10" t="s">
        <v>348</v>
      </c>
      <c r="R216" s="10" t="s">
        <v>165</v>
      </c>
      <c r="S216" s="10" t="s">
        <v>149</v>
      </c>
      <c r="T216" s="10" t="s">
        <v>349</v>
      </c>
      <c r="U216" s="10" t="s">
        <v>116</v>
      </c>
      <c r="V216" s="10" t="s">
        <v>303</v>
      </c>
      <c r="W216" s="10" t="s">
        <v>434</v>
      </c>
      <c r="X216" s="10" t="s">
        <v>478</v>
      </c>
      <c r="Y216" s="10" t="s">
        <v>930</v>
      </c>
      <c r="Z216" s="10" t="s">
        <v>436</v>
      </c>
      <c r="AA216" s="10" t="s">
        <v>1077</v>
      </c>
      <c r="AB216" s="8" t="n">
        <f aca="true">IF($F216="","",TODAY()-$F216)</f>
        <v>109</v>
      </c>
      <c r="AC216" s="10" t="s">
        <v>441</v>
      </c>
      <c r="AD216" s="10" t="s">
        <v>657</v>
      </c>
      <c r="AE216" s="10" t="s">
        <v>443</v>
      </c>
      <c r="AF216" s="10" t="s">
        <v>439</v>
      </c>
      <c r="AG216" s="10" t="s">
        <v>440</v>
      </c>
      <c r="AH216" s="10"/>
      <c r="AI216" s="10"/>
      <c r="AJ216" s="10" t="s">
        <v>444</v>
      </c>
      <c r="AK216" s="10" t="s">
        <v>445</v>
      </c>
      <c r="AL216" s="10" t="s">
        <v>446</v>
      </c>
      <c r="AM216" s="10"/>
      <c r="AN216" s="8"/>
      <c r="AO216" s="10" t="s">
        <v>447</v>
      </c>
      <c r="AP216" s="10" t="s">
        <v>327</v>
      </c>
      <c r="AQ216" s="11" t="n">
        <v>46216</v>
      </c>
      <c r="AR216" s="13"/>
      <c r="AS216" s="13"/>
      <c r="AT216" s="13"/>
      <c r="AU216" s="13"/>
      <c r="AV216" s="13" t="s">
        <v>1078</v>
      </c>
      <c r="AW216" s="13"/>
      <c r="AX216" s="13" t="s">
        <v>1079</v>
      </c>
      <c r="AY216" s="7" t="s">
        <v>203</v>
      </c>
      <c r="AZ216" s="7" t="s">
        <v>203</v>
      </c>
      <c r="BA216" s="7" t="s">
        <v>36</v>
      </c>
      <c r="BB216" s="7" t="s">
        <v>204</v>
      </c>
      <c r="BC216" s="7" t="s">
        <v>1080</v>
      </c>
      <c r="BD216" s="9" t="n">
        <v>46313</v>
      </c>
      <c r="BE216" s="7"/>
      <c r="BF216" s="14" t="str">
        <f aca="true">IF(TRIM($A216)="Finalized","Closed",IF($BD216="","No review date set",IF($BD216&lt;TODAY(),"OVERDUE",IF($BD216-TODAY()&lt;=7,"Due within 7 days","Scheduled"))))</f>
        <v>Due within 7 days</v>
      </c>
      <c r="BG216" s="14" t="n">
        <f aca="true">IF($K216="","",TODAY()-$K216)</f>
        <v>28</v>
      </c>
      <c r="BH216" s="15" t="str">
        <f aca="false">IFERROR(LEFT(IF($B216="","Notes, ","")&amp;IF($K216="","Latest Date Worked, ","")&amp;IF($AY216="","Last Action, ","")&amp;IF(AND(OR(TRIM($A216)="Denied",TRIM($A216)="Rejected"),$BA216=""),"Denial Reason, ","")&amp;IF(AND(TRIM($A216)="Denied",$BB216="",TRIM($BA216)&lt;&gt;"NO DENIAL"),"Denial Code, ","")&amp;IF(AND(TRIM($A216)&lt;&gt;"Finalized",$BD216=""),"Next Review Date, ","")&amp;IF(AND(TRIM($A216)&lt;&gt;"Finalized",$BE216=""),"Next Step, ","")&amp;IF(AND(TRIM($A216)="Finalized",$AV216="",$AR216="",$AT216="",$AX216="",$AW216=""),"CPT outcome, ",""),LEN(IF($B216="","Notes, ","")&amp;IF($K216="","Latest Date Worked, ","")&amp;IF($AY216="","Last Action, ","")&amp;IF(AND(OR(TRIM($A216)="Denied",TRIM($A216)="Rejected"),$BA216=""),"Denial Reason, ","")&amp;IF(AND(TRIM($A216)="Denied",$BB216="",TRIM($BA216)&lt;&gt;"NO DENIAL"),"Denial Code, ","")&amp;IF(AND(TRIM($A216)&lt;&gt;"Finalized",$BD216=""),"Next Review Date, ","")&amp;IF(AND(TRIM($A216)&lt;&gt;"Finalized",$BE216=""),"Next Step, ","")&amp;IF(AND(TRIM($A216)="Finalized",$AV216="",$AR216="",$AT216="",$AX216="",$AW216=""),"CPT outcome, ",""))-2),"")</f>
        <v>Next Step</v>
      </c>
      <c r="BI216" s="15" t="str">
        <f aca="false">IF($BB216="","",IFERROR(INDEX('Denial Codes'!$C:$C,MATCH(LEFT($BB216,FIND(" - ",$BB216&amp;" - ")+2)&amp;"*",'Denial Codes'!$A:$A,0)),""))</f>
        <v>Medical records needed</v>
      </c>
      <c r="BJ216" s="15" t="str">
        <f aca="false">IF($BA216="","",IFERROR(INDEX(Lists!$B:$B,MATCH(TRIM($BA216),Lists!$A:$A,0))&amp;"",""))</f>
        <v>Upload the MR on the payer portal, note the PIQ/reference number and set a review date.</v>
      </c>
    </row>
    <row r="217" customFormat="false" ht="15" hidden="false" customHeight="false" outlineLevel="0" collapsed="false">
      <c r="A217" s="7" t="s">
        <v>19</v>
      </c>
      <c r="B217" s="7" t="s">
        <v>203</v>
      </c>
      <c r="C217" s="8" t="n">
        <v>566323995</v>
      </c>
      <c r="D217" s="9" t="n">
        <v>46276</v>
      </c>
      <c r="E217" s="10" t="s">
        <v>1081</v>
      </c>
      <c r="F217" s="11" t="n">
        <v>46202</v>
      </c>
      <c r="G217" s="10" t="s">
        <v>208</v>
      </c>
      <c r="H217" s="10" t="s">
        <v>208</v>
      </c>
      <c r="I217" s="10" t="s">
        <v>129</v>
      </c>
      <c r="J217" s="10" t="s">
        <v>1082</v>
      </c>
      <c r="K217" s="9" t="n">
        <v>46283</v>
      </c>
      <c r="L217" s="12" t="n">
        <f aca="true">IF($O217="","",$O217-TODAY())</f>
        <v>-19</v>
      </c>
      <c r="M217" s="12" t="n">
        <f aca="true">IF(AND(TRIM($A217)="Finalized",$K217&lt;&gt;""),"",IF($D217="","",$D217+180-TODAY()))</f>
        <v>145</v>
      </c>
      <c r="N217" s="12" t="n">
        <f aca="true">IF(AND(TRIM($A217)="Finalized",$K217&lt;&gt;""),"",IF($D217="","",$D217+365-TODAY()))</f>
        <v>330</v>
      </c>
      <c r="O217" s="11" t="n">
        <f aca="false">IF(AND(TRIM($A217)="Finalized",$K217&lt;&gt;""),"",DATE(2026,9,27))</f>
        <v>46292</v>
      </c>
      <c r="P217" s="10" t="s">
        <v>165</v>
      </c>
      <c r="Q217" s="10" t="s">
        <v>210</v>
      </c>
      <c r="R217" s="10" t="s">
        <v>147</v>
      </c>
      <c r="S217" s="10" t="s">
        <v>116</v>
      </c>
      <c r="T217" s="10" t="s">
        <v>114</v>
      </c>
      <c r="U217" s="10" t="s">
        <v>116</v>
      </c>
      <c r="V217" s="10" t="s">
        <v>303</v>
      </c>
      <c r="W217" s="10" t="s">
        <v>434</v>
      </c>
      <c r="X217" s="10" t="s">
        <v>621</v>
      </c>
      <c r="Y217" s="10"/>
      <c r="Z217" s="10"/>
      <c r="AA217" s="10" t="s">
        <v>197</v>
      </c>
      <c r="AB217" s="8" t="n">
        <f aca="true">IF($F217="","",TODAY()-$F217)</f>
        <v>109</v>
      </c>
      <c r="AC217" s="10" t="s">
        <v>440</v>
      </c>
      <c r="AD217" s="10" t="s">
        <v>443</v>
      </c>
      <c r="AE217" s="10" t="s">
        <v>1083</v>
      </c>
      <c r="AF217" s="10"/>
      <c r="AG217" s="10"/>
      <c r="AH217" s="10"/>
      <c r="AI217" s="10"/>
      <c r="AJ217" s="10" t="s">
        <v>1084</v>
      </c>
      <c r="AK217" s="10"/>
      <c r="AL217" s="10"/>
      <c r="AM217" s="10"/>
      <c r="AN217" s="8"/>
      <c r="AO217" s="10" t="s">
        <v>962</v>
      </c>
      <c r="AP217" s="10" t="s">
        <v>175</v>
      </c>
      <c r="AQ217" s="11" t="n">
        <v>46225</v>
      </c>
      <c r="AR217" s="13"/>
      <c r="AS217" s="13"/>
      <c r="AT217" s="13"/>
      <c r="AU217" s="13"/>
      <c r="AV217" s="13"/>
      <c r="AW217" s="13"/>
      <c r="AX217" s="13"/>
      <c r="AY217" s="7" t="s">
        <v>203</v>
      </c>
      <c r="AZ217" s="7"/>
      <c r="BA217" s="7" t="s">
        <v>36</v>
      </c>
      <c r="BB217" s="7" t="s">
        <v>204</v>
      </c>
      <c r="BC217" s="7" t="s">
        <v>1085</v>
      </c>
      <c r="BD217" s="9" t="n">
        <v>46313</v>
      </c>
      <c r="BE217" s="7"/>
      <c r="BF217" s="14" t="str">
        <f aca="true">IF(TRIM($A217)="Finalized","Closed",IF($BD217="","No review date set",IF($BD217&lt;TODAY(),"OVERDUE",IF($BD217-TODAY()&lt;=7,"Due within 7 days","Scheduled"))))</f>
        <v>Due within 7 days</v>
      </c>
      <c r="BG217" s="14" t="n">
        <f aca="true">IF($K217="","",TODAY()-$K217)</f>
        <v>28</v>
      </c>
      <c r="BH217" s="15" t="str">
        <f aca="false">IFERROR(LEFT(IF($B217="","Notes, ","")&amp;IF($K217="","Latest Date Worked, ","")&amp;IF($AY217="","Last Action, ","")&amp;IF(AND(OR(TRIM($A217)="Denied",TRIM($A217)="Rejected"),$BA217=""),"Denial Reason, ","")&amp;IF(AND(TRIM($A217)="Denied",$BB217="",TRIM($BA217)&lt;&gt;"NO DENIAL"),"Denial Code, ","")&amp;IF(AND(TRIM($A217)&lt;&gt;"Finalized",$BD217=""),"Next Review Date, ","")&amp;IF(AND(TRIM($A217)&lt;&gt;"Finalized",$BE217=""),"Next Step, ","")&amp;IF(AND(TRIM($A217)="Finalized",$AV217="",$AR217="",$AT217="",$AX217="",$AW217=""),"CPT outcome, ",""),LEN(IF($B217="","Notes, ","")&amp;IF($K217="","Latest Date Worked, ","")&amp;IF($AY217="","Last Action, ","")&amp;IF(AND(OR(TRIM($A217)="Denied",TRIM($A217)="Rejected"),$BA217=""),"Denial Reason, ","")&amp;IF(AND(TRIM($A217)="Denied",$BB217="",TRIM($BA217)&lt;&gt;"NO DENIAL"),"Denial Code, ","")&amp;IF(AND(TRIM($A217)&lt;&gt;"Finalized",$BD217=""),"Next Review Date, ","")&amp;IF(AND(TRIM($A217)&lt;&gt;"Finalized",$BE217=""),"Next Step, ","")&amp;IF(AND(TRIM($A217)="Finalized",$AV217="",$AR217="",$AT217="",$AX217="",$AW217=""),"CPT outcome, ",""))-2),"")</f>
        <v>Next Step</v>
      </c>
      <c r="BI217" s="15" t="str">
        <f aca="false">IF($BB217="","",IFERROR(INDEX('Denial Codes'!$C:$C,MATCH(LEFT($BB217,FIND(" - ",$BB217&amp;" - ")+2)&amp;"*",'Denial Codes'!$A:$A,0)),""))</f>
        <v>Medical records needed</v>
      </c>
      <c r="BJ217" s="15" t="str">
        <f aca="false">IF($BA217="","",IFERROR(INDEX(Lists!$B:$B,MATCH(TRIM($BA217),Lists!$A:$A,0))&amp;"",""))</f>
        <v>Upload the MR on the payer portal, note the PIQ/reference number and set a review date.</v>
      </c>
    </row>
    <row r="218" customFormat="false" ht="15" hidden="false" customHeight="false" outlineLevel="0" collapsed="false">
      <c r="A218" s="7" t="s">
        <v>19</v>
      </c>
      <c r="B218" s="7" t="s">
        <v>916</v>
      </c>
      <c r="C218" s="8" t="n">
        <v>564070165</v>
      </c>
      <c r="D218" s="9" t="n">
        <v>46280</v>
      </c>
      <c r="E218" s="10" t="s">
        <v>1086</v>
      </c>
      <c r="F218" s="11" t="n">
        <v>46203</v>
      </c>
      <c r="G218" s="10" t="s">
        <v>208</v>
      </c>
      <c r="H218" s="10" t="s">
        <v>208</v>
      </c>
      <c r="I218" s="10" t="s">
        <v>1087</v>
      </c>
      <c r="J218" s="10" t="s">
        <v>1088</v>
      </c>
      <c r="K218" s="9" t="n">
        <v>46204</v>
      </c>
      <c r="L218" s="12" t="n">
        <f aca="true">IF($O218="","",$O218-TODAY())</f>
        <v>-18</v>
      </c>
      <c r="M218" s="12" t="n">
        <f aca="true">IF(AND(TRIM($A218)="Finalized",$K218&lt;&gt;""),"",IF($D218="","",$D218+180-TODAY()))</f>
        <v>149</v>
      </c>
      <c r="N218" s="12" t="n">
        <f aca="true">IF(AND(TRIM($A218)="Finalized",$K218&lt;&gt;""),"",IF($D218="","",$D218+365-TODAY()))</f>
        <v>334</v>
      </c>
      <c r="O218" s="11" t="n">
        <f aca="false">IF(AND(TRIM($A218)="Finalized",$K218&lt;&gt;""),"",DATE(2026,9,28))</f>
        <v>46293</v>
      </c>
      <c r="P218" s="10" t="s">
        <v>165</v>
      </c>
      <c r="Q218" s="10" t="s">
        <v>210</v>
      </c>
      <c r="R218" s="10" t="s">
        <v>147</v>
      </c>
      <c r="S218" s="10" t="s">
        <v>116</v>
      </c>
      <c r="T218" s="10" t="s">
        <v>114</v>
      </c>
      <c r="U218" s="10" t="s">
        <v>116</v>
      </c>
      <c r="V218" s="10" t="s">
        <v>303</v>
      </c>
      <c r="W218" s="10" t="s">
        <v>196</v>
      </c>
      <c r="X218" s="10"/>
      <c r="Y218" s="10"/>
      <c r="Z218" s="10"/>
      <c r="AA218" s="10" t="s">
        <v>197</v>
      </c>
      <c r="AB218" s="8" t="n">
        <f aca="true">IF($F218="","",TODAY()-$F218)</f>
        <v>108</v>
      </c>
      <c r="AC218" s="10" t="s">
        <v>487</v>
      </c>
      <c r="AD218" s="10" t="s">
        <v>222</v>
      </c>
      <c r="AE218" s="10" t="s">
        <v>198</v>
      </c>
      <c r="AF218" s="10"/>
      <c r="AG218" s="10"/>
      <c r="AH218" s="10"/>
      <c r="AI218" s="10"/>
      <c r="AJ218" s="10" t="s">
        <v>414</v>
      </c>
      <c r="AK218" s="10" t="s">
        <v>1089</v>
      </c>
      <c r="AL218" s="10" t="s">
        <v>350</v>
      </c>
      <c r="AM218" s="10"/>
      <c r="AN218" s="8"/>
      <c r="AO218" s="10" t="s">
        <v>201</v>
      </c>
      <c r="AP218" s="10" t="s">
        <v>202</v>
      </c>
      <c r="AQ218" s="11" t="n">
        <v>46204</v>
      </c>
      <c r="AR218" s="13"/>
      <c r="AS218" s="13"/>
      <c r="AT218" s="13"/>
      <c r="AU218" s="13"/>
      <c r="AV218" s="13" t="s">
        <v>1090</v>
      </c>
      <c r="AW218" s="13"/>
      <c r="AX218" s="13" t="s">
        <v>1090</v>
      </c>
      <c r="AY218" s="7"/>
      <c r="AZ218" s="7"/>
      <c r="BA218" s="7"/>
      <c r="BB218" s="7"/>
      <c r="BC218" s="7"/>
      <c r="BD218" s="9" t="n">
        <v>46235</v>
      </c>
      <c r="BE218" s="7"/>
      <c r="BF218" s="14" t="str">
        <f aca="true">IF(TRIM($A218)="Finalized","Closed",IF($BD218="","No review date set",IF($BD218&lt;TODAY(),"OVERDUE",IF($BD218-TODAY()&lt;=7,"Due within 7 days","Scheduled"))))</f>
        <v>OVERDUE</v>
      </c>
      <c r="BG218" s="14" t="n">
        <f aca="true">IF($K218="","",TODAY()-$K218)</f>
        <v>107</v>
      </c>
      <c r="BH218" s="15" t="str">
        <f aca="false">IFERROR(LEFT(IF($B218="","Notes, ","")&amp;IF($K218="","Latest Date Worked, ","")&amp;IF($AY218="","Last Action, ","")&amp;IF(AND(OR(TRIM($A218)="Denied",TRIM($A218)="Rejected"),$BA218=""),"Denial Reason, ","")&amp;IF(AND(TRIM($A218)="Denied",$BB218="",TRIM($BA218)&lt;&gt;"NO DENIAL"),"Denial Code, ","")&amp;IF(AND(TRIM($A218)&lt;&gt;"Finalized",$BD218=""),"Next Review Date, ","")&amp;IF(AND(TRIM($A218)&lt;&gt;"Finalized",$BE218=""),"Next Step, ","")&amp;IF(AND(TRIM($A218)="Finalized",$AV218="",$AR218="",$AT218="",$AX218="",$AW218=""),"CPT outcome, ",""),LEN(IF($B218="","Notes, ","")&amp;IF($K218="","Latest Date Worked, ","")&amp;IF($AY218="","Last Action, ","")&amp;IF(AND(OR(TRIM($A218)="Denied",TRIM($A218)="Rejected"),$BA218=""),"Denial Reason, ","")&amp;IF(AND(TRIM($A218)="Denied",$BB218="",TRIM($BA218)&lt;&gt;"NO DENIAL"),"Denial Code, ","")&amp;IF(AND(TRIM($A218)&lt;&gt;"Finalized",$BD218=""),"Next Review Date, ","")&amp;IF(AND(TRIM($A218)&lt;&gt;"Finalized",$BE218=""),"Next Step, ","")&amp;IF(AND(TRIM($A218)="Finalized",$AV218="",$AR218="",$AT218="",$AX218="",$AW218=""),"CPT outcome, ",""))-2),"")</f>
        <v>Last Action, Next Step</v>
      </c>
      <c r="BI218" s="15" t="str">
        <f aca="false">IF($BB218="","",IFERROR(INDEX('Denial Codes'!$C:$C,MATCH(LEFT($BB218,FIND(" - ",$BB218&amp;" - ")+2)&amp;"*",'Denial Codes'!$A:$A,0)),""))</f>
        <v/>
      </c>
      <c r="BJ218" s="15" t="str">
        <f aca="false">IF($BA218="","",IFERROR(INDEX(Lists!$B:$B,MATCH(TRIM($BA218),Lists!$A:$A,0))&amp;"",""))</f>
        <v/>
      </c>
    </row>
    <row r="219" customFormat="false" ht="15" hidden="false" customHeight="false" outlineLevel="0" collapsed="false">
      <c r="A219" s="7" t="s">
        <v>17</v>
      </c>
      <c r="B219" s="7" t="s">
        <v>1091</v>
      </c>
      <c r="C219" s="8" t="n">
        <v>564121445</v>
      </c>
      <c r="D219" s="9" t="n">
        <v>46265</v>
      </c>
      <c r="E219" s="10" t="s">
        <v>1092</v>
      </c>
      <c r="F219" s="11" t="n">
        <v>46203</v>
      </c>
      <c r="G219" s="10" t="s">
        <v>369</v>
      </c>
      <c r="H219" s="10" t="s">
        <v>369</v>
      </c>
      <c r="I219" s="10" t="s">
        <v>129</v>
      </c>
      <c r="J219" s="10" t="s">
        <v>894</v>
      </c>
      <c r="K219" s="9" t="n">
        <v>46259</v>
      </c>
      <c r="L219" s="12" t="n">
        <f aca="true">IF($O219="","",$O219-TODAY())</f>
        <v>-18</v>
      </c>
      <c r="M219" s="12" t="n">
        <f aca="true">IF(AND(TRIM($A219)="Finalized",$K219&lt;&gt;""),"",IF($D219="","",$D219+365-TODAY()))</f>
        <v>319</v>
      </c>
      <c r="N219" s="12" t="n">
        <f aca="true">IF(AND(TRIM($A219)="Finalized",$K219&lt;&gt;""),"",IF($D219="","",$D219+365-TODAY()))</f>
        <v>319</v>
      </c>
      <c r="O219" s="11" t="n">
        <f aca="false">IF(AND(TRIM($A219)="Finalized",$K219&lt;&gt;""),"",DATE(2026,9,28))</f>
        <v>46293</v>
      </c>
      <c r="P219" s="10" t="s">
        <v>165</v>
      </c>
      <c r="Q219" s="10" t="s">
        <v>371</v>
      </c>
      <c r="R219" s="10" t="s">
        <v>114</v>
      </c>
      <c r="S219" s="10" t="s">
        <v>116</v>
      </c>
      <c r="T219" s="10" t="s">
        <v>114</v>
      </c>
      <c r="U219" s="10" t="s">
        <v>116</v>
      </c>
      <c r="V219" s="10" t="s">
        <v>303</v>
      </c>
      <c r="W219" s="10" t="s">
        <v>132</v>
      </c>
      <c r="X219" s="10" t="s">
        <v>621</v>
      </c>
      <c r="Y219" s="10"/>
      <c r="Z219" s="10"/>
      <c r="AA219" s="10" t="s">
        <v>197</v>
      </c>
      <c r="AB219" s="8" t="n">
        <f aca="true">IF($F219="","",TODAY()-$F219)</f>
        <v>108</v>
      </c>
      <c r="AC219" s="10" t="s">
        <v>895</v>
      </c>
      <c r="AD219" s="10"/>
      <c r="AE219" s="10"/>
      <c r="AF219" s="10"/>
      <c r="AG219" s="10"/>
      <c r="AH219" s="10"/>
      <c r="AI219" s="10"/>
      <c r="AJ219" s="10" t="s">
        <v>686</v>
      </c>
      <c r="AK219" s="10"/>
      <c r="AL219" s="10"/>
      <c r="AM219" s="10"/>
      <c r="AN219" s="8"/>
      <c r="AO219" s="10" t="s">
        <v>506</v>
      </c>
      <c r="AP219" s="10" t="s">
        <v>175</v>
      </c>
      <c r="AQ219" s="11" t="n">
        <v>46211</v>
      </c>
      <c r="AR219" s="13"/>
      <c r="AS219" s="13"/>
      <c r="AT219" s="13"/>
      <c r="AU219" s="13"/>
      <c r="AV219" s="13" t="s">
        <v>895</v>
      </c>
      <c r="AW219" s="13"/>
      <c r="AX219" s="13" t="s">
        <v>895</v>
      </c>
      <c r="AY219" s="7" t="s">
        <v>203</v>
      </c>
      <c r="AZ219" s="7"/>
      <c r="BA219" s="7" t="s">
        <v>36</v>
      </c>
      <c r="BB219" s="7" t="s">
        <v>204</v>
      </c>
      <c r="BC219" s="7"/>
      <c r="BD219" s="9" t="n">
        <v>46290</v>
      </c>
      <c r="BE219" s="7"/>
      <c r="BF219" s="14" t="str">
        <f aca="true">IF(TRIM($A219)="Finalized","Closed",IF($BD219="","No review date set",IF($BD219&lt;TODAY(),"OVERDUE",IF($BD219-TODAY()&lt;=7,"Due within 7 days","Scheduled"))))</f>
        <v>OVERDUE</v>
      </c>
      <c r="BG219" s="14" t="n">
        <f aca="true">IF($K219="","",TODAY()-$K219)</f>
        <v>52</v>
      </c>
      <c r="BH219" s="15" t="str">
        <f aca="false">IFERROR(LEFT(IF($B219="","Notes, ","")&amp;IF($K219="","Latest Date Worked, ","")&amp;IF($AY219="","Last Action, ","")&amp;IF(AND(OR(TRIM($A219)="Denied",TRIM($A219)="Rejected"),$BA219=""),"Denial Reason, ","")&amp;IF(AND(TRIM($A219)="Denied",$BB219="",TRIM($BA219)&lt;&gt;"NO DENIAL"),"Denial Code, ","")&amp;IF(AND(TRIM($A219)&lt;&gt;"Finalized",$BD219=""),"Next Review Date, ","")&amp;IF(AND(TRIM($A219)&lt;&gt;"Finalized",$BE219=""),"Next Step, ","")&amp;IF(AND(TRIM($A219)="Finalized",$AV219="",$AR219="",$AT219="",$AX219="",$AW219=""),"CPT outcome, ",""),LEN(IF($B219="","Notes, ","")&amp;IF($K219="","Latest Date Worked, ","")&amp;IF($AY219="","Last Action, ","")&amp;IF(AND(OR(TRIM($A219)="Denied",TRIM($A219)="Rejected"),$BA219=""),"Denial Reason, ","")&amp;IF(AND(TRIM($A219)="Denied",$BB219="",TRIM($BA219)&lt;&gt;"NO DENIAL"),"Denial Code, ","")&amp;IF(AND(TRIM($A219)&lt;&gt;"Finalized",$BD219=""),"Next Review Date, ","")&amp;IF(AND(TRIM($A219)&lt;&gt;"Finalized",$BE219=""),"Next Step, ","")&amp;IF(AND(TRIM($A219)="Finalized",$AV219="",$AR219="",$AT219="",$AX219="",$AW219=""),"CPT outcome, ",""))-2),"")</f>
        <v>Next Step</v>
      </c>
      <c r="BI219" s="15" t="str">
        <f aca="false">IF($BB219="","",IFERROR(INDEX('Denial Codes'!$C:$C,MATCH(LEFT($BB219,FIND(" - ",$BB219&amp;" - ")+2)&amp;"*",'Denial Codes'!$A:$A,0)),""))</f>
        <v>Medical records needed</v>
      </c>
      <c r="BJ219" s="15" t="str">
        <f aca="false">IF($BA219="","",IFERROR(INDEX(Lists!$B:$B,MATCH(TRIM($BA219),Lists!$A:$A,0))&amp;"",""))</f>
        <v>Upload the MR on the payer portal, note the PIQ/reference number and set a review date.</v>
      </c>
    </row>
    <row r="220" customFormat="false" ht="15" hidden="false" customHeight="false" outlineLevel="0" collapsed="false">
      <c r="A220" s="7" t="s">
        <v>17</v>
      </c>
      <c r="B220" s="7" t="s">
        <v>1093</v>
      </c>
      <c r="C220" s="8" t="n">
        <v>572245401</v>
      </c>
      <c r="D220" s="9" t="n">
        <v>46223</v>
      </c>
      <c r="E220" s="10" t="s">
        <v>1094</v>
      </c>
      <c r="F220" s="11" t="n">
        <v>46203</v>
      </c>
      <c r="G220" s="10" t="s">
        <v>218</v>
      </c>
      <c r="H220" s="10" t="s">
        <v>218</v>
      </c>
      <c r="I220" s="10" t="s">
        <v>129</v>
      </c>
      <c r="J220" s="10" t="s">
        <v>250</v>
      </c>
      <c r="K220" s="9" t="n">
        <v>46284</v>
      </c>
      <c r="L220" s="12" t="n">
        <f aca="true">IF($O220="","",$O220-TODAY())</f>
        <v>-18</v>
      </c>
      <c r="M220" s="12" t="n">
        <f aca="true">IF(AND(TRIM($A220)="Finalized",$K220&lt;&gt;""),"",IF($F220="","",$F220+90-TODAY()))</f>
        <v>-18</v>
      </c>
      <c r="N220" s="12" t="n">
        <f aca="true">IF(AND(TRIM($A220)="Finalized",$K220&lt;&gt;""),"",IF($D220="","",$D220+180-TODAY()))</f>
        <v>92</v>
      </c>
      <c r="O220" s="11" t="n">
        <f aca="false">IF(AND(TRIM($A220)="Finalized",$K220&lt;&gt;""),"",DATE(2026,9,28))</f>
        <v>46293</v>
      </c>
      <c r="P220" s="10" t="s">
        <v>165</v>
      </c>
      <c r="Q220" s="10" t="s">
        <v>220</v>
      </c>
      <c r="R220" s="10" t="s">
        <v>165</v>
      </c>
      <c r="S220" s="10" t="s">
        <v>149</v>
      </c>
      <c r="T220" s="10" t="s">
        <v>147</v>
      </c>
      <c r="U220" s="10" t="s">
        <v>116</v>
      </c>
      <c r="V220" s="10" t="s">
        <v>303</v>
      </c>
      <c r="W220" s="10" t="s">
        <v>132</v>
      </c>
      <c r="X220" s="10"/>
      <c r="Y220" s="10"/>
      <c r="Z220" s="10"/>
      <c r="AA220" s="10" t="s">
        <v>197</v>
      </c>
      <c r="AB220" s="8" t="n">
        <f aca="true">IF($F220="","",TODAY()-$F220)</f>
        <v>108</v>
      </c>
      <c r="AC220" s="10" t="s">
        <v>251</v>
      </c>
      <c r="AD220" s="10"/>
      <c r="AE220" s="10"/>
      <c r="AF220" s="10"/>
      <c r="AG220" s="10"/>
      <c r="AH220" s="10"/>
      <c r="AI220" s="10"/>
      <c r="AJ220" s="10" t="s">
        <v>254</v>
      </c>
      <c r="AK220" s="10" t="s">
        <v>139</v>
      </c>
      <c r="AL220" s="10"/>
      <c r="AM220" s="10"/>
      <c r="AN220" s="8"/>
      <c r="AO220" s="10" t="s">
        <v>326</v>
      </c>
      <c r="AP220" s="10" t="s">
        <v>327</v>
      </c>
      <c r="AQ220" s="11" t="n">
        <v>46213</v>
      </c>
      <c r="AR220" s="13"/>
      <c r="AS220" s="13"/>
      <c r="AT220" s="13"/>
      <c r="AU220" s="13"/>
      <c r="AV220" s="13"/>
      <c r="AW220" s="13"/>
      <c r="AX220" s="13"/>
      <c r="AY220" s="7" t="s">
        <v>159</v>
      </c>
      <c r="AZ220" s="7"/>
      <c r="BA220" s="7" t="s">
        <v>34</v>
      </c>
      <c r="BB220" s="7"/>
      <c r="BC220" s="7"/>
      <c r="BD220" s="9" t="n">
        <v>46314</v>
      </c>
      <c r="BE220" s="7"/>
      <c r="BF220" s="14" t="str">
        <f aca="true">IF(TRIM($A220)="Finalized","Closed",IF($BD220="","No review date set",IF($BD220&lt;TODAY(),"OVERDUE",IF($BD220-TODAY()&lt;=7,"Due within 7 days","Scheduled"))))</f>
        <v>Due within 7 days</v>
      </c>
      <c r="BG220" s="14" t="n">
        <f aca="true">IF($K220="","",TODAY()-$K220)</f>
        <v>27</v>
      </c>
      <c r="BH220" s="15" t="str">
        <f aca="false">IFERROR(LEFT(IF($B220="","Notes, ","")&amp;IF($K220="","Latest Date Worked, ","")&amp;IF($AY220="","Last Action, ","")&amp;IF(AND(OR(TRIM($A220)="Denied",TRIM($A220)="Rejected"),$BA220=""),"Denial Reason, ","")&amp;IF(AND(TRIM($A220)="Denied",$BB220="",TRIM($BA220)&lt;&gt;"NO DENIAL"),"Denial Code, ","")&amp;IF(AND(TRIM($A220)&lt;&gt;"Finalized",$BD220=""),"Next Review Date, ","")&amp;IF(AND(TRIM($A220)&lt;&gt;"Finalized",$BE220=""),"Next Step, ","")&amp;IF(AND(TRIM($A220)="Finalized",$AV220="",$AR220="",$AT220="",$AX220="",$AW220=""),"CPT outcome, ",""),LEN(IF($B220="","Notes, ","")&amp;IF($K220="","Latest Date Worked, ","")&amp;IF($AY220="","Last Action, ","")&amp;IF(AND(OR(TRIM($A220)="Denied",TRIM($A220)="Rejected"),$BA220=""),"Denial Reason, ","")&amp;IF(AND(TRIM($A220)="Denied",$BB220="",TRIM($BA220)&lt;&gt;"NO DENIAL"),"Denial Code, ","")&amp;IF(AND(TRIM($A220)&lt;&gt;"Finalized",$BD220=""),"Next Review Date, ","")&amp;IF(AND(TRIM($A220)&lt;&gt;"Finalized",$BE220=""),"Next Step, ","")&amp;IF(AND(TRIM($A220)="Finalized",$AV220="",$AR220="",$AT220="",$AX220="",$AW220=""),"CPT outcome, ",""))-2),"")</f>
        <v>Denial Code, Next Step</v>
      </c>
      <c r="BI220" s="15" t="str">
        <f aca="false">IF($BB220="","",IFERROR(INDEX('Denial Codes'!$C:$C,MATCH(LEFT($BB220,FIND(" - ",$BB220&amp;" - ")+2)&amp;"*",'Denial Codes'!$A:$A,0)),""))</f>
        <v/>
      </c>
      <c r="BJ220" s="15" t="str">
        <f aca="false">IF($BA220="","",IFERROR(INDEX(Lists!$B:$B,MATCH(TRIM($BA220),Lists!$A:$A,0))&amp;"",""))</f>
        <v>Check the portal for an auth; request a retro-auth or file an appeal with the auth number, then resubmit.</v>
      </c>
    </row>
    <row r="221" customFormat="false" ht="15" hidden="false" customHeight="false" outlineLevel="0" collapsed="false">
      <c r="A221" s="7" t="s">
        <v>22</v>
      </c>
      <c r="B221" s="7" t="s">
        <v>1095</v>
      </c>
      <c r="C221" s="8" t="n">
        <v>561704073</v>
      </c>
      <c r="D221" s="9" t="n">
        <v>46206</v>
      </c>
      <c r="E221" s="10" t="s">
        <v>1096</v>
      </c>
      <c r="F221" s="11" t="n">
        <v>46182</v>
      </c>
      <c r="G221" s="10" t="s">
        <v>260</v>
      </c>
      <c r="H221" s="10" t="s">
        <v>111</v>
      </c>
      <c r="I221" s="10" t="s">
        <v>260</v>
      </c>
      <c r="J221" s="10" t="s">
        <v>250</v>
      </c>
      <c r="K221" s="9" t="n">
        <v>46300</v>
      </c>
      <c r="L221" s="12" t="n">
        <f aca="true">IF($O221="","",$O221-TODAY())</f>
        <v>-9</v>
      </c>
      <c r="M221" s="12" t="n">
        <f aca="true">IF(AND(TRIM($A221)="Finalized",$K221&lt;&gt;""),"",IF($D221="","",$D221+180-TODAY()))</f>
        <v>75</v>
      </c>
      <c r="N221" s="12" t="n">
        <f aca="true">IF(AND(TRIM($A221)="Finalized",$K221&lt;&gt;""),"",IF($D221="","",$D221+180-TODAY()))</f>
        <v>75</v>
      </c>
      <c r="O221" s="11" t="n">
        <f aca="false">IF(AND(TRIM($A221)="Finalized",$K221&lt;&gt;""),"",DATE(2026,10,7))</f>
        <v>46302</v>
      </c>
      <c r="P221" s="10" t="s">
        <v>117</v>
      </c>
      <c r="Q221" s="10" t="s">
        <v>609</v>
      </c>
      <c r="R221" s="10" t="s">
        <v>147</v>
      </c>
      <c r="S221" s="10" t="s">
        <v>116</v>
      </c>
      <c r="T221" s="10" t="s">
        <v>147</v>
      </c>
      <c r="U221" s="10" t="s">
        <v>116</v>
      </c>
      <c r="V221" s="10" t="s">
        <v>303</v>
      </c>
      <c r="W221" s="10" t="s">
        <v>132</v>
      </c>
      <c r="X221" s="10"/>
      <c r="Y221" s="10"/>
      <c r="Z221" s="10"/>
      <c r="AA221" s="10" t="s">
        <v>197</v>
      </c>
      <c r="AB221" s="8" t="n">
        <f aca="true">IF($F221="","",TODAY()-$F221)</f>
        <v>129</v>
      </c>
      <c r="AC221" s="10" t="s">
        <v>251</v>
      </c>
      <c r="AD221" s="10"/>
      <c r="AE221" s="10"/>
      <c r="AF221" s="10"/>
      <c r="AG221" s="10"/>
      <c r="AH221" s="10"/>
      <c r="AI221" s="10"/>
      <c r="AJ221" s="10" t="s">
        <v>254</v>
      </c>
      <c r="AK221" s="10" t="s">
        <v>123</v>
      </c>
      <c r="AL221" s="10"/>
      <c r="AM221" s="10"/>
      <c r="AN221" s="8" t="n">
        <v>565633590</v>
      </c>
      <c r="AO221" s="10" t="s">
        <v>201</v>
      </c>
      <c r="AP221" s="10" t="s">
        <v>327</v>
      </c>
      <c r="AQ221" s="11" t="n">
        <v>46184</v>
      </c>
      <c r="AR221" s="13"/>
      <c r="AS221" s="13"/>
      <c r="AT221" s="13"/>
      <c r="AU221" s="13"/>
      <c r="AV221" s="13" t="s">
        <v>251</v>
      </c>
      <c r="AW221" s="13"/>
      <c r="AX221" s="13" t="s">
        <v>251</v>
      </c>
      <c r="AY221" s="7" t="s">
        <v>159</v>
      </c>
      <c r="AZ221" s="7"/>
      <c r="BA221" s="7" t="s">
        <v>45</v>
      </c>
      <c r="BB221" s="7"/>
      <c r="BC221" s="7"/>
      <c r="BD221" s="9" t="n">
        <v>46331</v>
      </c>
      <c r="BE221" s="7"/>
      <c r="BF221" s="14" t="str">
        <f aca="true">IF(TRIM($A221)="Finalized","Closed",IF($BD221="","No review date set",IF($BD221&lt;TODAY(),"OVERDUE",IF($BD221-TODAY()&lt;=7,"Due within 7 days","Scheduled"))))</f>
        <v>Scheduled</v>
      </c>
      <c r="BG221" s="14" t="n">
        <f aca="true">IF($K221="","",TODAY()-$K221)</f>
        <v>11</v>
      </c>
      <c r="BH221" s="15" t="str">
        <f aca="false">IFERROR(LEFT(IF($B221="","Notes, ","")&amp;IF($K221="","Latest Date Worked, ","")&amp;IF($AY221="","Last Action, ","")&amp;IF(AND(OR(TRIM($A221)="Denied",TRIM($A221)="Rejected"),$BA221=""),"Denial Reason, ","")&amp;IF(AND(TRIM($A221)="Denied",$BB221="",TRIM($BA221)&lt;&gt;"NO DENIAL"),"Denial Code, ","")&amp;IF(AND(TRIM($A221)&lt;&gt;"Finalized",$BD221=""),"Next Review Date, ","")&amp;IF(AND(TRIM($A221)&lt;&gt;"Finalized",$BE221=""),"Next Step, ","")&amp;IF(AND(TRIM($A221)="Finalized",$AV221="",$AR221="",$AT221="",$AX221="",$AW221=""),"CPT outcome, ",""),LEN(IF($B221="","Notes, ","")&amp;IF($K221="","Latest Date Worked, ","")&amp;IF($AY221="","Last Action, ","")&amp;IF(AND(OR(TRIM($A221)="Denied",TRIM($A221)="Rejected"),$BA221=""),"Denial Reason, ","")&amp;IF(AND(TRIM($A221)="Denied",$BB221="",TRIM($BA221)&lt;&gt;"NO DENIAL"),"Denial Code, ","")&amp;IF(AND(TRIM($A221)&lt;&gt;"Finalized",$BD221=""),"Next Review Date, ","")&amp;IF(AND(TRIM($A221)&lt;&gt;"Finalized",$BE221=""),"Next Step, ","")&amp;IF(AND(TRIM($A221)="Finalized",$AV221="",$AR221="",$AT221="",$AX221="",$AW221=""),"CPT outcome, ",""))-2),"")</f>
        <v>Next Step</v>
      </c>
      <c r="BI221" s="15" t="str">
        <f aca="false">IF($BB221="","",IFERROR(INDEX('Denial Codes'!$C:$C,MATCH(LEFT($BB221,FIND(" - ",$BB221&amp;" - ")+2)&amp;"*",'Denial Codes'!$A:$A,0)),""))</f>
        <v/>
      </c>
      <c r="BJ221" s="15" t="str">
        <f aca="false">IF($BA221="","",IFERROR(INDEX(Lists!$B:$B,MATCH(TRIM($BA221),Lists!$A:$A,0))&amp;"",""))</f>
        <v>Get the other insurance and primary EOB, update COB with the payer and bill primary first.</v>
      </c>
    </row>
    <row r="222" customFormat="false" ht="15" hidden="false" customHeight="false" outlineLevel="0" collapsed="false">
      <c r="A222" s="7" t="s">
        <v>22</v>
      </c>
      <c r="B222" s="7" t="s">
        <v>1097</v>
      </c>
      <c r="C222" s="8" t="n">
        <v>573841574</v>
      </c>
      <c r="D222" s="9"/>
      <c r="E222" s="10" t="s">
        <v>1098</v>
      </c>
      <c r="F222" s="11" t="n">
        <v>46190</v>
      </c>
      <c r="G222" s="10" t="s">
        <v>111</v>
      </c>
      <c r="H222" s="10" t="s">
        <v>111</v>
      </c>
      <c r="I222" s="10" t="s">
        <v>129</v>
      </c>
      <c r="J222" s="10" t="s">
        <v>400</v>
      </c>
      <c r="K222" s="9" t="n">
        <v>46300</v>
      </c>
      <c r="L222" s="12" t="n">
        <f aca="true">IF($O222="","",$O222-TODAY())</f>
        <v>-1</v>
      </c>
      <c r="M222" s="12" t="str">
        <f aca="true">IF(AND(TRIM($A222)="Finalized",$K222&lt;&gt;""),"",IF($D222="","",$D222+180-TODAY()))</f>
        <v/>
      </c>
      <c r="N222" s="12" t="str">
        <f aca="true">IF(AND(TRIM($A222)="Finalized",$K222&lt;&gt;""),"",IF($D222="","",$D222+180-TODAY()))</f>
        <v/>
      </c>
      <c r="O222" s="11" t="n">
        <f aca="false">IF(AND(TRIM($A222)="Finalized",$K222&lt;&gt;""),"",DATE(2026,10,15))</f>
        <v>46310</v>
      </c>
      <c r="P222" s="10" t="s">
        <v>117</v>
      </c>
      <c r="Q222" s="10" t="s">
        <v>609</v>
      </c>
      <c r="R222" s="10" t="s">
        <v>147</v>
      </c>
      <c r="S222" s="10" t="s">
        <v>116</v>
      </c>
      <c r="T222" s="10" t="s">
        <v>147</v>
      </c>
      <c r="U222" s="10" t="s">
        <v>116</v>
      </c>
      <c r="V222" s="10" t="s">
        <v>303</v>
      </c>
      <c r="W222" s="10" t="s">
        <v>183</v>
      </c>
      <c r="X222" s="10"/>
      <c r="Y222" s="10"/>
      <c r="Z222" s="10"/>
      <c r="AA222" s="10" t="s">
        <v>197</v>
      </c>
      <c r="AB222" s="8" t="n">
        <f aca="true">IF($F222="","",TODAY()-$F222)</f>
        <v>121</v>
      </c>
      <c r="AC222" s="10" t="s">
        <v>185</v>
      </c>
      <c r="AD222" s="10" t="s">
        <v>184</v>
      </c>
      <c r="AE222" s="10"/>
      <c r="AF222" s="10"/>
      <c r="AG222" s="10"/>
      <c r="AH222" s="10"/>
      <c r="AI222" s="10"/>
      <c r="AJ222" s="10" t="s">
        <v>511</v>
      </c>
      <c r="AK222" s="10"/>
      <c r="AL222" s="10"/>
      <c r="AM222" s="10"/>
      <c r="AN222" s="8"/>
      <c r="AO222" s="10" t="s">
        <v>255</v>
      </c>
      <c r="AP222" s="10" t="s">
        <v>202</v>
      </c>
      <c r="AQ222" s="11" t="n">
        <v>46217</v>
      </c>
      <c r="AR222" s="13"/>
      <c r="AS222" s="13"/>
      <c r="AT222" s="13"/>
      <c r="AU222" s="13"/>
      <c r="AV222" s="13"/>
      <c r="AW222" s="13"/>
      <c r="AX222" s="13" t="s">
        <v>189</v>
      </c>
      <c r="AY222" s="7" t="s">
        <v>159</v>
      </c>
      <c r="AZ222" s="7"/>
      <c r="BA222" s="7" t="s">
        <v>48</v>
      </c>
      <c r="BB222" s="7" t="s">
        <v>1099</v>
      </c>
      <c r="BC222" s="7"/>
      <c r="BD222" s="9" t="n">
        <v>46331</v>
      </c>
      <c r="BE222" s="7"/>
      <c r="BF222" s="14" t="str">
        <f aca="true">IF(TRIM($A222)="Finalized","Closed",IF($BD222="","No review date set",IF($BD222&lt;TODAY(),"OVERDUE",IF($BD222-TODAY()&lt;=7,"Due within 7 days","Scheduled"))))</f>
        <v>Scheduled</v>
      </c>
      <c r="BG222" s="14" t="n">
        <f aca="true">IF($K222="","",TODAY()-$K222)</f>
        <v>11</v>
      </c>
      <c r="BH222" s="15" t="str">
        <f aca="false">IFERROR(LEFT(IF($B222="","Notes, ","")&amp;IF($K222="","Latest Date Worked, ","")&amp;IF($AY222="","Last Action, ","")&amp;IF(AND(OR(TRIM($A222)="Denied",TRIM($A222)="Rejected"),$BA222=""),"Denial Reason, ","")&amp;IF(AND(TRIM($A222)="Denied",$BB222="",TRIM($BA222)&lt;&gt;"NO DENIAL"),"Denial Code, ","")&amp;IF(AND(TRIM($A222)&lt;&gt;"Finalized",$BD222=""),"Next Review Date, ","")&amp;IF(AND(TRIM($A222)&lt;&gt;"Finalized",$BE222=""),"Next Step, ","")&amp;IF(AND(TRIM($A222)="Finalized",$AV222="",$AR222="",$AT222="",$AX222="",$AW222=""),"CPT outcome, ",""),LEN(IF($B222="","Notes, ","")&amp;IF($K222="","Latest Date Worked, ","")&amp;IF($AY222="","Last Action, ","")&amp;IF(AND(OR(TRIM($A222)="Denied",TRIM($A222)="Rejected"),$BA222=""),"Denial Reason, ","")&amp;IF(AND(TRIM($A222)="Denied",$BB222="",TRIM($BA222)&lt;&gt;"NO DENIAL"),"Denial Code, ","")&amp;IF(AND(TRIM($A222)&lt;&gt;"Finalized",$BD222=""),"Next Review Date, ","")&amp;IF(AND(TRIM($A222)&lt;&gt;"Finalized",$BE222=""),"Next Step, ","")&amp;IF(AND(TRIM($A222)="Finalized",$AV222="",$AR222="",$AT222="",$AX222="",$AW222=""),"CPT outcome, ",""))-2),"")</f>
        <v>Next Step</v>
      </c>
      <c r="BI222" s="15" t="str">
        <f aca="false">IF($BB222="","",IFERROR(INDEX('Denial Codes'!$C:$C,MATCH(LEFT($BB222,FIND(" - ",$BB222&amp;" - ")+2)&amp;"*",'Denial Codes'!$A:$A,0)),""))</f>
        <v>Referral / referring provider</v>
      </c>
      <c r="BJ222" s="15" t="str">
        <f aca="false">IF($BA222="","",IFERROR(INDEX(Lists!$B:$B,MATCH(TRIM($BA222),Lists!$A:$A,0))&amp;"",""))</f>
        <v>Get a valid referral or correct the referring provider, then resubmit.</v>
      </c>
    </row>
    <row r="223" customFormat="false" ht="15" hidden="false" customHeight="false" outlineLevel="0" collapsed="false">
      <c r="A223" s="7" t="s">
        <v>17</v>
      </c>
      <c r="B223" s="7" t="s">
        <v>1100</v>
      </c>
      <c r="C223" s="8" t="n">
        <v>573869988</v>
      </c>
      <c r="D223" s="9" t="n">
        <v>46237</v>
      </c>
      <c r="E223" s="10" t="s">
        <v>1101</v>
      </c>
      <c r="F223" s="11" t="n">
        <v>46191</v>
      </c>
      <c r="G223" s="10" t="s">
        <v>427</v>
      </c>
      <c r="H223" s="10" t="s">
        <v>427</v>
      </c>
      <c r="I223" s="10" t="s">
        <v>129</v>
      </c>
      <c r="J223" s="10" t="s">
        <v>747</v>
      </c>
      <c r="K223" s="9" t="n">
        <v>46300</v>
      </c>
      <c r="L223" s="12" t="n">
        <f aca="true">IF($O223="","",$O223-TODAY())</f>
        <v>0</v>
      </c>
      <c r="M223" s="12" t="n">
        <f aca="true">IF(AND(TRIM($A223)="Finalized",$K223&lt;&gt;""),"",IF($D223="","",$D223+365-TODAY()))</f>
        <v>291</v>
      </c>
      <c r="N223" s="12" t="n">
        <f aca="true">IF(AND(TRIM($A223)="Finalized",$K223&lt;&gt;""),"",IF($D223="","",$D223+90-TODAY()))</f>
        <v>16</v>
      </c>
      <c r="O223" s="11" t="n">
        <f aca="false">IF(AND(TRIM($A223)="Finalized",$K223&lt;&gt;""),"",DATE(2026,10,16))</f>
        <v>46311</v>
      </c>
      <c r="P223" s="10" t="s">
        <v>117</v>
      </c>
      <c r="Q223" s="10" t="s">
        <v>429</v>
      </c>
      <c r="R223" s="10" t="s">
        <v>114</v>
      </c>
      <c r="S223" s="10" t="s">
        <v>116</v>
      </c>
      <c r="T223" s="10" t="s">
        <v>165</v>
      </c>
      <c r="U223" s="10" t="s">
        <v>116</v>
      </c>
      <c r="V223" s="10" t="s">
        <v>303</v>
      </c>
      <c r="W223" s="10" t="s">
        <v>196</v>
      </c>
      <c r="X223" s="10"/>
      <c r="Y223" s="10"/>
      <c r="Z223" s="10"/>
      <c r="AA223" s="10" t="s">
        <v>197</v>
      </c>
      <c r="AB223" s="8" t="n">
        <f aca="true">IF($F223="","",TODAY()-$F223)</f>
        <v>120</v>
      </c>
      <c r="AC223" s="10" t="s">
        <v>222</v>
      </c>
      <c r="AD223" s="10" t="s">
        <v>487</v>
      </c>
      <c r="AE223" s="10" t="s">
        <v>198</v>
      </c>
      <c r="AF223" s="10"/>
      <c r="AG223" s="10"/>
      <c r="AH223" s="10"/>
      <c r="AI223" s="10"/>
      <c r="AJ223" s="10" t="s">
        <v>200</v>
      </c>
      <c r="AK223" s="10"/>
      <c r="AL223" s="10"/>
      <c r="AM223" s="10"/>
      <c r="AN223" s="8"/>
      <c r="AO223" s="10" t="s">
        <v>213</v>
      </c>
      <c r="AP223" s="10" t="s">
        <v>224</v>
      </c>
      <c r="AQ223" s="11" t="n">
        <v>46204</v>
      </c>
      <c r="AR223" s="13"/>
      <c r="AS223" s="13"/>
      <c r="AT223" s="13"/>
      <c r="AU223" s="13"/>
      <c r="AV223" s="13"/>
      <c r="AW223" s="13"/>
      <c r="AX223" s="13"/>
      <c r="AY223" s="7" t="s">
        <v>159</v>
      </c>
      <c r="AZ223" s="7"/>
      <c r="BA223" s="7" t="s">
        <v>48</v>
      </c>
      <c r="BB223" s="7" t="s">
        <v>1099</v>
      </c>
      <c r="BC223" s="7"/>
      <c r="BD223" s="9" t="n">
        <v>46331</v>
      </c>
      <c r="BE223" s="7"/>
      <c r="BF223" s="14" t="str">
        <f aca="true">IF(TRIM($A223)="Finalized","Closed",IF($BD223="","No review date set",IF($BD223&lt;TODAY(),"OVERDUE",IF($BD223-TODAY()&lt;=7,"Due within 7 days","Scheduled"))))</f>
        <v>Scheduled</v>
      </c>
      <c r="BG223" s="14" t="n">
        <f aca="true">IF($K223="","",TODAY()-$K223)</f>
        <v>11</v>
      </c>
      <c r="BH223" s="15" t="str">
        <f aca="false">IFERROR(LEFT(IF($B223="","Notes, ","")&amp;IF($K223="","Latest Date Worked, ","")&amp;IF($AY223="","Last Action, ","")&amp;IF(AND(OR(TRIM($A223)="Denied",TRIM($A223)="Rejected"),$BA223=""),"Denial Reason, ","")&amp;IF(AND(TRIM($A223)="Denied",$BB223="",TRIM($BA223)&lt;&gt;"NO DENIAL"),"Denial Code, ","")&amp;IF(AND(TRIM($A223)&lt;&gt;"Finalized",$BD223=""),"Next Review Date, ","")&amp;IF(AND(TRIM($A223)&lt;&gt;"Finalized",$BE223=""),"Next Step, ","")&amp;IF(AND(TRIM($A223)="Finalized",$AV223="",$AR223="",$AT223="",$AX223="",$AW223=""),"CPT outcome, ",""),LEN(IF($B223="","Notes, ","")&amp;IF($K223="","Latest Date Worked, ","")&amp;IF($AY223="","Last Action, ","")&amp;IF(AND(OR(TRIM($A223)="Denied",TRIM($A223)="Rejected"),$BA223=""),"Denial Reason, ","")&amp;IF(AND(TRIM($A223)="Denied",$BB223="",TRIM($BA223)&lt;&gt;"NO DENIAL"),"Denial Code, ","")&amp;IF(AND(TRIM($A223)&lt;&gt;"Finalized",$BD223=""),"Next Review Date, ","")&amp;IF(AND(TRIM($A223)&lt;&gt;"Finalized",$BE223=""),"Next Step, ","")&amp;IF(AND(TRIM($A223)="Finalized",$AV223="",$AR223="",$AT223="",$AX223="",$AW223=""),"CPT outcome, ",""))-2),"")</f>
        <v>Next Step</v>
      </c>
      <c r="BI223" s="15" t="str">
        <f aca="false">IF($BB223="","",IFERROR(INDEX('Denial Codes'!$C:$C,MATCH(LEFT($BB223,FIND(" - ",$BB223&amp;" - ")+2)&amp;"*",'Denial Codes'!$A:$A,0)),""))</f>
        <v>Referral / referring provider</v>
      </c>
      <c r="BJ223" s="15" t="str">
        <f aca="false">IF($BA223="","",IFERROR(INDEX(Lists!$B:$B,MATCH(TRIM($BA223),Lists!$A:$A,0))&amp;"",""))</f>
        <v>Get a valid referral or correct the referring provider, then resubmit.</v>
      </c>
    </row>
    <row r="224" customFormat="false" ht="15" hidden="false" customHeight="false" outlineLevel="0" collapsed="false">
      <c r="A224" s="7" t="s">
        <v>19</v>
      </c>
      <c r="B224" s="7" t="s">
        <v>1102</v>
      </c>
      <c r="C224" s="8" t="n">
        <v>563158507</v>
      </c>
      <c r="D224" s="9" t="n">
        <v>46204</v>
      </c>
      <c r="E224" s="10" t="s">
        <v>1103</v>
      </c>
      <c r="F224" s="11" t="n">
        <v>46192</v>
      </c>
      <c r="G224" s="10" t="s">
        <v>1104</v>
      </c>
      <c r="H224" s="10" t="s">
        <v>607</v>
      </c>
      <c r="I224" s="10" t="s">
        <v>1104</v>
      </c>
      <c r="J224" s="10" t="s">
        <v>261</v>
      </c>
      <c r="K224" s="9" t="n">
        <v>46287</v>
      </c>
      <c r="L224" s="12" t="n">
        <f aca="true">IF($O224="","",$O224-TODAY())</f>
        <v>1</v>
      </c>
      <c r="M224" s="12" t="n">
        <f aca="true">IF(AND(TRIM($A224)="Finalized",$K224&lt;&gt;""),"",IF($D224="","",$D224+180-TODAY()))</f>
        <v>73</v>
      </c>
      <c r="N224" s="12" t="n">
        <f aca="true">IF(AND(TRIM($A224)="Finalized",$K224&lt;&gt;""),"",IF($D224="","",$D224+180-TODAY()))</f>
        <v>73</v>
      </c>
      <c r="O224" s="11" t="n">
        <f aca="false">IF(AND(TRIM($A224)="Finalized",$K224&lt;&gt;""),"",DATE(2026,10,17))</f>
        <v>46312</v>
      </c>
      <c r="P224" s="10" t="s">
        <v>117</v>
      </c>
      <c r="Q224" s="10" t="s">
        <v>609</v>
      </c>
      <c r="R224" s="10" t="s">
        <v>147</v>
      </c>
      <c r="S224" s="10" t="s">
        <v>116</v>
      </c>
      <c r="T224" s="10" t="s">
        <v>147</v>
      </c>
      <c r="U224" s="10" t="s">
        <v>116</v>
      </c>
      <c r="V224" s="10" t="s">
        <v>303</v>
      </c>
      <c r="W224" s="10" t="s">
        <v>119</v>
      </c>
      <c r="X224" s="10" t="s">
        <v>120</v>
      </c>
      <c r="Y224" s="10"/>
      <c r="Z224" s="10"/>
      <c r="AA224" s="10" t="s">
        <v>230</v>
      </c>
      <c r="AB224" s="8" t="n">
        <f aca="true">IF($F224="","",TODAY()-$F224)</f>
        <v>119</v>
      </c>
      <c r="AC224" s="10" t="s">
        <v>122</v>
      </c>
      <c r="AD224" s="10"/>
      <c r="AE224" s="10"/>
      <c r="AF224" s="10"/>
      <c r="AG224" s="10"/>
      <c r="AH224" s="10"/>
      <c r="AI224" s="10"/>
      <c r="AJ224" s="10" t="s">
        <v>123</v>
      </c>
      <c r="AK224" s="10"/>
      <c r="AL224" s="10"/>
      <c r="AM224" s="10"/>
      <c r="AN224" s="8" t="n">
        <v>565293130</v>
      </c>
      <c r="AO224" s="10" t="s">
        <v>506</v>
      </c>
      <c r="AP224" s="10" t="s">
        <v>188</v>
      </c>
      <c r="AQ224" s="11" t="n">
        <v>46196</v>
      </c>
      <c r="AR224" s="13"/>
      <c r="AS224" s="13"/>
      <c r="AT224" s="13"/>
      <c r="AU224" s="13"/>
      <c r="AV224" s="13" t="s">
        <v>122</v>
      </c>
      <c r="AW224" s="13"/>
      <c r="AX224" s="13" t="s">
        <v>122</v>
      </c>
      <c r="AY224" s="7" t="s">
        <v>233</v>
      </c>
      <c r="AZ224" s="7"/>
      <c r="BA224" s="7" t="s">
        <v>54</v>
      </c>
      <c r="BB224" s="7"/>
      <c r="BC224" s="7"/>
      <c r="BD224" s="9" t="n">
        <v>46317</v>
      </c>
      <c r="BE224" s="7"/>
      <c r="BF224" s="14" t="str">
        <f aca="true">IF(TRIM($A224)="Finalized","Closed",IF($BD224="","No review date set",IF($BD224&lt;TODAY(),"OVERDUE",IF($BD224-TODAY()&lt;=7,"Due within 7 days","Scheduled"))))</f>
        <v>Due within 7 days</v>
      </c>
      <c r="BG224" s="14" t="n">
        <f aca="true">IF($K224="","",TODAY()-$K224)</f>
        <v>24</v>
      </c>
      <c r="BH224" s="15" t="str">
        <f aca="false">IFERROR(LEFT(IF($B224="","Notes, ","")&amp;IF($K224="","Latest Date Worked, ","")&amp;IF($AY224="","Last Action, ","")&amp;IF(AND(OR(TRIM($A224)="Denied",TRIM($A224)="Rejected"),$BA224=""),"Denial Reason, ","")&amp;IF(AND(TRIM($A224)="Denied",$BB224="",TRIM($BA224)&lt;&gt;"NO DENIAL"),"Denial Code, ","")&amp;IF(AND(TRIM($A224)&lt;&gt;"Finalized",$BD224=""),"Next Review Date, ","")&amp;IF(AND(TRIM($A224)&lt;&gt;"Finalized",$BE224=""),"Next Step, ","")&amp;IF(AND(TRIM($A224)="Finalized",$AV224="",$AR224="",$AT224="",$AX224="",$AW224=""),"CPT outcome, ",""),LEN(IF($B224="","Notes, ","")&amp;IF($K224="","Latest Date Worked, ","")&amp;IF($AY224="","Last Action, ","")&amp;IF(AND(OR(TRIM($A224)="Denied",TRIM($A224)="Rejected"),$BA224=""),"Denial Reason, ","")&amp;IF(AND(TRIM($A224)="Denied",$BB224="",TRIM($BA224)&lt;&gt;"NO DENIAL"),"Denial Code, ","")&amp;IF(AND(TRIM($A224)&lt;&gt;"Finalized",$BD224=""),"Next Review Date, ","")&amp;IF(AND(TRIM($A224)&lt;&gt;"Finalized",$BE224=""),"Next Step, ","")&amp;IF(AND(TRIM($A224)="Finalized",$AV224="",$AR224="",$AT224="",$AX224="",$AW224=""),"CPT outcome, ",""))-2),"")</f>
        <v>Next Step</v>
      </c>
      <c r="BI224" s="15" t="str">
        <f aca="false">IF($BB224="","",IFERROR(INDEX('Denial Codes'!$C:$C,MATCH(LEFT($BB224,FIND(" - ",$BB224&amp;" - ")+2)&amp;"*",'Denial Codes'!$A:$A,0)),""))</f>
        <v/>
      </c>
      <c r="BJ224" s="15" t="str">
        <f aca="false">IF($BA224="","",IFERROR(INDEX(Lists!$B:$B,MATCH(TRIM($BA224),Lists!$A:$A,0))&amp;"",""))</f>
        <v/>
      </c>
    </row>
    <row r="225" customFormat="false" ht="15" hidden="false" customHeight="false" outlineLevel="0" collapsed="false">
      <c r="A225" s="7" t="s">
        <v>20</v>
      </c>
      <c r="B225" s="7" t="s">
        <v>1105</v>
      </c>
      <c r="C225" s="8" t="n">
        <v>563845926</v>
      </c>
      <c r="D225" s="9"/>
      <c r="E225" s="10" t="s">
        <v>1106</v>
      </c>
      <c r="F225" s="11" t="n">
        <v>46198</v>
      </c>
      <c r="G225" s="10" t="s">
        <v>763</v>
      </c>
      <c r="H225" s="10" t="s">
        <v>763</v>
      </c>
      <c r="I225" s="10" t="s">
        <v>129</v>
      </c>
      <c r="J225" s="10" t="s">
        <v>701</v>
      </c>
      <c r="K225" s="9" t="n">
        <v>46300</v>
      </c>
      <c r="L225" s="12" t="n">
        <f aca="true">IF($O225="","",$O225-TODAY())</f>
        <v>7</v>
      </c>
      <c r="M225" s="12" t="n">
        <f aca="true">IF(AND(TRIM($A225)="Finalized",$K225&lt;&gt;""),"",IF($F225="","",$F225+365-TODAY()))</f>
        <v>252</v>
      </c>
      <c r="N225" s="12" t="str">
        <f aca="true">IF(AND(TRIM($A225)="Finalized",$K225&lt;&gt;""),"",IF($D225="","",$D225+180-TODAY()))</f>
        <v/>
      </c>
      <c r="O225" s="11" t="n">
        <f aca="false">IF(AND(TRIM($A225)="Finalized",$K225&lt;&gt;""),"",DATE(2026,10,23))</f>
        <v>46318</v>
      </c>
      <c r="P225" s="10" t="s">
        <v>117</v>
      </c>
      <c r="Q225" s="10" t="s">
        <v>763</v>
      </c>
      <c r="R225" s="10" t="s">
        <v>114</v>
      </c>
      <c r="S225" s="10" t="s">
        <v>149</v>
      </c>
      <c r="T225" s="10" t="s">
        <v>147</v>
      </c>
      <c r="U225" s="10" t="s">
        <v>116</v>
      </c>
      <c r="V225" s="10" t="s">
        <v>303</v>
      </c>
      <c r="W225" s="10" t="s">
        <v>132</v>
      </c>
      <c r="X225" s="10"/>
      <c r="Y225" s="10"/>
      <c r="Z225" s="10"/>
      <c r="AA225" s="10" t="s">
        <v>197</v>
      </c>
      <c r="AB225" s="8" t="n">
        <f aca="true">IF($F225="","",TODAY()-$F225)</f>
        <v>113</v>
      </c>
      <c r="AC225" s="10" t="s">
        <v>702</v>
      </c>
      <c r="AD225" s="10" t="s">
        <v>703</v>
      </c>
      <c r="AE225" s="10"/>
      <c r="AF225" s="10"/>
      <c r="AG225" s="10"/>
      <c r="AH225" s="10"/>
      <c r="AI225" s="10"/>
      <c r="AJ225" s="10" t="s">
        <v>525</v>
      </c>
      <c r="AK225" s="10" t="s">
        <v>170</v>
      </c>
      <c r="AL225" s="10" t="s">
        <v>704</v>
      </c>
      <c r="AM225" s="10" t="s">
        <v>1107</v>
      </c>
      <c r="AN225" s="8"/>
      <c r="AO225" s="10" t="s">
        <v>546</v>
      </c>
      <c r="AP225" s="10" t="s">
        <v>175</v>
      </c>
      <c r="AQ225" s="11" t="n">
        <v>46203</v>
      </c>
      <c r="AR225" s="13"/>
      <c r="AS225" s="13"/>
      <c r="AT225" s="13"/>
      <c r="AU225" s="13"/>
      <c r="AV225" s="13"/>
      <c r="AW225" s="13"/>
      <c r="AX225" s="13"/>
      <c r="AY225" s="7" t="s">
        <v>233</v>
      </c>
      <c r="AZ225" s="7" t="s">
        <v>159</v>
      </c>
      <c r="BA225" s="7" t="s">
        <v>39</v>
      </c>
      <c r="BB225" s="7"/>
      <c r="BC225" s="7" t="s">
        <v>1108</v>
      </c>
      <c r="BD225" s="9" t="n">
        <v>46331</v>
      </c>
      <c r="BE225" s="7" t="s">
        <v>1109</v>
      </c>
      <c r="BF225" s="14" t="str">
        <f aca="true">IF(TRIM($A225)="Finalized","Closed",IF($BD225="","No review date set",IF($BD225&lt;TODAY(),"OVERDUE",IF($BD225-TODAY()&lt;=7,"Due within 7 days","Scheduled"))))</f>
        <v>Scheduled</v>
      </c>
      <c r="BG225" s="14" t="n">
        <f aca="true">IF($K225="","",TODAY()-$K225)</f>
        <v>11</v>
      </c>
      <c r="BH225" s="15" t="str">
        <f aca="false">IFERROR(LEFT(IF($B225="","Notes, ","")&amp;IF($K225="","Latest Date Worked, ","")&amp;IF($AY225="","Last Action, ","")&amp;IF(AND(OR(TRIM($A225)="Denied",TRIM($A225)="Rejected"),$BA225=""),"Denial Reason, ","")&amp;IF(AND(TRIM($A225)="Denied",$BB225="",TRIM($BA225)&lt;&gt;"NO DENIAL"),"Denial Code, ","")&amp;IF(AND(TRIM($A225)&lt;&gt;"Finalized",$BD225=""),"Next Review Date, ","")&amp;IF(AND(TRIM($A225)&lt;&gt;"Finalized",$BE225=""),"Next Step, ","")&amp;IF(AND(TRIM($A225)="Finalized",$AV225="",$AR225="",$AT225="",$AX225="",$AW225=""),"CPT outcome, ",""),LEN(IF($B225="","Notes, ","")&amp;IF($K225="","Latest Date Worked, ","")&amp;IF($AY225="","Last Action, ","")&amp;IF(AND(OR(TRIM($A225)="Denied",TRIM($A225)="Rejected"),$BA225=""),"Denial Reason, ","")&amp;IF(AND(TRIM($A225)="Denied",$BB225="",TRIM($BA225)&lt;&gt;"NO DENIAL"),"Denial Code, ","")&amp;IF(AND(TRIM($A225)&lt;&gt;"Finalized",$BD225=""),"Next Review Date, ","")&amp;IF(AND(TRIM($A225)&lt;&gt;"Finalized",$BE225=""),"Next Step, ","")&amp;IF(AND(TRIM($A225)="Finalized",$AV225="",$AR225="",$AT225="",$AX225="",$AW225=""),"CPT outcome, ",""))-2),"")</f>
        <v/>
      </c>
      <c r="BI225" s="15" t="str">
        <f aca="false">IF($BB225="","",IFERROR(INDEX('Denial Codes'!$C:$C,MATCH(LEFT($BB225,FIND(" - ",$BB225&amp;" - ")+2)&amp;"*",'Denial Codes'!$A:$A,0)),""))</f>
        <v/>
      </c>
      <c r="BJ225" s="15" t="str">
        <f aca="false">IF($BA225="","",IFERROR(INDEX(Lists!$B:$B,MATCH(TRIM($BA225),Lists!$A:$A,0))&amp;"",""))</f>
        <v>Review the diagnosis codes and pointers with the chart; correct and resubmit.</v>
      </c>
    </row>
    <row r="226" customFormat="false" ht="15" hidden="false" customHeight="false" outlineLevel="0" collapsed="false">
      <c r="A226" s="7" t="s">
        <v>17</v>
      </c>
      <c r="B226" s="7" t="s">
        <v>1110</v>
      </c>
      <c r="C226" s="8" t="n">
        <v>574469147</v>
      </c>
      <c r="D226" s="9" t="n">
        <v>46262</v>
      </c>
      <c r="E226" s="10" t="s">
        <v>1111</v>
      </c>
      <c r="F226" s="11" t="n">
        <v>46146</v>
      </c>
      <c r="G226" s="10" t="s">
        <v>145</v>
      </c>
      <c r="H226" s="10" t="s">
        <v>145</v>
      </c>
      <c r="I226" s="10" t="s">
        <v>129</v>
      </c>
      <c r="J226" s="10" t="s">
        <v>228</v>
      </c>
      <c r="K226" s="9" t="n">
        <v>46305</v>
      </c>
      <c r="L226" s="12" t="n">
        <f aca="true">IF($O226="","",$O226-TODAY())</f>
        <v>15</v>
      </c>
      <c r="M226" s="12" t="n">
        <f aca="true">IF(AND(TRIM($A226)="Finalized",$K226&lt;&gt;""),"",IF($F226="","",$F226+365-TODAY()))</f>
        <v>200</v>
      </c>
      <c r="N226" s="12" t="n">
        <f aca="true">IF(AND(TRIM($A226)="Finalized",$K226&lt;&gt;""),"",IF($F226="","",$F226+365-TODAY()))</f>
        <v>200</v>
      </c>
      <c r="O226" s="11" t="n">
        <f aca="false">IF(AND(TRIM($A226)="Finalized",$K226&lt;&gt;""),"",DATE(2026,10,31))</f>
        <v>46326</v>
      </c>
      <c r="P226" s="10" t="s">
        <v>147</v>
      </c>
      <c r="Q226" s="10" t="s">
        <v>148</v>
      </c>
      <c r="R226" s="10" t="s">
        <v>114</v>
      </c>
      <c r="S226" s="10" t="s">
        <v>149</v>
      </c>
      <c r="T226" s="10" t="s">
        <v>114</v>
      </c>
      <c r="U226" s="10" t="s">
        <v>149</v>
      </c>
      <c r="V226" s="10" t="s">
        <v>266</v>
      </c>
      <c r="W226" s="10" t="s">
        <v>119</v>
      </c>
      <c r="X226" s="10" t="s">
        <v>151</v>
      </c>
      <c r="Y226" s="10" t="s">
        <v>229</v>
      </c>
      <c r="Z226" s="10"/>
      <c r="AA226" s="10" t="s">
        <v>230</v>
      </c>
      <c r="AB226" s="8" t="n">
        <f aca="true">IF($F226="","",TODAY()-$F226)</f>
        <v>165</v>
      </c>
      <c r="AC226" s="10" t="s">
        <v>122</v>
      </c>
      <c r="AD226" s="10"/>
      <c r="AE226" s="10"/>
      <c r="AF226" s="10"/>
      <c r="AG226" s="10"/>
      <c r="AH226" s="10"/>
      <c r="AI226" s="10"/>
      <c r="AJ226" s="10" t="s">
        <v>123</v>
      </c>
      <c r="AK226" s="10" t="s">
        <v>254</v>
      </c>
      <c r="AL226" s="10"/>
      <c r="AM226" s="10"/>
      <c r="AN226" s="8"/>
      <c r="AO226" s="10" t="s">
        <v>838</v>
      </c>
      <c r="AP226" s="10" t="s">
        <v>404</v>
      </c>
      <c r="AQ226" s="11" t="n">
        <v>46162</v>
      </c>
      <c r="AR226" s="13"/>
      <c r="AS226" s="13"/>
      <c r="AT226" s="13"/>
      <c r="AU226" s="13"/>
      <c r="AV226" s="13"/>
      <c r="AW226" s="13"/>
      <c r="AX226" s="13"/>
      <c r="AY226" s="7" t="s">
        <v>159</v>
      </c>
      <c r="AZ226" s="7" t="s">
        <v>159</v>
      </c>
      <c r="BA226" s="7" t="s">
        <v>38</v>
      </c>
      <c r="BB226" s="7"/>
      <c r="BC226" s="7"/>
      <c r="BD226" s="9" t="n">
        <v>46336</v>
      </c>
      <c r="BE226" s="7"/>
      <c r="BF226" s="14" t="str">
        <f aca="true">IF(TRIM($A226)="Finalized","Closed",IF($BD226="","No review date set",IF($BD226&lt;TODAY(),"OVERDUE",IF($BD226-TODAY()&lt;=7,"Due within 7 days","Scheduled"))))</f>
        <v>Scheduled</v>
      </c>
      <c r="BG226" s="14" t="n">
        <f aca="true">IF($K226="","",TODAY()-$K226)</f>
        <v>6</v>
      </c>
      <c r="BH226" s="15" t="str">
        <f aca="false">IFERROR(LEFT(IF($B226="","Notes, ","")&amp;IF($K226="","Latest Date Worked, ","")&amp;IF($AY226="","Last Action, ","")&amp;IF(AND(OR(TRIM($A226)="Denied",TRIM($A226)="Rejected"),$BA226=""),"Denial Reason, ","")&amp;IF(AND(TRIM($A226)="Denied",$BB226="",TRIM($BA226)&lt;&gt;"NO DENIAL"),"Denial Code, ","")&amp;IF(AND(TRIM($A226)&lt;&gt;"Finalized",$BD226=""),"Next Review Date, ","")&amp;IF(AND(TRIM($A226)&lt;&gt;"Finalized",$BE226=""),"Next Step, ","")&amp;IF(AND(TRIM($A226)="Finalized",$AV226="",$AR226="",$AT226="",$AX226="",$AW226=""),"CPT outcome, ",""),LEN(IF($B226="","Notes, ","")&amp;IF($K226="","Latest Date Worked, ","")&amp;IF($AY226="","Last Action, ","")&amp;IF(AND(OR(TRIM($A226)="Denied",TRIM($A226)="Rejected"),$BA226=""),"Denial Reason, ","")&amp;IF(AND(TRIM($A226)="Denied",$BB226="",TRIM($BA226)&lt;&gt;"NO DENIAL"),"Denial Code, ","")&amp;IF(AND(TRIM($A226)&lt;&gt;"Finalized",$BD226=""),"Next Review Date, ","")&amp;IF(AND(TRIM($A226)&lt;&gt;"Finalized",$BE226=""),"Next Step, ","")&amp;IF(AND(TRIM($A226)="Finalized",$AV226="",$AR226="",$AT226="",$AX226="",$AW226=""),"CPT outcome, ",""))-2),"")</f>
        <v>Denial Code, Next Step</v>
      </c>
      <c r="BI226" s="15" t="str">
        <f aca="false">IF($BB226="","",IFERROR(INDEX('Denial Codes'!$C:$C,MATCH(LEFT($BB226,FIND(" - ",$BB226&amp;" - ")+2)&amp;"*",'Denial Codes'!$A:$A,0)),""))</f>
        <v/>
      </c>
      <c r="BJ226" s="15" t="str">
        <f aca="false">IF($BA226="","",IFERROR(INDEX(Lists!$B:$B,MATCH(TRIM($BA226),Lists!$A:$A,0))&amp;"",""))</f>
        <v>Correct or add the modifier (e.g. NU/RR, KX, RT/LT, 25) and resubmit.</v>
      </c>
    </row>
    <row r="227" customFormat="false" ht="15" hidden="false" customHeight="false" outlineLevel="0" collapsed="false">
      <c r="A227" s="7" t="s">
        <v>18</v>
      </c>
      <c r="B227" s="7" t="s">
        <v>1112</v>
      </c>
      <c r="C227" s="8" t="n">
        <v>561880706</v>
      </c>
      <c r="D227" s="9" t="n">
        <v>46190</v>
      </c>
      <c r="E227" s="10" t="s">
        <v>1113</v>
      </c>
      <c r="F227" s="11" t="n">
        <v>46160</v>
      </c>
      <c r="G227" s="10" t="s">
        <v>1114</v>
      </c>
      <c r="H227" s="10" t="s">
        <v>1114</v>
      </c>
      <c r="I227" s="10" t="s">
        <v>129</v>
      </c>
      <c r="J227" s="10" t="s">
        <v>842</v>
      </c>
      <c r="K227" s="9"/>
      <c r="L227" s="12" t="n">
        <f aca="true">IF($O227="","",$O227-TODAY())</f>
        <v>29</v>
      </c>
      <c r="M227" s="12" t="n">
        <f aca="true">IF(AND(TRIM($A227)="Finalized",$K227&lt;&gt;""),"",IF($F227="","",$F227+180-TODAY()))</f>
        <v>29</v>
      </c>
      <c r="N227" s="12" t="n">
        <f aca="true">IF(AND(TRIM($A227)="Finalized",$K227&lt;&gt;""),"",IF($D227="","",$D227+180-TODAY()))</f>
        <v>59</v>
      </c>
      <c r="O227" s="11" t="n">
        <f aca="false">IF(AND(TRIM($A227)="Finalized",$K227&lt;&gt;""),"",DATE(2026,11,14))</f>
        <v>46340</v>
      </c>
      <c r="P227" s="10" t="s">
        <v>147</v>
      </c>
      <c r="Q227" s="10" t="s">
        <v>1115</v>
      </c>
      <c r="R227" s="10" t="s">
        <v>147</v>
      </c>
      <c r="S227" s="10" t="s">
        <v>149</v>
      </c>
      <c r="T227" s="10" t="s">
        <v>147</v>
      </c>
      <c r="U227" s="10" t="s">
        <v>116</v>
      </c>
      <c r="V227" s="10" t="s">
        <v>266</v>
      </c>
      <c r="W227" s="10" t="s">
        <v>119</v>
      </c>
      <c r="X227" s="10" t="s">
        <v>229</v>
      </c>
      <c r="Y227" s="10"/>
      <c r="Z227" s="10"/>
      <c r="AA227" s="10" t="s">
        <v>793</v>
      </c>
      <c r="AB227" s="8" t="n">
        <f aca="true">IF($F227="","",TODAY()-$F227)</f>
        <v>151</v>
      </c>
      <c r="AC227" s="10" t="s">
        <v>122</v>
      </c>
      <c r="AD227" s="10"/>
      <c r="AE227" s="10"/>
      <c r="AF227" s="10"/>
      <c r="AG227" s="10"/>
      <c r="AH227" s="10"/>
      <c r="AI227" s="10"/>
      <c r="AJ227" s="10" t="s">
        <v>123</v>
      </c>
      <c r="AK227" s="10" t="s">
        <v>362</v>
      </c>
      <c r="AL227" s="10"/>
      <c r="AM227" s="10"/>
      <c r="AN227" s="8"/>
      <c r="AO227" s="10" t="s">
        <v>1116</v>
      </c>
      <c r="AP227" s="10" t="s">
        <v>202</v>
      </c>
      <c r="AQ227" s="11" t="n">
        <v>46183</v>
      </c>
      <c r="AR227" s="13"/>
      <c r="AS227" s="13"/>
      <c r="AT227" s="13"/>
      <c r="AU227" s="13"/>
      <c r="AV227" s="13"/>
      <c r="AW227" s="13"/>
      <c r="AX227" s="13"/>
      <c r="AY227" s="7"/>
      <c r="AZ227" s="7"/>
      <c r="BA227" s="7" t="s">
        <v>43</v>
      </c>
      <c r="BB227" s="7"/>
      <c r="BC227" s="7"/>
      <c r="BD227" s="9"/>
      <c r="BE227" s="7" t="s">
        <v>1117</v>
      </c>
      <c r="BF227" s="14" t="str">
        <f aca="true">IF(TRIM($A227)="Finalized","Closed",IF($BD227="","No review date set",IF($BD227&lt;TODAY(),"OVERDUE",IF($BD227-TODAY()&lt;=7,"Due within 7 days","Scheduled"))))</f>
        <v>No review date set</v>
      </c>
      <c r="BG227" s="14" t="str">
        <f aca="true">IF($K227="","",TODAY()-$K227)</f>
        <v/>
      </c>
      <c r="BH227" s="15" t="str">
        <f aca="false">IFERROR(LEFT(IF($B227="","Notes, ","")&amp;IF($K227="","Latest Date Worked, ","")&amp;IF($AY227="","Last Action, ","")&amp;IF(AND(OR(TRIM($A227)="Denied",TRIM($A227)="Rejected"),$BA227=""),"Denial Reason, ","")&amp;IF(AND(TRIM($A227)="Denied",$BB227="",TRIM($BA227)&lt;&gt;"NO DENIAL"),"Denial Code, ","")&amp;IF(AND(TRIM($A227)&lt;&gt;"Finalized",$BD227=""),"Next Review Date, ","")&amp;IF(AND(TRIM($A227)&lt;&gt;"Finalized",$BE227=""),"Next Step, ","")&amp;IF(AND(TRIM($A227)="Finalized",$AV227="",$AR227="",$AT227="",$AX227="",$AW227=""),"CPT outcome, ",""),LEN(IF($B227="","Notes, ","")&amp;IF($K227="","Latest Date Worked, ","")&amp;IF($AY227="","Last Action, ","")&amp;IF(AND(OR(TRIM($A227)="Denied",TRIM($A227)="Rejected"),$BA227=""),"Denial Reason, ","")&amp;IF(AND(TRIM($A227)="Denied",$BB227="",TRIM($BA227)&lt;&gt;"NO DENIAL"),"Denial Code, ","")&amp;IF(AND(TRIM($A227)&lt;&gt;"Finalized",$BD227=""),"Next Review Date, ","")&amp;IF(AND(TRIM($A227)&lt;&gt;"Finalized",$BE227=""),"Next Step, ","")&amp;IF(AND(TRIM($A227)="Finalized",$AV227="",$AR227="",$AT227="",$AX227="",$AW227=""),"CPT outcome, ",""))-2),"")</f>
        <v>Latest Date Worked, Last Action, Next Review Date</v>
      </c>
      <c r="BI227" s="15" t="str">
        <f aca="false">IF($BB227="","",IFERROR(INDEX('Denial Codes'!$C:$C,MATCH(LEFT($BB227,FIND(" - ",$BB227&amp;" - ")+2)&amp;"*",'Denial Codes'!$A:$A,0)),""))</f>
        <v/>
      </c>
      <c r="BJ227" s="15" t="str">
        <f aca="false">IF($BA227="","",IFERROR(INDEX(Lists!$B:$B,MATCH(TRIM($BA227),Lists!$A:$A,0))&amp;"",""))</f>
        <v>Appeal with medical records and a letter of medical necessity; check LCD/MUE limits.</v>
      </c>
    </row>
    <row r="228" customFormat="false" ht="15" hidden="false" customHeight="false" outlineLevel="0" collapsed="false">
      <c r="A228" s="7" t="s">
        <v>16</v>
      </c>
      <c r="B228" s="7" t="s">
        <v>1118</v>
      </c>
      <c r="C228" s="8" t="n">
        <v>561866854</v>
      </c>
      <c r="D228" s="9" t="n">
        <v>46195</v>
      </c>
      <c r="E228" s="10" t="s">
        <v>1119</v>
      </c>
      <c r="F228" s="11" t="n">
        <v>46170</v>
      </c>
      <c r="G228" s="10" t="s">
        <v>145</v>
      </c>
      <c r="H228" s="10" t="s">
        <v>145</v>
      </c>
      <c r="I228" s="10" t="s">
        <v>129</v>
      </c>
      <c r="J228" s="10" t="s">
        <v>583</v>
      </c>
      <c r="K228" s="9" t="n">
        <v>46254</v>
      </c>
      <c r="L228" s="12" t="str">
        <f aca="true">IF($O228="","",$O228-TODAY())</f>
        <v/>
      </c>
      <c r="M228" s="12" t="str">
        <f aca="true">IF(AND(TRIM($A228)="Finalized",$K228&lt;&gt;""),"",IF($F228="","",$F228+365-TODAY()))</f>
        <v/>
      </c>
      <c r="N228" s="12" t="str">
        <f aca="true">IF(AND(TRIM($A228)="Finalized",$K228&lt;&gt;""),"",IF($F228="","",$F228+365-TODAY()))</f>
        <v/>
      </c>
      <c r="O228" s="11" t="str">
        <f aca="false">IF(AND(TRIM($A228)="Finalized",$K228&lt;&gt;""),"",DATE(2026,11,24))</f>
        <v/>
      </c>
      <c r="P228" s="10" t="s">
        <v>147</v>
      </c>
      <c r="Q228" s="10" t="s">
        <v>148</v>
      </c>
      <c r="R228" s="10" t="s">
        <v>114</v>
      </c>
      <c r="S228" s="10" t="s">
        <v>149</v>
      </c>
      <c r="T228" s="10" t="s">
        <v>114</v>
      </c>
      <c r="U228" s="10" t="s">
        <v>149</v>
      </c>
      <c r="V228" s="10" t="s">
        <v>266</v>
      </c>
      <c r="W228" s="10" t="s">
        <v>119</v>
      </c>
      <c r="X228" s="10" t="s">
        <v>151</v>
      </c>
      <c r="Y228" s="10"/>
      <c r="Z228" s="10"/>
      <c r="AA228" s="10" t="s">
        <v>197</v>
      </c>
      <c r="AB228" s="8" t="n">
        <f aca="true">IF($F228="","",TODAY()-$F228)</f>
        <v>141</v>
      </c>
      <c r="AC228" s="10" t="s">
        <v>584</v>
      </c>
      <c r="AD228" s="10"/>
      <c r="AE228" s="10"/>
      <c r="AF228" s="10"/>
      <c r="AG228" s="10"/>
      <c r="AH228" s="10"/>
      <c r="AI228" s="10"/>
      <c r="AJ228" s="10" t="s">
        <v>311</v>
      </c>
      <c r="AK228" s="10" t="s">
        <v>139</v>
      </c>
      <c r="AL228" s="10" t="s">
        <v>686</v>
      </c>
      <c r="AM228" s="10"/>
      <c r="AN228" s="8"/>
      <c r="AO228" s="10" t="s">
        <v>187</v>
      </c>
      <c r="AP228" s="10" t="s">
        <v>1120</v>
      </c>
      <c r="AQ228" s="11" t="n">
        <v>46183</v>
      </c>
      <c r="AR228" s="13"/>
      <c r="AS228" s="13"/>
      <c r="AT228" s="13"/>
      <c r="AU228" s="13"/>
      <c r="AV228" s="13" t="s">
        <v>584</v>
      </c>
      <c r="AW228" s="13"/>
      <c r="AX228" s="13" t="s">
        <v>584</v>
      </c>
      <c r="AY228" s="7" t="s">
        <v>363</v>
      </c>
      <c r="AZ228" s="7" t="s">
        <v>159</v>
      </c>
      <c r="BA228" s="7" t="s">
        <v>39</v>
      </c>
      <c r="BB228" s="7" t="s">
        <v>1042</v>
      </c>
      <c r="BC228" s="7"/>
      <c r="BD228" s="9"/>
      <c r="BE228" s="7"/>
      <c r="BF228" s="14" t="str">
        <f aca="true">IF(TRIM($A228)="Finalized","Closed",IF($BD228="","No review date set",IF($BD228&lt;TODAY(),"OVERDUE",IF($BD228-TODAY()&lt;=7,"Due within 7 days","Scheduled"))))</f>
        <v>Closed</v>
      </c>
      <c r="BG228" s="14" t="n">
        <f aca="true">IF($K228="","",TODAY()-$K228)</f>
        <v>57</v>
      </c>
      <c r="BH228" s="15" t="str">
        <f aca="false">IFERROR(LEFT(IF($B228="","Notes, ","")&amp;IF($K228="","Latest Date Worked, ","")&amp;IF($AY228="","Last Action, ","")&amp;IF(AND(OR(TRIM($A228)="Denied",TRIM($A228)="Rejected"),$BA228=""),"Denial Reason, ","")&amp;IF(AND(TRIM($A228)="Denied",$BB228="",TRIM($BA228)&lt;&gt;"NO DENIAL"),"Denial Code, ","")&amp;IF(AND(TRIM($A228)&lt;&gt;"Finalized",$BD228=""),"Next Review Date, ","")&amp;IF(AND(TRIM($A228)&lt;&gt;"Finalized",$BE228=""),"Next Step, ","")&amp;IF(AND(TRIM($A228)="Finalized",$AV228="",$AR228="",$AT228="",$AX228="",$AW228=""),"CPT outcome, ",""),LEN(IF($B228="","Notes, ","")&amp;IF($K228="","Latest Date Worked, ","")&amp;IF($AY228="","Last Action, ","")&amp;IF(AND(OR(TRIM($A228)="Denied",TRIM($A228)="Rejected"),$BA228=""),"Denial Reason, ","")&amp;IF(AND(TRIM($A228)="Denied",$BB228="",TRIM($BA228)&lt;&gt;"NO DENIAL"),"Denial Code, ","")&amp;IF(AND(TRIM($A228)&lt;&gt;"Finalized",$BD228=""),"Next Review Date, ","")&amp;IF(AND(TRIM($A228)&lt;&gt;"Finalized",$BE228=""),"Next Step, ","")&amp;IF(AND(TRIM($A228)="Finalized",$AV228="",$AR228="",$AT228="",$AX228="",$AW228=""),"CPT outcome, ",""))-2),"")</f>
        <v/>
      </c>
      <c r="BI228" s="15" t="str">
        <f aca="false">IF($BB228="","",IFERROR(INDEX('Denial Codes'!$C:$C,MATCH(LEFT($BB228,FIND(" - ",$BB228&amp;" - ")+2)&amp;"*",'Denial Codes'!$A:$A,0)),""))</f>
        <v>Diagnosis issue</v>
      </c>
      <c r="BJ228" s="15" t="str">
        <f aca="false">IF($BA228="","",IFERROR(INDEX(Lists!$B:$B,MATCH(TRIM($BA228),Lists!$A:$A,0))&amp;"",""))</f>
        <v>Review the diagnosis codes and pointers with the chart; correct and resubmit.</v>
      </c>
    </row>
    <row r="229" customFormat="false" ht="15" hidden="false" customHeight="false" outlineLevel="0" collapsed="false">
      <c r="A229" s="7" t="s">
        <v>20</v>
      </c>
      <c r="B229" s="7" t="s">
        <v>109</v>
      </c>
      <c r="C229" s="8" t="n">
        <v>564581824</v>
      </c>
      <c r="D229" s="9" t="n">
        <v>46232</v>
      </c>
      <c r="E229" s="10" t="s">
        <v>1121</v>
      </c>
      <c r="F229" s="11" t="n">
        <v>46202</v>
      </c>
      <c r="G229" s="10" t="s">
        <v>1122</v>
      </c>
      <c r="H229" s="10" t="s">
        <v>1122</v>
      </c>
      <c r="I229" s="10" t="s">
        <v>145</v>
      </c>
      <c r="J229" s="10" t="s">
        <v>1123</v>
      </c>
      <c r="K229" s="9" t="n">
        <v>46246</v>
      </c>
      <c r="L229" s="12" t="n">
        <f aca="true">IF($O229="","",$O229-TODAY())</f>
        <v>41</v>
      </c>
      <c r="M229" s="12" t="n">
        <f aca="true">IF(AND(TRIM($A229)="Finalized",$K229&lt;&gt;""),"",IF($F229="","",$F229+365-TODAY()))</f>
        <v>256</v>
      </c>
      <c r="N229" s="12" t="n">
        <f aca="true">IF(AND(TRIM($A229)="Finalized",$K229&lt;&gt;""),"",IF($F229="","",$F229+365-TODAY()))</f>
        <v>256</v>
      </c>
      <c r="O229" s="11" t="n">
        <f aca="false">IF(AND(TRIM($A229)="Finalized",$K229&lt;&gt;""),"",DATE(2026,11,26))</f>
        <v>46352</v>
      </c>
      <c r="P229" s="10" t="s">
        <v>1124</v>
      </c>
      <c r="Q229" s="10" t="s">
        <v>1125</v>
      </c>
      <c r="R229" s="10" t="s">
        <v>114</v>
      </c>
      <c r="S229" s="10" t="s">
        <v>149</v>
      </c>
      <c r="T229" s="10" t="s">
        <v>114</v>
      </c>
      <c r="U229" s="10" t="s">
        <v>149</v>
      </c>
      <c r="V229" s="10" t="s">
        <v>303</v>
      </c>
      <c r="W229" s="10" t="s">
        <v>132</v>
      </c>
      <c r="X229" s="10"/>
      <c r="Y229" s="10"/>
      <c r="Z229" s="10"/>
      <c r="AA229" s="10" t="s">
        <v>197</v>
      </c>
      <c r="AB229" s="8" t="n">
        <f aca="true">IF($F229="","",TODAY()-$F229)</f>
        <v>109</v>
      </c>
      <c r="AC229" s="10" t="s">
        <v>1126</v>
      </c>
      <c r="AD229" s="10"/>
      <c r="AE229" s="10"/>
      <c r="AF229" s="10"/>
      <c r="AG229" s="10"/>
      <c r="AH229" s="10"/>
      <c r="AI229" s="10"/>
      <c r="AJ229" s="10" t="s">
        <v>1127</v>
      </c>
      <c r="AK229" s="10"/>
      <c r="AL229" s="10"/>
      <c r="AM229" s="10"/>
      <c r="AN229" s="8"/>
      <c r="AO229" s="10" t="s">
        <v>1128</v>
      </c>
      <c r="AP229" s="10" t="s">
        <v>327</v>
      </c>
      <c r="AQ229" s="11" t="n">
        <v>46217</v>
      </c>
      <c r="AR229" s="13"/>
      <c r="AS229" s="13"/>
      <c r="AT229" s="13"/>
      <c r="AU229" s="13"/>
      <c r="AV229" s="13" t="s">
        <v>1126</v>
      </c>
      <c r="AW229" s="13"/>
      <c r="AX229" s="13"/>
      <c r="AY229" s="7"/>
      <c r="AZ229" s="7"/>
      <c r="BA229" s="7"/>
      <c r="BB229" s="7"/>
      <c r="BC229" s="7"/>
      <c r="BD229" s="9" t="n">
        <v>46277</v>
      </c>
      <c r="BE229" s="7"/>
      <c r="BF229" s="14" t="str">
        <f aca="true">IF(TRIM($A229)="Finalized","Closed",IF($BD229="","No review date set",IF($BD229&lt;TODAY(),"OVERDUE",IF($BD229-TODAY()&lt;=7,"Due within 7 days","Scheduled"))))</f>
        <v>OVERDUE</v>
      </c>
      <c r="BG229" s="14" t="n">
        <f aca="true">IF($K229="","",TODAY()-$K229)</f>
        <v>65</v>
      </c>
      <c r="BH229" s="15" t="str">
        <f aca="false">IFERROR(LEFT(IF($B229="","Notes, ","")&amp;IF($K229="","Latest Date Worked, ","")&amp;IF($AY229="","Last Action, ","")&amp;IF(AND(OR(TRIM($A229)="Denied",TRIM($A229)="Rejected"),$BA229=""),"Denial Reason, ","")&amp;IF(AND(TRIM($A229)="Denied",$BB229="",TRIM($BA229)&lt;&gt;"NO DENIAL"),"Denial Code, ","")&amp;IF(AND(TRIM($A229)&lt;&gt;"Finalized",$BD229=""),"Next Review Date, ","")&amp;IF(AND(TRIM($A229)&lt;&gt;"Finalized",$BE229=""),"Next Step, ","")&amp;IF(AND(TRIM($A229)="Finalized",$AV229="",$AR229="",$AT229="",$AX229="",$AW229=""),"CPT outcome, ",""),LEN(IF($B229="","Notes, ","")&amp;IF($K229="","Latest Date Worked, ","")&amp;IF($AY229="","Last Action, ","")&amp;IF(AND(OR(TRIM($A229)="Denied",TRIM($A229)="Rejected"),$BA229=""),"Denial Reason, ","")&amp;IF(AND(TRIM($A229)="Denied",$BB229="",TRIM($BA229)&lt;&gt;"NO DENIAL"),"Denial Code, ","")&amp;IF(AND(TRIM($A229)&lt;&gt;"Finalized",$BD229=""),"Next Review Date, ","")&amp;IF(AND(TRIM($A229)&lt;&gt;"Finalized",$BE229=""),"Next Step, ","")&amp;IF(AND(TRIM($A229)="Finalized",$AV229="",$AR229="",$AT229="",$AX229="",$AW229=""),"CPT outcome, ",""))-2),"")</f>
        <v>Last Action, Next Step</v>
      </c>
      <c r="BI229" s="15" t="str">
        <f aca="false">IF($BB229="","",IFERROR(INDEX('Denial Codes'!$C:$C,MATCH(LEFT($BB229,FIND(" - ",$BB229&amp;" - ")+2)&amp;"*",'Denial Codes'!$A:$A,0)),""))</f>
        <v/>
      </c>
      <c r="BJ229" s="15" t="str">
        <f aca="false">IF($BA229="","",IFERROR(INDEX(Lists!$B:$B,MATCH(TRIM($BA229),Lists!$A:$A,0))&amp;"",""))</f>
        <v/>
      </c>
    </row>
    <row r="230" customFormat="false" ht="15" hidden="false" customHeight="false" outlineLevel="0" collapsed="false">
      <c r="A230" s="7" t="s">
        <v>17</v>
      </c>
      <c r="B230" s="7" t="s">
        <v>1129</v>
      </c>
      <c r="C230" s="8" t="n">
        <v>574468651</v>
      </c>
      <c r="D230" s="9" t="n">
        <v>46192</v>
      </c>
      <c r="E230" s="10" t="s">
        <v>1130</v>
      </c>
      <c r="F230" s="11" t="n">
        <v>46175</v>
      </c>
      <c r="G230" s="10" t="s">
        <v>260</v>
      </c>
      <c r="H230" s="10" t="s">
        <v>260</v>
      </c>
      <c r="I230" s="10" t="s">
        <v>1131</v>
      </c>
      <c r="J230" s="10" t="s">
        <v>1132</v>
      </c>
      <c r="K230" s="9" t="n">
        <v>46305</v>
      </c>
      <c r="L230" s="12" t="n">
        <f aca="true">IF($O230="","",$O230-TODAY())</f>
        <v>229</v>
      </c>
      <c r="M230" s="12" t="n">
        <f aca="true">IF(AND(TRIM($A230)="Finalized",$K230&lt;&gt;""),"",IF($D230="","",$D230+365-TODAY()))</f>
        <v>246</v>
      </c>
      <c r="N230" s="12" t="n">
        <f aca="true">IF(AND(TRIM($A230)="Finalized",$K230&lt;&gt;""),"",IF($D230="","",$D230+120-TODAY()))</f>
        <v>1</v>
      </c>
      <c r="O230" s="11" t="n">
        <f aca="false">IF(AND(TRIM($A230)="Finalized",$K230&lt;&gt;""),"",DATE(2027,6,2))</f>
        <v>46540</v>
      </c>
      <c r="P230" s="10" t="s">
        <v>114</v>
      </c>
      <c r="Q230" s="10" t="s">
        <v>115</v>
      </c>
      <c r="R230" s="10" t="s">
        <v>114</v>
      </c>
      <c r="S230" s="10" t="s">
        <v>116</v>
      </c>
      <c r="T230" s="10" t="s">
        <v>117</v>
      </c>
      <c r="U230" s="10" t="s">
        <v>116</v>
      </c>
      <c r="V230" s="10" t="s">
        <v>303</v>
      </c>
      <c r="W230" s="10" t="s">
        <v>119</v>
      </c>
      <c r="X230" s="10" t="s">
        <v>304</v>
      </c>
      <c r="Y230" s="10"/>
      <c r="Z230" s="10"/>
      <c r="AA230" s="10" t="s">
        <v>197</v>
      </c>
      <c r="AB230" s="8" t="n">
        <f aca="true">IF($F230="","",TODAY()-$F230)</f>
        <v>136</v>
      </c>
      <c r="AC230" s="10" t="s">
        <v>1133</v>
      </c>
      <c r="AD230" s="10"/>
      <c r="AE230" s="10"/>
      <c r="AF230" s="10"/>
      <c r="AG230" s="10"/>
      <c r="AH230" s="10"/>
      <c r="AI230" s="10"/>
      <c r="AJ230" s="10" t="s">
        <v>1069</v>
      </c>
      <c r="AK230" s="10"/>
      <c r="AL230" s="10"/>
      <c r="AM230" s="10"/>
      <c r="AN230" s="8"/>
      <c r="AO230" s="10" t="s">
        <v>155</v>
      </c>
      <c r="AP230" s="10" t="s">
        <v>156</v>
      </c>
      <c r="AQ230" s="11" t="n">
        <v>46185</v>
      </c>
      <c r="AR230" s="13"/>
      <c r="AS230" s="13"/>
      <c r="AT230" s="13"/>
      <c r="AU230" s="13"/>
      <c r="AV230" s="13"/>
      <c r="AW230" s="13"/>
      <c r="AX230" s="13" t="s">
        <v>1133</v>
      </c>
      <c r="AY230" s="7" t="s">
        <v>159</v>
      </c>
      <c r="AZ230" s="7"/>
      <c r="BA230" s="7" t="s">
        <v>45</v>
      </c>
      <c r="BB230" s="7" t="s">
        <v>1134</v>
      </c>
      <c r="BC230" s="7"/>
      <c r="BD230" s="9" t="n">
        <v>46336</v>
      </c>
      <c r="BE230" s="7"/>
      <c r="BF230" s="14" t="str">
        <f aca="true">IF(TRIM($A230)="Finalized","Closed",IF($BD230="","No review date set",IF($BD230&lt;TODAY(),"OVERDUE",IF($BD230-TODAY()&lt;=7,"Due within 7 days","Scheduled"))))</f>
        <v>Scheduled</v>
      </c>
      <c r="BG230" s="14" t="n">
        <f aca="true">IF($K230="","",TODAY()-$K230)</f>
        <v>6</v>
      </c>
      <c r="BH230" s="15" t="str">
        <f aca="false">IFERROR(LEFT(IF($B230="","Notes, ","")&amp;IF($K230="","Latest Date Worked, ","")&amp;IF($AY230="","Last Action, ","")&amp;IF(AND(OR(TRIM($A230)="Denied",TRIM($A230)="Rejected"),$BA230=""),"Denial Reason, ","")&amp;IF(AND(TRIM($A230)="Denied",$BB230="",TRIM($BA230)&lt;&gt;"NO DENIAL"),"Denial Code, ","")&amp;IF(AND(TRIM($A230)&lt;&gt;"Finalized",$BD230=""),"Next Review Date, ","")&amp;IF(AND(TRIM($A230)&lt;&gt;"Finalized",$BE230=""),"Next Step, ","")&amp;IF(AND(TRIM($A230)="Finalized",$AV230="",$AR230="",$AT230="",$AX230="",$AW230=""),"CPT outcome, ",""),LEN(IF($B230="","Notes, ","")&amp;IF($K230="","Latest Date Worked, ","")&amp;IF($AY230="","Last Action, ","")&amp;IF(AND(OR(TRIM($A230)="Denied",TRIM($A230)="Rejected"),$BA230=""),"Denial Reason, ","")&amp;IF(AND(TRIM($A230)="Denied",$BB230="",TRIM($BA230)&lt;&gt;"NO DENIAL"),"Denial Code, ","")&amp;IF(AND(TRIM($A230)&lt;&gt;"Finalized",$BD230=""),"Next Review Date, ","")&amp;IF(AND(TRIM($A230)&lt;&gt;"Finalized",$BE230=""),"Next Step, ","")&amp;IF(AND(TRIM($A230)="Finalized",$AV230="",$AR230="",$AT230="",$AX230="",$AW230=""),"CPT outcome, ",""))-2),"")</f>
        <v>Next Step</v>
      </c>
      <c r="BI230" s="15" t="str">
        <f aca="false">IF($BB230="","",IFERROR(INDEX('Denial Codes'!$C:$C,MATCH(LEFT($BB230,FIND(" - ",$BB230&amp;" - ")+2)&amp;"*",'Denial Codes'!$A:$A,0)),""))</f>
        <v>Other insurance / COB</v>
      </c>
      <c r="BJ230" s="15" t="str">
        <f aca="false">IF($BA230="","",IFERROR(INDEX(Lists!$B:$B,MATCH(TRIM($BA230),Lists!$A:$A,0))&amp;"",""))</f>
        <v>Get the other insurance and primary EOB, update COB with the payer and bill primary first.</v>
      </c>
    </row>
    <row r="231" customFormat="false" ht="15" hidden="false" customHeight="false" outlineLevel="0" collapsed="false">
      <c r="A231" s="7" t="s">
        <v>17</v>
      </c>
      <c r="B231" s="7" t="s">
        <v>1135</v>
      </c>
      <c r="C231" s="8" t="n">
        <v>565108232</v>
      </c>
      <c r="D231" s="9" t="n">
        <v>46225</v>
      </c>
      <c r="E231" s="10" t="s">
        <v>1136</v>
      </c>
      <c r="F231" s="11" t="n">
        <v>46195</v>
      </c>
      <c r="G231" s="10" t="s">
        <v>1131</v>
      </c>
      <c r="H231" s="10" t="s">
        <v>1131</v>
      </c>
      <c r="I231" s="10" t="s">
        <v>129</v>
      </c>
      <c r="J231" s="10" t="s">
        <v>1137</v>
      </c>
      <c r="K231" s="9" t="n">
        <v>46305</v>
      </c>
      <c r="L231" s="12" t="n">
        <f aca="true">IF($O231="","",$O231-TODAY())</f>
        <v>64</v>
      </c>
      <c r="M231" s="12" t="n">
        <f aca="true">IF(AND(TRIM($A231)="Finalized",$K231&lt;&gt;""),"",IF($F231="","",$F231+365-TODAY()))</f>
        <v>249</v>
      </c>
      <c r="N231" s="12" t="n">
        <f aca="true">IF(AND(TRIM($A231)="Finalized",$K231&lt;&gt;""),"",IF($F231="","",$F231+365-TODAY()))</f>
        <v>249</v>
      </c>
      <c r="O231" s="11" t="n">
        <f aca="false">IF(AND(TRIM($A231)="Finalized",$K231&lt;&gt;""),"",DATE(2026,12,19))</f>
        <v>46375</v>
      </c>
      <c r="P231" s="10" t="s">
        <v>147</v>
      </c>
      <c r="Q231" s="10" t="s">
        <v>1138</v>
      </c>
      <c r="R231" s="10" t="s">
        <v>114</v>
      </c>
      <c r="S231" s="10" t="s">
        <v>149</v>
      </c>
      <c r="T231" s="10" t="s">
        <v>114</v>
      </c>
      <c r="U231" s="10" t="s">
        <v>149</v>
      </c>
      <c r="V231" s="10" t="s">
        <v>303</v>
      </c>
      <c r="W231" s="10" t="s">
        <v>434</v>
      </c>
      <c r="X231" s="10" t="s">
        <v>930</v>
      </c>
      <c r="Y231" s="10" t="s">
        <v>621</v>
      </c>
      <c r="Z231" s="10"/>
      <c r="AA231" s="10" t="s">
        <v>480</v>
      </c>
      <c r="AB231" s="8" t="n">
        <f aca="true">IF($F231="","",TODAY()-$F231)</f>
        <v>116</v>
      </c>
      <c r="AC231" s="10" t="s">
        <v>439</v>
      </c>
      <c r="AD231" s="10" t="s">
        <v>441</v>
      </c>
      <c r="AE231" s="10"/>
      <c r="AF231" s="10"/>
      <c r="AG231" s="10"/>
      <c r="AH231" s="10"/>
      <c r="AI231" s="10"/>
      <c r="AJ231" s="10" t="s">
        <v>579</v>
      </c>
      <c r="AK231" s="10" t="s">
        <v>445</v>
      </c>
      <c r="AL231" s="10" t="s">
        <v>622</v>
      </c>
      <c r="AM231" s="10"/>
      <c r="AN231" s="8"/>
      <c r="AO231" s="10" t="s">
        <v>447</v>
      </c>
      <c r="AP231" s="10" t="s">
        <v>188</v>
      </c>
      <c r="AQ231" s="11" t="n">
        <v>46216</v>
      </c>
      <c r="AR231" s="13"/>
      <c r="AS231" s="13"/>
      <c r="AT231" s="13"/>
      <c r="AU231" s="13"/>
      <c r="AV231" s="13"/>
      <c r="AW231" s="13"/>
      <c r="AX231" s="13" t="s">
        <v>1139</v>
      </c>
      <c r="AY231" s="7" t="s">
        <v>354</v>
      </c>
      <c r="AZ231" s="7"/>
      <c r="BA231" s="7" t="s">
        <v>37</v>
      </c>
      <c r="BB231" s="7" t="s">
        <v>1140</v>
      </c>
      <c r="BC231" s="7" t="s">
        <v>1141</v>
      </c>
      <c r="BD231" s="9" t="n">
        <v>46336</v>
      </c>
      <c r="BE231" s="7"/>
      <c r="BF231" s="14" t="str">
        <f aca="true">IF(TRIM($A231)="Finalized","Closed",IF($BD231="","No review date set",IF($BD231&lt;TODAY(),"OVERDUE",IF($BD231-TODAY()&lt;=7,"Due within 7 days","Scheduled"))))</f>
        <v>Scheduled</v>
      </c>
      <c r="BG231" s="14" t="n">
        <f aca="true">IF($K231="","",TODAY()-$K231)</f>
        <v>6</v>
      </c>
      <c r="BH231" s="15" t="str">
        <f aca="false">IFERROR(LEFT(IF($B231="","Notes, ","")&amp;IF($K231="","Latest Date Worked, ","")&amp;IF($AY231="","Last Action, ","")&amp;IF(AND(OR(TRIM($A231)="Denied",TRIM($A231)="Rejected"),$BA231=""),"Denial Reason, ","")&amp;IF(AND(TRIM($A231)="Denied",$BB231="",TRIM($BA231)&lt;&gt;"NO DENIAL"),"Denial Code, ","")&amp;IF(AND(TRIM($A231)&lt;&gt;"Finalized",$BD231=""),"Next Review Date, ","")&amp;IF(AND(TRIM($A231)&lt;&gt;"Finalized",$BE231=""),"Next Step, ","")&amp;IF(AND(TRIM($A231)="Finalized",$AV231="",$AR231="",$AT231="",$AX231="",$AW231=""),"CPT outcome, ",""),LEN(IF($B231="","Notes, ","")&amp;IF($K231="","Latest Date Worked, ","")&amp;IF($AY231="","Last Action, ","")&amp;IF(AND(OR(TRIM($A231)="Denied",TRIM($A231)="Rejected"),$BA231=""),"Denial Reason, ","")&amp;IF(AND(TRIM($A231)="Denied",$BB231="",TRIM($BA231)&lt;&gt;"NO DENIAL"),"Denial Code, ","")&amp;IF(AND(TRIM($A231)&lt;&gt;"Finalized",$BD231=""),"Next Review Date, ","")&amp;IF(AND(TRIM($A231)&lt;&gt;"Finalized",$BE231=""),"Next Step, ","")&amp;IF(AND(TRIM($A231)="Finalized",$AV231="",$AR231="",$AT231="",$AX231="",$AW231=""),"CPT outcome, ",""))-2),"")</f>
        <v>Next Step</v>
      </c>
      <c r="BI231" s="15" t="str">
        <f aca="false">IF($BB231="","",IFERROR(INDEX('Denial Codes'!$C:$C,MATCH(LEFT($BB231,FIND(" - ",$BB231&amp;" - ")+2)&amp;"*",'Denial Codes'!$A:$A,0)),""))</f>
        <v>Bundled / NCCI edit</v>
      </c>
      <c r="BJ231" s="15" t="str">
        <f aca="false">IF($BA231="","",IFERROR(INDEX(Lists!$B:$B,MATCH(TRIM($BA231),Lists!$A:$A,0))&amp;"",""))</f>
        <v>Check the NCCI pair; if the service was distinct, add 59/XU (or XS) and resubmit; otherwise adjust.</v>
      </c>
    </row>
    <row r="232" customFormat="false" ht="15" hidden="false" customHeight="false" outlineLevel="0" collapsed="false">
      <c r="A232" s="7" t="s">
        <v>19</v>
      </c>
      <c r="B232" s="7" t="s">
        <v>1142</v>
      </c>
      <c r="C232" s="8" t="n">
        <v>574466702</v>
      </c>
      <c r="D232" s="9" t="n">
        <v>46253</v>
      </c>
      <c r="E232" s="10" t="s">
        <v>1143</v>
      </c>
      <c r="F232" s="11" t="n">
        <v>46195</v>
      </c>
      <c r="G232" s="10" t="s">
        <v>163</v>
      </c>
      <c r="H232" s="10" t="s">
        <v>163</v>
      </c>
      <c r="I232" s="10" t="s">
        <v>145</v>
      </c>
      <c r="J232" s="10" t="s">
        <v>1144</v>
      </c>
      <c r="K232" s="9" t="n">
        <v>46305</v>
      </c>
      <c r="L232" s="12" t="n">
        <f aca="true">IF($O232="","",$O232-TODAY())</f>
        <v>-26</v>
      </c>
      <c r="M232" s="12" t="n">
        <f aca="true">IF(AND(TRIM($A232)="Finalized",$K232&lt;&gt;""),"",IF($F232="","",$F232+90-TODAY()))</f>
        <v>-26</v>
      </c>
      <c r="N232" s="12" t="n">
        <f aca="true">IF(AND(TRIM($A232)="Finalized",$K232&lt;&gt;""),"",IF($D232="","",$D232+365-TODAY()))</f>
        <v>307</v>
      </c>
      <c r="O232" s="11" t="n">
        <f aca="false">IF(AND(TRIM($A232)="Finalized",$K232&lt;&gt;""),"",DATE(2026,9,20))</f>
        <v>46285</v>
      </c>
      <c r="P232" s="10" t="s">
        <v>165</v>
      </c>
      <c r="Q232" s="10" t="s">
        <v>166</v>
      </c>
      <c r="R232" s="10" t="s">
        <v>165</v>
      </c>
      <c r="S232" s="10" t="s">
        <v>149</v>
      </c>
      <c r="T232" s="10" t="s">
        <v>114</v>
      </c>
      <c r="U232" s="10" t="s">
        <v>116</v>
      </c>
      <c r="V232" s="10" t="s">
        <v>303</v>
      </c>
      <c r="W232" s="10" t="s">
        <v>132</v>
      </c>
      <c r="X232" s="10"/>
      <c r="Y232" s="10"/>
      <c r="Z232" s="10"/>
      <c r="AA232" s="10" t="s">
        <v>197</v>
      </c>
      <c r="AB232" s="8" t="n">
        <f aca="true">IF($F232="","",TODAY()-$F232)</f>
        <v>116</v>
      </c>
      <c r="AC232" s="10" t="s">
        <v>137</v>
      </c>
      <c r="AD232" s="10" t="s">
        <v>541</v>
      </c>
      <c r="AE232" s="10" t="s">
        <v>1011</v>
      </c>
      <c r="AF232" s="10"/>
      <c r="AG232" s="10"/>
      <c r="AH232" s="10"/>
      <c r="AI232" s="10"/>
      <c r="AJ232" s="10" t="s">
        <v>124</v>
      </c>
      <c r="AK232" s="10" t="s">
        <v>138</v>
      </c>
      <c r="AL232" s="10" t="s">
        <v>247</v>
      </c>
      <c r="AM232" s="10" t="s">
        <v>170</v>
      </c>
      <c r="AN232" s="8"/>
      <c r="AO232" s="10" t="s">
        <v>174</v>
      </c>
      <c r="AP232" s="10" t="s">
        <v>1145</v>
      </c>
      <c r="AQ232" s="11" t="n">
        <v>46246</v>
      </c>
      <c r="AR232" s="13"/>
      <c r="AS232" s="13"/>
      <c r="AT232" s="13"/>
      <c r="AU232" s="13"/>
      <c r="AV232" s="13"/>
      <c r="AW232" s="13"/>
      <c r="AX232" s="13"/>
      <c r="AY232" s="7" t="s">
        <v>159</v>
      </c>
      <c r="AZ232" s="7"/>
      <c r="BA232" s="7" t="s">
        <v>45</v>
      </c>
      <c r="BB232" s="7"/>
      <c r="BC232" s="7"/>
      <c r="BD232" s="9" t="n">
        <v>46336</v>
      </c>
      <c r="BE232" s="7"/>
      <c r="BF232" s="14" t="str">
        <f aca="true">IF(TRIM($A232)="Finalized","Closed",IF($BD232="","No review date set",IF($BD232&lt;TODAY(),"OVERDUE",IF($BD232-TODAY()&lt;=7,"Due within 7 days","Scheduled"))))</f>
        <v>Scheduled</v>
      </c>
      <c r="BG232" s="14" t="n">
        <f aca="true">IF($K232="","",TODAY()-$K232)</f>
        <v>6</v>
      </c>
      <c r="BH232" s="15" t="str">
        <f aca="false">IFERROR(LEFT(IF($B232="","Notes, ","")&amp;IF($K232="","Latest Date Worked, ","")&amp;IF($AY232="","Last Action, ","")&amp;IF(AND(OR(TRIM($A232)="Denied",TRIM($A232)="Rejected"),$BA232=""),"Denial Reason, ","")&amp;IF(AND(TRIM($A232)="Denied",$BB232="",TRIM($BA232)&lt;&gt;"NO DENIAL"),"Denial Code, ","")&amp;IF(AND(TRIM($A232)&lt;&gt;"Finalized",$BD232=""),"Next Review Date, ","")&amp;IF(AND(TRIM($A232)&lt;&gt;"Finalized",$BE232=""),"Next Step, ","")&amp;IF(AND(TRIM($A232)="Finalized",$AV232="",$AR232="",$AT232="",$AX232="",$AW232=""),"CPT outcome, ",""),LEN(IF($B232="","Notes, ","")&amp;IF($K232="","Latest Date Worked, ","")&amp;IF($AY232="","Last Action, ","")&amp;IF(AND(OR(TRIM($A232)="Denied",TRIM($A232)="Rejected"),$BA232=""),"Denial Reason, ","")&amp;IF(AND(TRIM($A232)="Denied",$BB232="",TRIM($BA232)&lt;&gt;"NO DENIAL"),"Denial Code, ","")&amp;IF(AND(TRIM($A232)&lt;&gt;"Finalized",$BD232=""),"Next Review Date, ","")&amp;IF(AND(TRIM($A232)&lt;&gt;"Finalized",$BE232=""),"Next Step, ","")&amp;IF(AND(TRIM($A232)="Finalized",$AV232="",$AR232="",$AT232="",$AX232="",$AW232=""),"CPT outcome, ",""))-2),"")</f>
        <v>Next Step</v>
      </c>
      <c r="BI232" s="15" t="str">
        <f aca="false">IF($BB232="","",IFERROR(INDEX('Denial Codes'!$C:$C,MATCH(LEFT($BB232,FIND(" - ",$BB232&amp;" - ")+2)&amp;"*",'Denial Codes'!$A:$A,0)),""))</f>
        <v/>
      </c>
      <c r="BJ232" s="15" t="str">
        <f aca="false">IF($BA232="","",IFERROR(INDEX(Lists!$B:$B,MATCH(TRIM($BA232),Lists!$A:$A,0))&amp;"",""))</f>
        <v>Get the other insurance and primary EOB, update COB with the payer and bill primary first.</v>
      </c>
    </row>
    <row r="233" customFormat="false" ht="15" hidden="false" customHeight="false" outlineLevel="0" collapsed="false">
      <c r="A233" s="7" t="s">
        <v>17</v>
      </c>
      <c r="B233" s="7" t="s">
        <v>1146</v>
      </c>
      <c r="C233" s="8" t="n">
        <v>574469266</v>
      </c>
      <c r="D233" s="9" t="n">
        <v>46211</v>
      </c>
      <c r="E233" s="10" t="s">
        <v>1147</v>
      </c>
      <c r="F233" s="11" t="n">
        <v>46196</v>
      </c>
      <c r="G233" s="10" t="s">
        <v>145</v>
      </c>
      <c r="H233" s="10" t="s">
        <v>145</v>
      </c>
      <c r="I233" s="10" t="s">
        <v>129</v>
      </c>
      <c r="J233" s="10" t="s">
        <v>646</v>
      </c>
      <c r="K233" s="9" t="n">
        <v>46305</v>
      </c>
      <c r="L233" s="12" t="n">
        <f aca="true">IF($O233="","",$O233-TODAY())</f>
        <v>65</v>
      </c>
      <c r="M233" s="12" t="n">
        <f aca="true">IF(AND(TRIM($A233)="Finalized",$K233&lt;&gt;""),"",IF($F233="","",$F233+365-TODAY()))</f>
        <v>250</v>
      </c>
      <c r="N233" s="12" t="n">
        <f aca="true">IF(AND(TRIM($A233)="Finalized",$K233&lt;&gt;""),"",IF($F233="","",$F233+365-TODAY()))</f>
        <v>250</v>
      </c>
      <c r="O233" s="11" t="n">
        <f aca="false">IF(AND(TRIM($A233)="Finalized",$K233&lt;&gt;""),"",DATE(2026,12,20))</f>
        <v>46376</v>
      </c>
      <c r="P233" s="10" t="s">
        <v>147</v>
      </c>
      <c r="Q233" s="10" t="s">
        <v>148</v>
      </c>
      <c r="R233" s="10" t="s">
        <v>114</v>
      </c>
      <c r="S233" s="10" t="s">
        <v>149</v>
      </c>
      <c r="T233" s="10" t="s">
        <v>114</v>
      </c>
      <c r="U233" s="10" t="s">
        <v>149</v>
      </c>
      <c r="V233" s="10" t="s">
        <v>303</v>
      </c>
      <c r="W233" s="10" t="s">
        <v>119</v>
      </c>
      <c r="X233" s="10" t="s">
        <v>151</v>
      </c>
      <c r="Y233" s="10" t="s">
        <v>229</v>
      </c>
      <c r="Z233" s="10"/>
      <c r="AA233" s="10" t="s">
        <v>230</v>
      </c>
      <c r="AB233" s="8" t="n">
        <f aca="true">IF($F233="","",TODAY()-$F233)</f>
        <v>115</v>
      </c>
      <c r="AC233" s="10" t="s">
        <v>273</v>
      </c>
      <c r="AD233" s="10"/>
      <c r="AE233" s="10"/>
      <c r="AF233" s="10"/>
      <c r="AG233" s="10"/>
      <c r="AH233" s="10"/>
      <c r="AI233" s="10"/>
      <c r="AJ233" s="10" t="s">
        <v>123</v>
      </c>
      <c r="AK233" s="10" t="s">
        <v>138</v>
      </c>
      <c r="AL233" s="10" t="s">
        <v>498</v>
      </c>
      <c r="AM233" s="10" t="s">
        <v>124</v>
      </c>
      <c r="AN233" s="8"/>
      <c r="AO233" s="10" t="s">
        <v>174</v>
      </c>
      <c r="AP233" s="10" t="s">
        <v>308</v>
      </c>
      <c r="AQ233" s="11" t="n">
        <v>46205</v>
      </c>
      <c r="AR233" s="13"/>
      <c r="AS233" s="13"/>
      <c r="AT233" s="13"/>
      <c r="AU233" s="13"/>
      <c r="AV233" s="13"/>
      <c r="AW233" s="13"/>
      <c r="AX233" s="13" t="s">
        <v>273</v>
      </c>
      <c r="AY233" s="7" t="s">
        <v>159</v>
      </c>
      <c r="AZ233" s="7"/>
      <c r="BA233" s="7" t="s">
        <v>38</v>
      </c>
      <c r="BB233" s="7" t="s">
        <v>320</v>
      </c>
      <c r="BC233" s="7"/>
      <c r="BD233" s="9" t="n">
        <v>46336</v>
      </c>
      <c r="BE233" s="7"/>
      <c r="BF233" s="14" t="str">
        <f aca="true">IF(TRIM($A233)="Finalized","Closed",IF($BD233="","No review date set",IF($BD233&lt;TODAY(),"OVERDUE",IF($BD233-TODAY()&lt;=7,"Due within 7 days","Scheduled"))))</f>
        <v>Scheduled</v>
      </c>
      <c r="BG233" s="14" t="n">
        <f aca="true">IF($K233="","",TODAY()-$K233)</f>
        <v>6</v>
      </c>
      <c r="BH233" s="15" t="str">
        <f aca="false">IFERROR(LEFT(IF($B233="","Notes, ","")&amp;IF($K233="","Latest Date Worked, ","")&amp;IF($AY233="","Last Action, ","")&amp;IF(AND(OR(TRIM($A233)="Denied",TRIM($A233)="Rejected"),$BA233=""),"Denial Reason, ","")&amp;IF(AND(TRIM($A233)="Denied",$BB233="",TRIM($BA233)&lt;&gt;"NO DENIAL"),"Denial Code, ","")&amp;IF(AND(TRIM($A233)&lt;&gt;"Finalized",$BD233=""),"Next Review Date, ","")&amp;IF(AND(TRIM($A233)&lt;&gt;"Finalized",$BE233=""),"Next Step, ","")&amp;IF(AND(TRIM($A233)="Finalized",$AV233="",$AR233="",$AT233="",$AX233="",$AW233=""),"CPT outcome, ",""),LEN(IF($B233="","Notes, ","")&amp;IF($K233="","Latest Date Worked, ","")&amp;IF($AY233="","Last Action, ","")&amp;IF(AND(OR(TRIM($A233)="Denied",TRIM($A233)="Rejected"),$BA233=""),"Denial Reason, ","")&amp;IF(AND(TRIM($A233)="Denied",$BB233="",TRIM($BA233)&lt;&gt;"NO DENIAL"),"Denial Code, ","")&amp;IF(AND(TRIM($A233)&lt;&gt;"Finalized",$BD233=""),"Next Review Date, ","")&amp;IF(AND(TRIM($A233)&lt;&gt;"Finalized",$BE233=""),"Next Step, ","")&amp;IF(AND(TRIM($A233)="Finalized",$AV233="",$AR233="",$AT233="",$AX233="",$AW233=""),"CPT outcome, ",""))-2),"")</f>
        <v>Next Step</v>
      </c>
      <c r="BI233" s="15" t="str">
        <f aca="false">IF($BB233="","",IFERROR(INDEX('Denial Codes'!$C:$C,MATCH(LEFT($BB233,FIND(" - ",$BB233&amp;" - ")+2)&amp;"*",'Denial Codes'!$A:$A,0)),""))</f>
        <v>Modifier issue</v>
      </c>
      <c r="BJ233" s="15" t="str">
        <f aca="false">IF($BA233="","",IFERROR(INDEX(Lists!$B:$B,MATCH(TRIM($BA233),Lists!$A:$A,0))&amp;"",""))</f>
        <v>Correct or add the modifier (e.g. NU/RR, KX, RT/LT, 25) and resubmit.</v>
      </c>
    </row>
    <row r="234" customFormat="false" ht="15" hidden="false" customHeight="false" outlineLevel="0" collapsed="false">
      <c r="A234" s="7" t="s">
        <v>20</v>
      </c>
      <c r="B234" s="7" t="s">
        <v>1148</v>
      </c>
      <c r="C234" s="8" t="n">
        <v>545752977</v>
      </c>
      <c r="D234" s="9" t="n">
        <v>46071</v>
      </c>
      <c r="E234" s="10" t="s">
        <v>1149</v>
      </c>
      <c r="F234" s="11" t="n">
        <v>46031</v>
      </c>
      <c r="G234" s="10" t="s">
        <v>163</v>
      </c>
      <c r="H234" s="10" t="s">
        <v>260</v>
      </c>
      <c r="I234" s="10" t="s">
        <v>163</v>
      </c>
      <c r="J234" s="10" t="s">
        <v>1150</v>
      </c>
      <c r="K234" s="9" t="n">
        <v>46129</v>
      </c>
      <c r="L234" s="12" t="n">
        <f aca="true">IF($O234="","",$O234-TODAY())</f>
        <v>85</v>
      </c>
      <c r="M234" s="12" t="n">
        <f aca="true">IF(AND(TRIM($A234)="Finalized",$K234&lt;&gt;""),"",IF($D234="","",$D234+365-TODAY()))</f>
        <v>125</v>
      </c>
      <c r="N234" s="12" t="n">
        <f aca="true">IF(AND(TRIM($A234)="Finalized",$K234&lt;&gt;""),"",IF($D234="","",$D234+120-TODAY()))</f>
        <v>-120</v>
      </c>
      <c r="O234" s="11" t="n">
        <f aca="false">IF(AND(TRIM($A234)="Finalized",$K234&lt;&gt;""),"",DATE(2027,1,9))</f>
        <v>46396</v>
      </c>
      <c r="P234" s="10" t="s">
        <v>114</v>
      </c>
      <c r="Q234" s="10" t="s">
        <v>115</v>
      </c>
      <c r="R234" s="10" t="s">
        <v>114</v>
      </c>
      <c r="S234" s="10" t="s">
        <v>116</v>
      </c>
      <c r="T234" s="10" t="s">
        <v>117</v>
      </c>
      <c r="U234" s="10" t="s">
        <v>116</v>
      </c>
      <c r="V234" s="10" t="s">
        <v>118</v>
      </c>
      <c r="W234" s="10" t="s">
        <v>183</v>
      </c>
      <c r="X234" s="10"/>
      <c r="Y234" s="10"/>
      <c r="Z234" s="10"/>
      <c r="AA234" s="10" t="s">
        <v>493</v>
      </c>
      <c r="AB234" s="8" t="n">
        <f aca="true">IF($F234="","",TODAY()-$F234)</f>
        <v>280</v>
      </c>
      <c r="AC234" s="10" t="s">
        <v>185</v>
      </c>
      <c r="AD234" s="10" t="s">
        <v>184</v>
      </c>
      <c r="AE234" s="10"/>
      <c r="AF234" s="10"/>
      <c r="AG234" s="10"/>
      <c r="AH234" s="10"/>
      <c r="AI234" s="10"/>
      <c r="AJ234" s="10" t="s">
        <v>340</v>
      </c>
      <c r="AK234" s="10"/>
      <c r="AL234" s="10"/>
      <c r="AM234" s="10"/>
      <c r="AN234" s="8" t="n">
        <v>550866078</v>
      </c>
      <c r="AO234" s="10" t="s">
        <v>201</v>
      </c>
      <c r="AP234" s="10" t="s">
        <v>308</v>
      </c>
      <c r="AQ234" s="11" t="n">
        <v>46057</v>
      </c>
      <c r="AR234" s="13"/>
      <c r="AS234" s="13"/>
      <c r="AT234" s="13"/>
      <c r="AU234" s="13"/>
      <c r="AV234" s="13" t="s">
        <v>189</v>
      </c>
      <c r="AW234" s="13"/>
      <c r="AX234" s="13" t="s">
        <v>189</v>
      </c>
      <c r="AY234" s="7" t="s">
        <v>233</v>
      </c>
      <c r="AZ234" s="7"/>
      <c r="BA234" s="7"/>
      <c r="BB234" s="7"/>
      <c r="BC234" s="7"/>
      <c r="BD234" s="9" t="n">
        <v>46159</v>
      </c>
      <c r="BE234" s="7" t="s">
        <v>1151</v>
      </c>
      <c r="BF234" s="14" t="str">
        <f aca="true">IF(TRIM($A234)="Finalized","Closed",IF($BD234="","No review date set",IF($BD234&lt;TODAY(),"OVERDUE",IF($BD234-TODAY()&lt;=7,"Due within 7 days","Scheduled"))))</f>
        <v>OVERDUE</v>
      </c>
      <c r="BG234" s="14" t="n">
        <f aca="true">IF($K234="","",TODAY()-$K234)</f>
        <v>182</v>
      </c>
      <c r="BH234" s="15" t="str">
        <f aca="false">IFERROR(LEFT(IF($B234="","Notes, ","")&amp;IF($K234="","Latest Date Worked, ","")&amp;IF($AY234="","Last Action, ","")&amp;IF(AND(OR(TRIM($A234)="Denied",TRIM($A234)="Rejected"),$BA234=""),"Denial Reason, ","")&amp;IF(AND(TRIM($A234)="Denied",$BB234="",TRIM($BA234)&lt;&gt;"NO DENIAL"),"Denial Code, ","")&amp;IF(AND(TRIM($A234)&lt;&gt;"Finalized",$BD234=""),"Next Review Date, ","")&amp;IF(AND(TRIM($A234)&lt;&gt;"Finalized",$BE234=""),"Next Step, ","")&amp;IF(AND(TRIM($A234)="Finalized",$AV234="",$AR234="",$AT234="",$AX234="",$AW234=""),"CPT outcome, ",""),LEN(IF($B234="","Notes, ","")&amp;IF($K234="","Latest Date Worked, ","")&amp;IF($AY234="","Last Action, ","")&amp;IF(AND(OR(TRIM($A234)="Denied",TRIM($A234)="Rejected"),$BA234=""),"Denial Reason, ","")&amp;IF(AND(TRIM($A234)="Denied",$BB234="",TRIM($BA234)&lt;&gt;"NO DENIAL"),"Denial Code, ","")&amp;IF(AND(TRIM($A234)&lt;&gt;"Finalized",$BD234=""),"Next Review Date, ","")&amp;IF(AND(TRIM($A234)&lt;&gt;"Finalized",$BE234=""),"Next Step, ","")&amp;IF(AND(TRIM($A234)="Finalized",$AV234="",$AR234="",$AT234="",$AX234="",$AW234=""),"CPT outcome, ",""))-2),"")</f>
        <v/>
      </c>
      <c r="BI234" s="15" t="str">
        <f aca="false">IF($BB234="","",IFERROR(INDEX('Denial Codes'!$C:$C,MATCH(LEFT($BB234,FIND(" - ",$BB234&amp;" - ")+2)&amp;"*",'Denial Codes'!$A:$A,0)),""))</f>
        <v/>
      </c>
      <c r="BJ234" s="15" t="str">
        <f aca="false">IF($BA234="","",IFERROR(INDEX(Lists!$B:$B,MATCH(TRIM($BA234),Lists!$A:$A,0))&amp;"",""))</f>
        <v/>
      </c>
    </row>
    <row r="235" customFormat="false" ht="15" hidden="false" customHeight="false" outlineLevel="0" collapsed="false">
      <c r="A235" s="7" t="s">
        <v>17</v>
      </c>
      <c r="B235" s="7" t="s">
        <v>1152</v>
      </c>
      <c r="C235" s="8" t="n">
        <v>573887856</v>
      </c>
      <c r="D235" s="9" t="n">
        <v>46148</v>
      </c>
      <c r="E235" s="10" t="s">
        <v>1153</v>
      </c>
      <c r="F235" s="11" t="n">
        <v>46031</v>
      </c>
      <c r="G235" s="10" t="s">
        <v>112</v>
      </c>
      <c r="H235" s="10" t="s">
        <v>112</v>
      </c>
      <c r="I235" s="10" t="s">
        <v>129</v>
      </c>
      <c r="J235" s="10" t="s">
        <v>272</v>
      </c>
      <c r="K235" s="9" t="n">
        <v>46300</v>
      </c>
      <c r="L235" s="12" t="n">
        <f aca="true">IF($O235="","",$O235-TODAY())</f>
        <v>85</v>
      </c>
      <c r="M235" s="12" t="n">
        <f aca="true">IF(AND(TRIM($A235)="Finalized",$K235&lt;&gt;""),"",IF($D235="","",$D235+365-TODAY()))</f>
        <v>202</v>
      </c>
      <c r="N235" s="12" t="n">
        <f aca="true">IF(AND(TRIM($A235)="Finalized",$K235&lt;&gt;""),"",IF($D235="","",$D235+120-TODAY()))</f>
        <v>-43</v>
      </c>
      <c r="O235" s="11" t="n">
        <f aca="false">IF(AND(TRIM($A235)="Finalized",$K235&lt;&gt;""),"",DATE(2027,1,9))</f>
        <v>46396</v>
      </c>
      <c r="P235" s="10" t="s">
        <v>114</v>
      </c>
      <c r="Q235" s="10" t="s">
        <v>115</v>
      </c>
      <c r="R235" s="10" t="s">
        <v>114</v>
      </c>
      <c r="S235" s="10" t="s">
        <v>116</v>
      </c>
      <c r="T235" s="10" t="s">
        <v>117</v>
      </c>
      <c r="U235" s="10" t="s">
        <v>116</v>
      </c>
      <c r="V235" s="10" t="s">
        <v>118</v>
      </c>
      <c r="W235" s="10" t="s">
        <v>119</v>
      </c>
      <c r="X235" s="10" t="s">
        <v>120</v>
      </c>
      <c r="Y235" s="10"/>
      <c r="Z235" s="10"/>
      <c r="AA235" s="10" t="s">
        <v>121</v>
      </c>
      <c r="AB235" s="8" t="n">
        <f aca="true">IF($F235="","",TODAY()-$F235)</f>
        <v>280</v>
      </c>
      <c r="AC235" s="10" t="s">
        <v>273</v>
      </c>
      <c r="AD235" s="10"/>
      <c r="AE235" s="10"/>
      <c r="AF235" s="10"/>
      <c r="AG235" s="10"/>
      <c r="AH235" s="10"/>
      <c r="AI235" s="10"/>
      <c r="AJ235" s="10" t="s">
        <v>123</v>
      </c>
      <c r="AK235" s="10" t="s">
        <v>139</v>
      </c>
      <c r="AL235" s="10"/>
      <c r="AM235" s="10"/>
      <c r="AN235" s="8"/>
      <c r="AO235" s="10" t="s">
        <v>231</v>
      </c>
      <c r="AP235" s="10" t="s">
        <v>232</v>
      </c>
      <c r="AQ235" s="11" t="n">
        <v>46036</v>
      </c>
      <c r="AR235" s="13"/>
      <c r="AS235" s="13"/>
      <c r="AT235" s="13"/>
      <c r="AU235" s="13"/>
      <c r="AV235" s="13"/>
      <c r="AW235" s="13"/>
      <c r="AX235" s="13"/>
      <c r="AY235" s="7" t="s">
        <v>159</v>
      </c>
      <c r="AZ235" s="7" t="s">
        <v>159</v>
      </c>
      <c r="BA235" s="7" t="s">
        <v>47</v>
      </c>
      <c r="BB235" s="7"/>
      <c r="BC235" s="7" t="s">
        <v>1154</v>
      </c>
      <c r="BD235" s="9" t="n">
        <v>46331</v>
      </c>
      <c r="BE235" s="7"/>
      <c r="BF235" s="14" t="str">
        <f aca="true">IF(TRIM($A235)="Finalized","Closed",IF($BD235="","No review date set",IF($BD235&lt;TODAY(),"OVERDUE",IF($BD235-TODAY()&lt;=7,"Due within 7 days","Scheduled"))))</f>
        <v>Scheduled</v>
      </c>
      <c r="BG235" s="14" t="n">
        <f aca="true">IF($K235="","",TODAY()-$K235)</f>
        <v>11</v>
      </c>
      <c r="BH235" s="15" t="str">
        <f aca="false">IFERROR(LEFT(IF($B235="","Notes, ","")&amp;IF($K235="","Latest Date Worked, ","")&amp;IF($AY235="","Last Action, ","")&amp;IF(AND(OR(TRIM($A235)="Denied",TRIM($A235)="Rejected"),$BA235=""),"Denial Reason, ","")&amp;IF(AND(TRIM($A235)="Denied",$BB235="",TRIM($BA235)&lt;&gt;"NO DENIAL"),"Denial Code, ","")&amp;IF(AND(TRIM($A235)&lt;&gt;"Finalized",$BD235=""),"Next Review Date, ","")&amp;IF(AND(TRIM($A235)&lt;&gt;"Finalized",$BE235=""),"Next Step, ","")&amp;IF(AND(TRIM($A235)="Finalized",$AV235="",$AR235="",$AT235="",$AX235="",$AW235=""),"CPT outcome, ",""),LEN(IF($B235="","Notes, ","")&amp;IF($K235="","Latest Date Worked, ","")&amp;IF($AY235="","Last Action, ","")&amp;IF(AND(OR(TRIM($A235)="Denied",TRIM($A235)="Rejected"),$BA235=""),"Denial Reason, ","")&amp;IF(AND(TRIM($A235)="Denied",$BB235="",TRIM($BA235)&lt;&gt;"NO DENIAL"),"Denial Code, ","")&amp;IF(AND(TRIM($A235)&lt;&gt;"Finalized",$BD235=""),"Next Review Date, ","")&amp;IF(AND(TRIM($A235)&lt;&gt;"Finalized",$BE235=""),"Next Step, ","")&amp;IF(AND(TRIM($A235)="Finalized",$AV235="",$AR235="",$AT235="",$AX235="",$AW235=""),"CPT outcome, ",""))-2),"")</f>
        <v>Denial Code, Next Step</v>
      </c>
      <c r="BI235" s="15" t="str">
        <f aca="false">IF($BB235="","",IFERROR(INDEX('Denial Codes'!$C:$C,MATCH(LEFT($BB235,FIND(" - ",$BB235&amp;" - ")+2)&amp;"*",'Denial Codes'!$A:$A,0)),""))</f>
        <v/>
      </c>
      <c r="BJ235" s="15" t="str">
        <f aca="false">IF($BA235="","",IFERROR(INDEX(Lists!$B:$B,MATCH(TRIM($BA235),Lists!$A:$A,0))&amp;"",""))</f>
        <v>Check provider enrollment, NPI/TIN and network status; appeal once credentialing is confirmed.</v>
      </c>
    </row>
    <row r="236" customFormat="false" ht="15" hidden="false" customHeight="false" outlineLevel="0" collapsed="false">
      <c r="A236" s="7" t="s">
        <v>22</v>
      </c>
      <c r="B236" s="7" t="s">
        <v>1155</v>
      </c>
      <c r="C236" s="8" t="n">
        <v>547309790</v>
      </c>
      <c r="D236" s="9" t="n">
        <v>46071</v>
      </c>
      <c r="E236" s="10" t="s">
        <v>1156</v>
      </c>
      <c r="F236" s="11" t="n">
        <v>46043</v>
      </c>
      <c r="G236" s="10" t="s">
        <v>1087</v>
      </c>
      <c r="H236" s="10" t="s">
        <v>260</v>
      </c>
      <c r="I236" s="10" t="s">
        <v>1087</v>
      </c>
      <c r="J236" s="10" t="s">
        <v>370</v>
      </c>
      <c r="K236" s="9" t="n">
        <v>46305</v>
      </c>
      <c r="L236" s="12" t="n">
        <f aca="true">IF($O236="","",$O236-TODAY())</f>
        <v>97</v>
      </c>
      <c r="M236" s="12" t="n">
        <f aca="true">IF(AND(TRIM($A236)="Finalized",$K236&lt;&gt;""),"",IF($D236="","",$D236+365-TODAY()))</f>
        <v>125</v>
      </c>
      <c r="N236" s="12" t="n">
        <f aca="true">IF(AND(TRIM($A236)="Finalized",$K236&lt;&gt;""),"",IF($D236="","",$D236+120-TODAY()))</f>
        <v>-120</v>
      </c>
      <c r="O236" s="11" t="n">
        <f aca="false">IF(AND(TRIM($A236)="Finalized",$K236&lt;&gt;""),"",DATE(2027,1,21))</f>
        <v>46408</v>
      </c>
      <c r="P236" s="10" t="s">
        <v>114</v>
      </c>
      <c r="Q236" s="10" t="s">
        <v>115</v>
      </c>
      <c r="R236" s="10" t="s">
        <v>114</v>
      </c>
      <c r="S236" s="10" t="s">
        <v>116</v>
      </c>
      <c r="T236" s="10" t="s">
        <v>117</v>
      </c>
      <c r="U236" s="10" t="s">
        <v>116</v>
      </c>
      <c r="V236" s="10" t="s">
        <v>118</v>
      </c>
      <c r="W236" s="10" t="s">
        <v>183</v>
      </c>
      <c r="X236" s="10"/>
      <c r="Y236" s="10"/>
      <c r="Z236" s="10"/>
      <c r="AA236" s="10" t="s">
        <v>197</v>
      </c>
      <c r="AB236" s="8" t="n">
        <f aca="true">IF($F236="","",TODAY()-$F236)</f>
        <v>268</v>
      </c>
      <c r="AC236" s="10" t="s">
        <v>211</v>
      </c>
      <c r="AD236" s="10"/>
      <c r="AE236" s="10"/>
      <c r="AF236" s="10"/>
      <c r="AG236" s="10"/>
      <c r="AH236" s="10"/>
      <c r="AI236" s="10"/>
      <c r="AJ236" s="10" t="s">
        <v>1157</v>
      </c>
      <c r="AK236" s="10"/>
      <c r="AL236" s="10"/>
      <c r="AM236" s="10"/>
      <c r="AN236" s="8" t="n">
        <v>550866344</v>
      </c>
      <c r="AO236" s="10" t="s">
        <v>213</v>
      </c>
      <c r="AP236" s="10" t="s">
        <v>188</v>
      </c>
      <c r="AQ236" s="11" t="n">
        <v>46056</v>
      </c>
      <c r="AR236" s="13"/>
      <c r="AS236" s="13"/>
      <c r="AT236" s="13"/>
      <c r="AU236" s="13"/>
      <c r="AV236" s="13" t="s">
        <v>211</v>
      </c>
      <c r="AW236" s="13"/>
      <c r="AX236" s="13" t="s">
        <v>211</v>
      </c>
      <c r="AY236" s="7" t="s">
        <v>159</v>
      </c>
      <c r="AZ236" s="7"/>
      <c r="BA236" s="7"/>
      <c r="BB236" s="7"/>
      <c r="BC236" s="7"/>
      <c r="BD236" s="9" t="n">
        <v>46336</v>
      </c>
      <c r="BE236" s="7"/>
      <c r="BF236" s="14" t="str">
        <f aca="true">IF(TRIM($A236)="Finalized","Closed",IF($BD236="","No review date set",IF($BD236&lt;TODAY(),"OVERDUE",IF($BD236-TODAY()&lt;=7,"Due within 7 days","Scheduled"))))</f>
        <v>Scheduled</v>
      </c>
      <c r="BG236" s="14" t="n">
        <f aca="true">IF($K236="","",TODAY()-$K236)</f>
        <v>6</v>
      </c>
      <c r="BH236" s="15" t="str">
        <f aca="false">IFERROR(LEFT(IF($B236="","Notes, ","")&amp;IF($K236="","Latest Date Worked, ","")&amp;IF($AY236="","Last Action, ","")&amp;IF(AND(OR(TRIM($A236)="Denied",TRIM($A236)="Rejected"),$BA236=""),"Denial Reason, ","")&amp;IF(AND(TRIM($A236)="Denied",$BB236="",TRIM($BA236)&lt;&gt;"NO DENIAL"),"Denial Code, ","")&amp;IF(AND(TRIM($A236)&lt;&gt;"Finalized",$BD236=""),"Next Review Date, ","")&amp;IF(AND(TRIM($A236)&lt;&gt;"Finalized",$BE236=""),"Next Step, ","")&amp;IF(AND(TRIM($A236)="Finalized",$AV236="",$AR236="",$AT236="",$AX236="",$AW236=""),"CPT outcome, ",""),LEN(IF($B236="","Notes, ","")&amp;IF($K236="","Latest Date Worked, ","")&amp;IF($AY236="","Last Action, ","")&amp;IF(AND(OR(TRIM($A236)="Denied",TRIM($A236)="Rejected"),$BA236=""),"Denial Reason, ","")&amp;IF(AND(TRIM($A236)="Denied",$BB236="",TRIM($BA236)&lt;&gt;"NO DENIAL"),"Denial Code, ","")&amp;IF(AND(TRIM($A236)&lt;&gt;"Finalized",$BD236=""),"Next Review Date, ","")&amp;IF(AND(TRIM($A236)&lt;&gt;"Finalized",$BE236=""),"Next Step, ","")&amp;IF(AND(TRIM($A236)="Finalized",$AV236="",$AR236="",$AT236="",$AX236="",$AW236=""),"CPT outcome, ",""))-2),"")</f>
        <v>Next Step</v>
      </c>
      <c r="BI236" s="15" t="str">
        <f aca="false">IF($BB236="","",IFERROR(INDEX('Denial Codes'!$C:$C,MATCH(LEFT($BB236,FIND(" - ",$BB236&amp;" - ")+2)&amp;"*",'Denial Codes'!$A:$A,0)),""))</f>
        <v/>
      </c>
      <c r="BJ236" s="15" t="str">
        <f aca="false">IF($BA236="","",IFERROR(INDEX(Lists!$B:$B,MATCH(TRIM($BA236),Lists!$A:$A,0))&amp;"",""))</f>
        <v/>
      </c>
    </row>
    <row r="237" customFormat="false" ht="15" hidden="false" customHeight="false" outlineLevel="0" collapsed="false">
      <c r="A237" s="7" t="s">
        <v>19</v>
      </c>
      <c r="B237" s="7" t="s">
        <v>1158</v>
      </c>
      <c r="C237" s="8" t="n">
        <v>574455004</v>
      </c>
      <c r="D237" s="9" t="n">
        <v>46129</v>
      </c>
      <c r="E237" s="10" t="s">
        <v>1159</v>
      </c>
      <c r="F237" s="11" t="n">
        <v>46044</v>
      </c>
      <c r="G237" s="10" t="s">
        <v>333</v>
      </c>
      <c r="H237" s="10" t="s">
        <v>333</v>
      </c>
      <c r="I237" s="10" t="s">
        <v>145</v>
      </c>
      <c r="J237" s="10" t="s">
        <v>181</v>
      </c>
      <c r="K237" s="9" t="n">
        <v>46305</v>
      </c>
      <c r="L237" s="12" t="n">
        <f aca="true">IF($O237="","",$O237-TODAY())</f>
        <v>-177</v>
      </c>
      <c r="M237" s="12" t="n">
        <f aca="true">IF(AND(TRIM($A237)="Finalized",$K237&lt;&gt;""),"",IF($F237="","",$F237+90-TODAY()))</f>
        <v>-177</v>
      </c>
      <c r="N237" s="12" t="n">
        <f aca="true">IF(AND(TRIM($A237)="Finalized",$K237&lt;&gt;""),"",IF($D237="","",$D237+60-TODAY()))</f>
        <v>-122</v>
      </c>
      <c r="O237" s="11" t="n">
        <f aca="false">IF(AND(TRIM($A237)="Finalized",$K237&lt;&gt;""),"",DATE(2026,4,22))</f>
        <v>46134</v>
      </c>
      <c r="P237" s="10" t="s">
        <v>165</v>
      </c>
      <c r="Q237" s="10" t="s">
        <v>334</v>
      </c>
      <c r="R237" s="10" t="s">
        <v>165</v>
      </c>
      <c r="S237" s="10" t="s">
        <v>149</v>
      </c>
      <c r="T237" s="10" t="s">
        <v>324</v>
      </c>
      <c r="U237" s="10" t="s">
        <v>116</v>
      </c>
      <c r="V237" s="10" t="s">
        <v>118</v>
      </c>
      <c r="W237" s="10" t="s">
        <v>183</v>
      </c>
      <c r="X237" s="10"/>
      <c r="Y237" s="10"/>
      <c r="Z237" s="10"/>
      <c r="AA237" s="10" t="s">
        <v>197</v>
      </c>
      <c r="AB237" s="8" t="n">
        <f aca="true">IF($F237="","",TODAY()-$F237)</f>
        <v>267</v>
      </c>
      <c r="AC237" s="10" t="s">
        <v>184</v>
      </c>
      <c r="AD237" s="10" t="s">
        <v>185</v>
      </c>
      <c r="AE237" s="10"/>
      <c r="AF237" s="10"/>
      <c r="AG237" s="10"/>
      <c r="AH237" s="10"/>
      <c r="AI237" s="10"/>
      <c r="AJ237" s="10" t="s">
        <v>340</v>
      </c>
      <c r="AK237" s="10"/>
      <c r="AL237" s="10"/>
      <c r="AM237" s="10"/>
      <c r="AN237" s="8"/>
      <c r="AO237" s="10" t="s">
        <v>341</v>
      </c>
      <c r="AP237" s="10" t="s">
        <v>188</v>
      </c>
      <c r="AQ237" s="11" t="n">
        <v>46056</v>
      </c>
      <c r="AR237" s="13"/>
      <c r="AS237" s="13"/>
      <c r="AT237" s="13"/>
      <c r="AU237" s="13"/>
      <c r="AV237" s="13"/>
      <c r="AW237" s="13"/>
      <c r="AX237" s="13"/>
      <c r="AY237" s="7" t="s">
        <v>159</v>
      </c>
      <c r="AZ237" s="7"/>
      <c r="BA237" s="7" t="s">
        <v>44</v>
      </c>
      <c r="BB237" s="7" t="s">
        <v>1160</v>
      </c>
      <c r="BC237" s="7"/>
      <c r="BD237" s="9" t="n">
        <v>46336</v>
      </c>
      <c r="BE237" s="7"/>
      <c r="BF237" s="14" t="str">
        <f aca="true">IF(TRIM($A237)="Finalized","Closed",IF($BD237="","No review date set",IF($BD237&lt;TODAY(),"OVERDUE",IF($BD237-TODAY()&lt;=7,"Due within 7 days","Scheduled"))))</f>
        <v>Scheduled</v>
      </c>
      <c r="BG237" s="14" t="n">
        <f aca="true">IF($K237="","",TODAY()-$K237)</f>
        <v>6</v>
      </c>
      <c r="BH237" s="15" t="str">
        <f aca="false">IFERROR(LEFT(IF($B237="","Notes, ","")&amp;IF($K237="","Latest Date Worked, ","")&amp;IF($AY237="","Last Action, ","")&amp;IF(AND(OR(TRIM($A237)="Denied",TRIM($A237)="Rejected"),$BA237=""),"Denial Reason, ","")&amp;IF(AND(TRIM($A237)="Denied",$BB237="",TRIM($BA237)&lt;&gt;"NO DENIAL"),"Denial Code, ","")&amp;IF(AND(TRIM($A237)&lt;&gt;"Finalized",$BD237=""),"Next Review Date, ","")&amp;IF(AND(TRIM($A237)&lt;&gt;"Finalized",$BE237=""),"Next Step, ","")&amp;IF(AND(TRIM($A237)="Finalized",$AV237="",$AR237="",$AT237="",$AX237="",$AW237=""),"CPT outcome, ",""),LEN(IF($B237="","Notes, ","")&amp;IF($K237="","Latest Date Worked, ","")&amp;IF($AY237="","Last Action, ","")&amp;IF(AND(OR(TRIM($A237)="Denied",TRIM($A237)="Rejected"),$BA237=""),"Denial Reason, ","")&amp;IF(AND(TRIM($A237)="Denied",$BB237="",TRIM($BA237)&lt;&gt;"NO DENIAL"),"Denial Code, ","")&amp;IF(AND(TRIM($A237)&lt;&gt;"Finalized",$BD237=""),"Next Review Date, ","")&amp;IF(AND(TRIM($A237)&lt;&gt;"Finalized",$BE237=""),"Next Step, ","")&amp;IF(AND(TRIM($A237)="Finalized",$AV237="",$AR237="",$AT237="",$AX237="",$AW237=""),"CPT outcome, ",""))-2),"")</f>
        <v>Next Step</v>
      </c>
      <c r="BI237" s="15" t="str">
        <f aca="false">IF($BB237="","",IFERROR(INDEX('Denial Codes'!$C:$C,MATCH(LEFT($BB237,FIND(" - ",$BB237&amp;" - ")+2)&amp;"*",'Denial Codes'!$A:$A,0)),""))</f>
        <v>Wrong payer / vendor</v>
      </c>
      <c r="BJ237" s="15" t="str">
        <f aca="false">IF($BA237="","",IFERROR(INDEX(Lists!$B:$B,MATCH(TRIM($BA237),Lists!$A:$A,0))&amp;"",""))</f>
        <v>Bill the correct payer, delegated vendor or capitated group/IPA (e.g. Optum Behavioral, Preferred Homecare).</v>
      </c>
    </row>
    <row r="238" customFormat="false" ht="15" hidden="false" customHeight="false" outlineLevel="0" collapsed="false">
      <c r="A238" s="7" t="s">
        <v>20</v>
      </c>
      <c r="B238" s="7" t="s">
        <v>1161</v>
      </c>
      <c r="C238" s="8" t="n">
        <v>548917446</v>
      </c>
      <c r="D238" s="9" t="n">
        <v>46120</v>
      </c>
      <c r="E238" s="10" t="s">
        <v>1162</v>
      </c>
      <c r="F238" s="11" t="n">
        <v>46048</v>
      </c>
      <c r="G238" s="10" t="s">
        <v>1163</v>
      </c>
      <c r="H238" s="10" t="s">
        <v>260</v>
      </c>
      <c r="I238" s="10" t="s">
        <v>1163</v>
      </c>
      <c r="J238" s="10" t="s">
        <v>1164</v>
      </c>
      <c r="K238" s="9" t="n">
        <v>46259</v>
      </c>
      <c r="L238" s="12" t="n">
        <f aca="true">IF($O238="","",$O238-TODAY())</f>
        <v>102</v>
      </c>
      <c r="M238" s="12" t="n">
        <f aca="true">IF(AND(TRIM($A238)="Finalized",$K238&lt;&gt;""),"",IF($D238="","",$D238+365-TODAY()))</f>
        <v>174</v>
      </c>
      <c r="N238" s="12" t="n">
        <f aca="true">IF(AND(TRIM($A238)="Finalized",$K238&lt;&gt;""),"",IF($D238="","",$D238+120-TODAY()))</f>
        <v>-71</v>
      </c>
      <c r="O238" s="11" t="n">
        <f aca="false">IF(AND(TRIM($A238)="Finalized",$K238&lt;&gt;""),"",DATE(2027,1,26))</f>
        <v>46413</v>
      </c>
      <c r="P238" s="10" t="s">
        <v>114</v>
      </c>
      <c r="Q238" s="10" t="s">
        <v>115</v>
      </c>
      <c r="R238" s="10" t="s">
        <v>114</v>
      </c>
      <c r="S238" s="10" t="s">
        <v>116</v>
      </c>
      <c r="T238" s="10" t="s">
        <v>117</v>
      </c>
      <c r="U238" s="10" t="s">
        <v>116</v>
      </c>
      <c r="V238" s="10" t="s">
        <v>118</v>
      </c>
      <c r="W238" s="10" t="s">
        <v>434</v>
      </c>
      <c r="X238" s="10" t="s">
        <v>619</v>
      </c>
      <c r="Y238" s="10" t="s">
        <v>479</v>
      </c>
      <c r="Z238" s="10" t="s">
        <v>436</v>
      </c>
      <c r="AA238" s="10" t="s">
        <v>958</v>
      </c>
      <c r="AB238" s="8" t="n">
        <f aca="true">IF($F238="","",TODAY()-$F238)</f>
        <v>263</v>
      </c>
      <c r="AC238" s="10" t="s">
        <v>442</v>
      </c>
      <c r="AD238" s="10" t="s">
        <v>657</v>
      </c>
      <c r="AE238" s="10" t="s">
        <v>441</v>
      </c>
      <c r="AF238" s="10" t="s">
        <v>439</v>
      </c>
      <c r="AG238" s="10" t="s">
        <v>440</v>
      </c>
      <c r="AH238" s="10" t="s">
        <v>438</v>
      </c>
      <c r="AI238" s="10"/>
      <c r="AJ238" s="10" t="s">
        <v>444</v>
      </c>
      <c r="AK238" s="10" t="s">
        <v>445</v>
      </c>
      <c r="AL238" s="10" t="s">
        <v>446</v>
      </c>
      <c r="AM238" s="10"/>
      <c r="AN238" s="8" t="n">
        <v>565292666</v>
      </c>
      <c r="AO238" s="10" t="s">
        <v>447</v>
      </c>
      <c r="AP238" s="10" t="s">
        <v>175</v>
      </c>
      <c r="AQ238" s="11" t="n">
        <v>46062</v>
      </c>
      <c r="AR238" s="13"/>
      <c r="AS238" s="13"/>
      <c r="AT238" s="13"/>
      <c r="AU238" s="13"/>
      <c r="AV238" s="13" t="s">
        <v>1165</v>
      </c>
      <c r="AW238" s="13"/>
      <c r="AX238" s="13" t="s">
        <v>1165</v>
      </c>
      <c r="AY238" s="7"/>
      <c r="AZ238" s="7"/>
      <c r="BA238" s="7"/>
      <c r="BB238" s="7"/>
      <c r="BC238" s="7"/>
      <c r="BD238" s="9" t="n">
        <v>46290</v>
      </c>
      <c r="BE238" s="7" t="s">
        <v>1166</v>
      </c>
      <c r="BF238" s="14" t="str">
        <f aca="true">IF(TRIM($A238)="Finalized","Closed",IF($BD238="","No review date set",IF($BD238&lt;TODAY(),"OVERDUE",IF($BD238-TODAY()&lt;=7,"Due within 7 days","Scheduled"))))</f>
        <v>OVERDUE</v>
      </c>
      <c r="BG238" s="14" t="n">
        <f aca="true">IF($K238="","",TODAY()-$K238)</f>
        <v>52</v>
      </c>
      <c r="BH238" s="15" t="str">
        <f aca="false">IFERROR(LEFT(IF($B238="","Notes, ","")&amp;IF($K238="","Latest Date Worked, ","")&amp;IF($AY238="","Last Action, ","")&amp;IF(AND(OR(TRIM($A238)="Denied",TRIM($A238)="Rejected"),$BA238=""),"Denial Reason, ","")&amp;IF(AND(TRIM($A238)="Denied",$BB238="",TRIM($BA238)&lt;&gt;"NO DENIAL"),"Denial Code, ","")&amp;IF(AND(TRIM($A238)&lt;&gt;"Finalized",$BD238=""),"Next Review Date, ","")&amp;IF(AND(TRIM($A238)&lt;&gt;"Finalized",$BE238=""),"Next Step, ","")&amp;IF(AND(TRIM($A238)="Finalized",$AV238="",$AR238="",$AT238="",$AX238="",$AW238=""),"CPT outcome, ",""),LEN(IF($B238="","Notes, ","")&amp;IF($K238="","Latest Date Worked, ","")&amp;IF($AY238="","Last Action, ","")&amp;IF(AND(OR(TRIM($A238)="Denied",TRIM($A238)="Rejected"),$BA238=""),"Denial Reason, ","")&amp;IF(AND(TRIM($A238)="Denied",$BB238="",TRIM($BA238)&lt;&gt;"NO DENIAL"),"Denial Code, ","")&amp;IF(AND(TRIM($A238)&lt;&gt;"Finalized",$BD238=""),"Next Review Date, ","")&amp;IF(AND(TRIM($A238)&lt;&gt;"Finalized",$BE238=""),"Next Step, ","")&amp;IF(AND(TRIM($A238)="Finalized",$AV238="",$AR238="",$AT238="",$AX238="",$AW238=""),"CPT outcome, ",""))-2),"")</f>
        <v>Last Action</v>
      </c>
      <c r="BI238" s="15" t="str">
        <f aca="false">IF($BB238="","",IFERROR(INDEX('Denial Codes'!$C:$C,MATCH(LEFT($BB238,FIND(" - ",$BB238&amp;" - ")+2)&amp;"*",'Denial Codes'!$A:$A,0)),""))</f>
        <v/>
      </c>
      <c r="BJ238" s="15" t="str">
        <f aca="false">IF($BA238="","",IFERROR(INDEX(Lists!$B:$B,MATCH(TRIM($BA238),Lists!$A:$A,0))&amp;"",""))</f>
        <v/>
      </c>
    </row>
    <row r="239" customFormat="false" ht="15" hidden="false" customHeight="false" outlineLevel="0" collapsed="false">
      <c r="A239" s="7" t="s">
        <v>23</v>
      </c>
      <c r="B239" s="7" t="s">
        <v>1167</v>
      </c>
      <c r="C239" s="8" t="n">
        <v>547756234</v>
      </c>
      <c r="D239" s="9" t="n">
        <v>46072</v>
      </c>
      <c r="E239" s="10" t="s">
        <v>1168</v>
      </c>
      <c r="F239" s="11" t="n">
        <v>46050</v>
      </c>
      <c r="G239" s="10" t="s">
        <v>1169</v>
      </c>
      <c r="H239" s="10" t="s">
        <v>260</v>
      </c>
      <c r="I239" s="10" t="s">
        <v>1169</v>
      </c>
      <c r="J239" s="10" t="s">
        <v>370</v>
      </c>
      <c r="K239" s="9" t="n">
        <v>46305</v>
      </c>
      <c r="L239" s="12" t="n">
        <f aca="true">IF($O239="","",$O239-TODAY())</f>
        <v>104</v>
      </c>
      <c r="M239" s="12" t="n">
        <f aca="true">IF(AND(TRIM($A239)="Finalized",$K239&lt;&gt;""),"",IF($D239="","",$D239+365-TODAY()))</f>
        <v>126</v>
      </c>
      <c r="N239" s="12" t="n">
        <f aca="true">IF(AND(TRIM($A239)="Finalized",$K239&lt;&gt;""),"",IF($D239="","",$D239+120-TODAY()))</f>
        <v>-119</v>
      </c>
      <c r="O239" s="11" t="n">
        <f aca="false">IF(AND(TRIM($A239)="Finalized",$K239&lt;&gt;""),"",DATE(2027,1,28))</f>
        <v>46415</v>
      </c>
      <c r="P239" s="10" t="s">
        <v>114</v>
      </c>
      <c r="Q239" s="10" t="s">
        <v>115</v>
      </c>
      <c r="R239" s="10" t="s">
        <v>114</v>
      </c>
      <c r="S239" s="10" t="s">
        <v>116</v>
      </c>
      <c r="T239" s="10" t="s">
        <v>117</v>
      </c>
      <c r="U239" s="10" t="s">
        <v>116</v>
      </c>
      <c r="V239" s="10" t="s">
        <v>118</v>
      </c>
      <c r="W239" s="10" t="s">
        <v>183</v>
      </c>
      <c r="X239" s="10"/>
      <c r="Y239" s="10"/>
      <c r="Z239" s="10"/>
      <c r="AA239" s="10" t="s">
        <v>197</v>
      </c>
      <c r="AB239" s="8" t="n">
        <f aca="true">IF($F239="","",TODAY()-$F239)</f>
        <v>261</v>
      </c>
      <c r="AC239" s="10" t="s">
        <v>211</v>
      </c>
      <c r="AD239" s="10"/>
      <c r="AE239" s="10"/>
      <c r="AF239" s="10"/>
      <c r="AG239" s="10"/>
      <c r="AH239" s="10"/>
      <c r="AI239" s="10"/>
      <c r="AJ239" s="10" t="s">
        <v>385</v>
      </c>
      <c r="AK239" s="10"/>
      <c r="AL239" s="10"/>
      <c r="AM239" s="10"/>
      <c r="AN239" s="8" t="n">
        <v>550865889</v>
      </c>
      <c r="AO239" s="10" t="s">
        <v>255</v>
      </c>
      <c r="AP239" s="10" t="s">
        <v>308</v>
      </c>
      <c r="AQ239" s="11" t="n">
        <v>46057</v>
      </c>
      <c r="AR239" s="13"/>
      <c r="AS239" s="13"/>
      <c r="AT239" s="13"/>
      <c r="AU239" s="13"/>
      <c r="AV239" s="13" t="s">
        <v>211</v>
      </c>
      <c r="AW239" s="13"/>
      <c r="AX239" s="13" t="s">
        <v>211</v>
      </c>
      <c r="AY239" s="7" t="s">
        <v>159</v>
      </c>
      <c r="AZ239" s="7"/>
      <c r="BA239" s="7"/>
      <c r="BB239" s="7"/>
      <c r="BC239" s="7"/>
      <c r="BD239" s="9" t="n">
        <v>46336</v>
      </c>
      <c r="BE239" s="7"/>
      <c r="BF239" s="14" t="str">
        <f aca="true">IF(TRIM($A239)="Finalized","Closed",IF($BD239="","No review date set",IF($BD239&lt;TODAY(),"OVERDUE",IF($BD239-TODAY()&lt;=7,"Due within 7 days","Scheduled"))))</f>
        <v>Scheduled</v>
      </c>
      <c r="BG239" s="14" t="n">
        <f aca="true">IF($K239="","",TODAY()-$K239)</f>
        <v>6</v>
      </c>
      <c r="BH239" s="15" t="str">
        <f aca="false">IFERROR(LEFT(IF($B239="","Notes, ","")&amp;IF($K239="","Latest Date Worked, ","")&amp;IF($AY239="","Last Action, ","")&amp;IF(AND(OR(TRIM($A239)="Denied",TRIM($A239)="Rejected"),$BA239=""),"Denial Reason, ","")&amp;IF(AND(TRIM($A239)="Denied",$BB239="",TRIM($BA239)&lt;&gt;"NO DENIAL"),"Denial Code, ","")&amp;IF(AND(TRIM($A239)&lt;&gt;"Finalized",$BD239=""),"Next Review Date, ","")&amp;IF(AND(TRIM($A239)&lt;&gt;"Finalized",$BE239=""),"Next Step, ","")&amp;IF(AND(TRIM($A239)="Finalized",$AV239="",$AR239="",$AT239="",$AX239="",$AW239=""),"CPT outcome, ",""),LEN(IF($B239="","Notes, ","")&amp;IF($K239="","Latest Date Worked, ","")&amp;IF($AY239="","Last Action, ","")&amp;IF(AND(OR(TRIM($A239)="Denied",TRIM($A239)="Rejected"),$BA239=""),"Denial Reason, ","")&amp;IF(AND(TRIM($A239)="Denied",$BB239="",TRIM($BA239)&lt;&gt;"NO DENIAL"),"Denial Code, ","")&amp;IF(AND(TRIM($A239)&lt;&gt;"Finalized",$BD239=""),"Next Review Date, ","")&amp;IF(AND(TRIM($A239)&lt;&gt;"Finalized",$BE239=""),"Next Step, ","")&amp;IF(AND(TRIM($A239)="Finalized",$AV239="",$AR239="",$AT239="",$AX239="",$AW239=""),"CPT outcome, ",""))-2),"")</f>
        <v>Next Step</v>
      </c>
      <c r="BI239" s="15" t="str">
        <f aca="false">IF($BB239="","",IFERROR(INDEX('Denial Codes'!$C:$C,MATCH(LEFT($BB239,FIND(" - ",$BB239&amp;" - ")+2)&amp;"*",'Denial Codes'!$A:$A,0)),""))</f>
        <v/>
      </c>
      <c r="BJ239" s="15" t="str">
        <f aca="false">IF($BA239="","",IFERROR(INDEX(Lists!$B:$B,MATCH(TRIM($BA239),Lists!$A:$A,0))&amp;"",""))</f>
        <v/>
      </c>
    </row>
    <row r="240" customFormat="false" ht="15" hidden="false" customHeight="false" outlineLevel="0" collapsed="false">
      <c r="A240" s="7" t="s">
        <v>17</v>
      </c>
      <c r="B240" s="7" t="s">
        <v>1170</v>
      </c>
      <c r="C240" s="8" t="n">
        <v>561884409</v>
      </c>
      <c r="D240" s="9" t="n">
        <v>46196</v>
      </c>
      <c r="E240" s="10" t="s">
        <v>1171</v>
      </c>
      <c r="F240" s="11" t="n">
        <v>46051</v>
      </c>
      <c r="G240" s="10" t="s">
        <v>112</v>
      </c>
      <c r="H240" s="10" t="s">
        <v>112</v>
      </c>
      <c r="I240" s="10" t="s">
        <v>1163</v>
      </c>
      <c r="J240" s="10" t="s">
        <v>461</v>
      </c>
      <c r="K240" s="9" t="n">
        <v>46300</v>
      </c>
      <c r="L240" s="12" t="n">
        <f aca="true">IF($O240="","",$O240-TODAY())</f>
        <v>105</v>
      </c>
      <c r="M240" s="12" t="n">
        <f aca="true">IF(AND(TRIM($A240)="Finalized",$K240&lt;&gt;""),"",IF($D240="","",$D240+365-TODAY()))</f>
        <v>250</v>
      </c>
      <c r="N240" s="12" t="n">
        <f aca="true">IF(AND(TRIM($A240)="Finalized",$K240&lt;&gt;""),"",IF($D240="","",$D240+120-TODAY()))</f>
        <v>5</v>
      </c>
      <c r="O240" s="11" t="n">
        <f aca="false">IF(AND(TRIM($A240)="Finalized",$K240&lt;&gt;""),"",DATE(2027,1,29))</f>
        <v>46416</v>
      </c>
      <c r="P240" s="10" t="s">
        <v>114</v>
      </c>
      <c r="Q240" s="10" t="s">
        <v>115</v>
      </c>
      <c r="R240" s="10" t="s">
        <v>114</v>
      </c>
      <c r="S240" s="10" t="s">
        <v>116</v>
      </c>
      <c r="T240" s="10" t="s">
        <v>117</v>
      </c>
      <c r="U240" s="10" t="s">
        <v>116</v>
      </c>
      <c r="V240" s="10" t="s">
        <v>118</v>
      </c>
      <c r="W240" s="10" t="s">
        <v>119</v>
      </c>
      <c r="X240" s="10" t="s">
        <v>120</v>
      </c>
      <c r="Y240" s="10"/>
      <c r="Z240" s="10"/>
      <c r="AA240" s="10" t="s">
        <v>230</v>
      </c>
      <c r="AB240" s="8" t="n">
        <f aca="true">IF($F240="","",TODAY()-$F240)</f>
        <v>260</v>
      </c>
      <c r="AC240" s="10" t="s">
        <v>273</v>
      </c>
      <c r="AD240" s="10"/>
      <c r="AE240" s="10"/>
      <c r="AF240" s="10"/>
      <c r="AG240" s="10"/>
      <c r="AH240" s="10"/>
      <c r="AI240" s="10"/>
      <c r="AJ240" s="10" t="s">
        <v>123</v>
      </c>
      <c r="AK240" s="10" t="s">
        <v>124</v>
      </c>
      <c r="AL240" s="10" t="s">
        <v>306</v>
      </c>
      <c r="AM240" s="10"/>
      <c r="AN240" s="8"/>
      <c r="AO240" s="10" t="s">
        <v>231</v>
      </c>
      <c r="AP240" s="10" t="s">
        <v>232</v>
      </c>
      <c r="AQ240" s="11" t="n">
        <v>46183</v>
      </c>
      <c r="AR240" s="13"/>
      <c r="AS240" s="13"/>
      <c r="AT240" s="13"/>
      <c r="AU240" s="13"/>
      <c r="AV240" s="13" t="s">
        <v>273</v>
      </c>
      <c r="AW240" s="13"/>
      <c r="AX240" s="13" t="s">
        <v>273</v>
      </c>
      <c r="AY240" s="7" t="s">
        <v>233</v>
      </c>
      <c r="AZ240" s="7"/>
      <c r="BA240" s="7"/>
      <c r="BB240" s="7"/>
      <c r="BC240" s="7" t="s">
        <v>1172</v>
      </c>
      <c r="BD240" s="9" t="n">
        <v>46331</v>
      </c>
      <c r="BE240" s="7" t="s">
        <v>1173</v>
      </c>
      <c r="BF240" s="14" t="str">
        <f aca="true">IF(TRIM($A240)="Finalized","Closed",IF($BD240="","No review date set",IF($BD240&lt;TODAY(),"OVERDUE",IF($BD240-TODAY()&lt;=7,"Due within 7 days","Scheduled"))))</f>
        <v>Scheduled</v>
      </c>
      <c r="BG240" s="14" t="n">
        <f aca="true">IF($K240="","",TODAY()-$K240)</f>
        <v>11</v>
      </c>
      <c r="BH240" s="15" t="str">
        <f aca="false">IFERROR(LEFT(IF($B240="","Notes, ","")&amp;IF($K240="","Latest Date Worked, ","")&amp;IF($AY240="","Last Action, ","")&amp;IF(AND(OR(TRIM($A240)="Denied",TRIM($A240)="Rejected"),$BA240=""),"Denial Reason, ","")&amp;IF(AND(TRIM($A240)="Denied",$BB240="",TRIM($BA240)&lt;&gt;"NO DENIAL"),"Denial Code, ","")&amp;IF(AND(TRIM($A240)&lt;&gt;"Finalized",$BD240=""),"Next Review Date, ","")&amp;IF(AND(TRIM($A240)&lt;&gt;"Finalized",$BE240=""),"Next Step, ","")&amp;IF(AND(TRIM($A240)="Finalized",$AV240="",$AR240="",$AT240="",$AX240="",$AW240=""),"CPT outcome, ",""),LEN(IF($B240="","Notes, ","")&amp;IF($K240="","Latest Date Worked, ","")&amp;IF($AY240="","Last Action, ","")&amp;IF(AND(OR(TRIM($A240)="Denied",TRIM($A240)="Rejected"),$BA240=""),"Denial Reason, ","")&amp;IF(AND(TRIM($A240)="Denied",$BB240="",TRIM($BA240)&lt;&gt;"NO DENIAL"),"Denial Code, ","")&amp;IF(AND(TRIM($A240)&lt;&gt;"Finalized",$BD240=""),"Next Review Date, ","")&amp;IF(AND(TRIM($A240)&lt;&gt;"Finalized",$BE240=""),"Next Step, ","")&amp;IF(AND(TRIM($A240)="Finalized",$AV240="",$AR240="",$AT240="",$AX240="",$AW240=""),"CPT outcome, ",""))-2),"")</f>
        <v>Denial Reason, Denial Code</v>
      </c>
      <c r="BI240" s="15" t="str">
        <f aca="false">IF($BB240="","",IFERROR(INDEX('Denial Codes'!$C:$C,MATCH(LEFT($BB240,FIND(" - ",$BB240&amp;" - ")+2)&amp;"*",'Denial Codes'!$A:$A,0)),""))</f>
        <v/>
      </c>
      <c r="BJ240" s="15" t="str">
        <f aca="false">IF($BA240="","",IFERROR(INDEX(Lists!$B:$B,MATCH(TRIM($BA240),Lists!$A:$A,0))&amp;"",""))</f>
        <v/>
      </c>
    </row>
    <row r="241" customFormat="false" ht="15" hidden="false" customHeight="false" outlineLevel="0" collapsed="false">
      <c r="A241" s="7" t="s">
        <v>17</v>
      </c>
      <c r="B241" s="7" t="s">
        <v>203</v>
      </c>
      <c r="C241" s="8" t="n">
        <v>549217692</v>
      </c>
      <c r="D241" s="9" t="n">
        <v>46155</v>
      </c>
      <c r="E241" s="10" t="s">
        <v>1174</v>
      </c>
      <c r="F241" s="11" t="n">
        <v>46055</v>
      </c>
      <c r="G241" s="10" t="s">
        <v>781</v>
      </c>
      <c r="H241" s="10" t="s">
        <v>781</v>
      </c>
      <c r="I241" s="10" t="s">
        <v>1122</v>
      </c>
      <c r="J241" s="10" t="s">
        <v>1175</v>
      </c>
      <c r="K241" s="9" t="n">
        <v>46142</v>
      </c>
      <c r="L241" s="12" t="n">
        <f aca="true">IF($O241="","",$O241-TODAY())</f>
        <v>109</v>
      </c>
      <c r="M241" s="12" t="n">
        <f aca="true">IF(AND(TRIM($A241)="Finalized",$K241&lt;&gt;""),"",IF($D241="","",$D241+180-TODAY()))</f>
        <v>24</v>
      </c>
      <c r="N241" s="12" t="n">
        <f aca="true">IF(AND(TRIM($A241)="Finalized",$K241&lt;&gt;""),"",IF($D241="","",$D241+365-TODAY()))</f>
        <v>209</v>
      </c>
      <c r="O241" s="11" t="n">
        <f aca="false">IF(AND(TRIM($A241)="Finalized",$K241&lt;&gt;""),"",DATE(2027,2,2))</f>
        <v>46420</v>
      </c>
      <c r="P241" s="10" t="s">
        <v>114</v>
      </c>
      <c r="Q241" s="10" t="s">
        <v>1176</v>
      </c>
      <c r="R241" s="10" t="s">
        <v>147</v>
      </c>
      <c r="S241" s="10" t="s">
        <v>116</v>
      </c>
      <c r="T241" s="10" t="s">
        <v>114</v>
      </c>
      <c r="U241" s="10" t="s">
        <v>116</v>
      </c>
      <c r="V241" s="10" t="s">
        <v>150</v>
      </c>
      <c r="W241" s="10" t="s">
        <v>434</v>
      </c>
      <c r="X241" s="10" t="s">
        <v>478</v>
      </c>
      <c r="Y241" s="10" t="s">
        <v>930</v>
      </c>
      <c r="Z241" s="10" t="s">
        <v>621</v>
      </c>
      <c r="AA241" s="10" t="s">
        <v>437</v>
      </c>
      <c r="AB241" s="8" t="n">
        <f aca="true">IF($F241="","",TODAY()-$F241)</f>
        <v>256</v>
      </c>
      <c r="AC241" s="10" t="s">
        <v>439</v>
      </c>
      <c r="AD241" s="10" t="s">
        <v>440</v>
      </c>
      <c r="AE241" s="10" t="s">
        <v>441</v>
      </c>
      <c r="AF241" s="10" t="s">
        <v>657</v>
      </c>
      <c r="AG241" s="10" t="s">
        <v>442</v>
      </c>
      <c r="AH241" s="10"/>
      <c r="AI241" s="10"/>
      <c r="AJ241" s="10" t="s">
        <v>579</v>
      </c>
      <c r="AK241" s="10" t="s">
        <v>445</v>
      </c>
      <c r="AL241" s="10" t="s">
        <v>622</v>
      </c>
      <c r="AM241" s="10"/>
      <c r="AN241" s="8"/>
      <c r="AO241" s="10" t="s">
        <v>447</v>
      </c>
      <c r="AP241" s="10" t="s">
        <v>175</v>
      </c>
      <c r="AQ241" s="11" t="n">
        <v>46064</v>
      </c>
      <c r="AR241" s="13"/>
      <c r="AS241" s="13"/>
      <c r="AT241" s="13"/>
      <c r="AU241" s="13"/>
      <c r="AV241" s="13"/>
      <c r="AW241" s="13"/>
      <c r="AX241" s="13" t="s">
        <v>1177</v>
      </c>
      <c r="AY241" s="7" t="s">
        <v>203</v>
      </c>
      <c r="AZ241" s="7"/>
      <c r="BA241" s="7" t="s">
        <v>36</v>
      </c>
      <c r="BB241" s="7" t="s">
        <v>204</v>
      </c>
      <c r="BC241" s="7" t="s">
        <v>1178</v>
      </c>
      <c r="BD241" s="9" t="n">
        <v>46172</v>
      </c>
      <c r="BE241" s="7"/>
      <c r="BF241" s="14" t="str">
        <f aca="true">IF(TRIM($A241)="Finalized","Closed",IF($BD241="","No review date set",IF($BD241&lt;TODAY(),"OVERDUE",IF($BD241-TODAY()&lt;=7,"Due within 7 days","Scheduled"))))</f>
        <v>OVERDUE</v>
      </c>
      <c r="BG241" s="14" t="n">
        <f aca="true">IF($K241="","",TODAY()-$K241)</f>
        <v>169</v>
      </c>
      <c r="BH241" s="15" t="str">
        <f aca="false">IFERROR(LEFT(IF($B241="","Notes, ","")&amp;IF($K241="","Latest Date Worked, ","")&amp;IF($AY241="","Last Action, ","")&amp;IF(AND(OR(TRIM($A241)="Denied",TRIM($A241)="Rejected"),$BA241=""),"Denial Reason, ","")&amp;IF(AND(TRIM($A241)="Denied",$BB241="",TRIM($BA241)&lt;&gt;"NO DENIAL"),"Denial Code, ","")&amp;IF(AND(TRIM($A241)&lt;&gt;"Finalized",$BD241=""),"Next Review Date, ","")&amp;IF(AND(TRIM($A241)&lt;&gt;"Finalized",$BE241=""),"Next Step, ","")&amp;IF(AND(TRIM($A241)="Finalized",$AV241="",$AR241="",$AT241="",$AX241="",$AW241=""),"CPT outcome, ",""),LEN(IF($B241="","Notes, ","")&amp;IF($K241="","Latest Date Worked, ","")&amp;IF($AY241="","Last Action, ","")&amp;IF(AND(OR(TRIM($A241)="Denied",TRIM($A241)="Rejected"),$BA241=""),"Denial Reason, ","")&amp;IF(AND(TRIM($A241)="Denied",$BB241="",TRIM($BA241)&lt;&gt;"NO DENIAL"),"Denial Code, ","")&amp;IF(AND(TRIM($A241)&lt;&gt;"Finalized",$BD241=""),"Next Review Date, ","")&amp;IF(AND(TRIM($A241)&lt;&gt;"Finalized",$BE241=""),"Next Step, ","")&amp;IF(AND(TRIM($A241)="Finalized",$AV241="",$AR241="",$AT241="",$AX241="",$AW241=""),"CPT outcome, ",""))-2),"")</f>
        <v>Next Step</v>
      </c>
      <c r="BI241" s="15" t="str">
        <f aca="false">IF($BB241="","",IFERROR(INDEX('Denial Codes'!$C:$C,MATCH(LEFT($BB241,FIND(" - ",$BB241&amp;" - ")+2)&amp;"*",'Denial Codes'!$A:$A,0)),""))</f>
        <v>Medical records needed</v>
      </c>
      <c r="BJ241" s="15" t="str">
        <f aca="false">IF($BA241="","",IFERROR(INDEX(Lists!$B:$B,MATCH(TRIM($BA241),Lists!$A:$A,0))&amp;"",""))</f>
        <v>Upload the MR on the payer portal, note the PIQ/reference number and set a review date.</v>
      </c>
    </row>
    <row r="242" customFormat="false" ht="15" hidden="false" customHeight="false" outlineLevel="0" collapsed="false">
      <c r="A242" s="7" t="s">
        <v>20</v>
      </c>
      <c r="B242" s="7" t="s">
        <v>1179</v>
      </c>
      <c r="C242" s="8" t="n">
        <v>563152890</v>
      </c>
      <c r="D242" s="9" t="n">
        <v>46211</v>
      </c>
      <c r="E242" s="10" t="s">
        <v>1180</v>
      </c>
      <c r="F242" s="11" t="n">
        <v>46057</v>
      </c>
      <c r="G242" s="10" t="s">
        <v>163</v>
      </c>
      <c r="H242" s="10" t="s">
        <v>260</v>
      </c>
      <c r="I242" s="10" t="s">
        <v>163</v>
      </c>
      <c r="J242" s="10" t="s">
        <v>194</v>
      </c>
      <c r="K242" s="9" t="n">
        <v>46196</v>
      </c>
      <c r="L242" s="12" t="n">
        <f aca="true">IF($O242="","",$O242-TODAY())</f>
        <v>111</v>
      </c>
      <c r="M242" s="12" t="n">
        <f aca="true">IF(AND(TRIM($A242)="Finalized",$K242&lt;&gt;""),"",IF($D242="","",$D242+365-TODAY()))</f>
        <v>265</v>
      </c>
      <c r="N242" s="12" t="n">
        <f aca="true">IF(AND(TRIM($A242)="Finalized",$K242&lt;&gt;""),"",IF($D242="","",$D242+120-TODAY()))</f>
        <v>20</v>
      </c>
      <c r="O242" s="11" t="n">
        <f aca="false">IF(AND(TRIM($A242)="Finalized",$K242&lt;&gt;""),"",DATE(2027,2,4))</f>
        <v>46422</v>
      </c>
      <c r="P242" s="10" t="s">
        <v>114</v>
      </c>
      <c r="Q242" s="10" t="s">
        <v>115</v>
      </c>
      <c r="R242" s="10" t="s">
        <v>114</v>
      </c>
      <c r="S242" s="10" t="s">
        <v>116</v>
      </c>
      <c r="T242" s="10" t="s">
        <v>117</v>
      </c>
      <c r="U242" s="10" t="s">
        <v>116</v>
      </c>
      <c r="V242" s="10" t="s">
        <v>150</v>
      </c>
      <c r="W242" s="10" t="s">
        <v>196</v>
      </c>
      <c r="X242" s="10"/>
      <c r="Y242" s="10"/>
      <c r="Z242" s="10"/>
      <c r="AA242" s="10" t="s">
        <v>197</v>
      </c>
      <c r="AB242" s="8" t="n">
        <f aca="true">IF($F242="","",TODAY()-$F242)</f>
        <v>254</v>
      </c>
      <c r="AC242" s="10" t="s">
        <v>198</v>
      </c>
      <c r="AD242" s="10"/>
      <c r="AE242" s="10"/>
      <c r="AF242" s="10"/>
      <c r="AG242" s="10"/>
      <c r="AH242" s="10"/>
      <c r="AI242" s="10"/>
      <c r="AJ242" s="10" t="s">
        <v>375</v>
      </c>
      <c r="AK242" s="10" t="s">
        <v>1181</v>
      </c>
      <c r="AL242" s="10" t="s">
        <v>915</v>
      </c>
      <c r="AM242" s="10" t="s">
        <v>1182</v>
      </c>
      <c r="AN242" s="8" t="n">
        <v>566075115</v>
      </c>
      <c r="AO242" s="10" t="s">
        <v>255</v>
      </c>
      <c r="AP242" s="10" t="s">
        <v>268</v>
      </c>
      <c r="AQ242" s="11" t="n">
        <v>46072</v>
      </c>
      <c r="AR242" s="13"/>
      <c r="AS242" s="13"/>
      <c r="AT242" s="13"/>
      <c r="AU242" s="13"/>
      <c r="AV242" s="13" t="s">
        <v>198</v>
      </c>
      <c r="AW242" s="13"/>
      <c r="AX242" s="13" t="s">
        <v>198</v>
      </c>
      <c r="AY242" s="7" t="s">
        <v>233</v>
      </c>
      <c r="AZ242" s="7" t="s">
        <v>159</v>
      </c>
      <c r="BA242" s="7" t="s">
        <v>48</v>
      </c>
      <c r="BB242" s="7"/>
      <c r="BC242" s="7"/>
      <c r="BD242" s="9" t="n">
        <v>46226</v>
      </c>
      <c r="BE242" s="7" t="s">
        <v>527</v>
      </c>
      <c r="BF242" s="14" t="str">
        <f aca="true">IF(TRIM($A242)="Finalized","Closed",IF($BD242="","No review date set",IF($BD242&lt;TODAY(),"OVERDUE",IF($BD242-TODAY()&lt;=7,"Due within 7 days","Scheduled"))))</f>
        <v>OVERDUE</v>
      </c>
      <c r="BG242" s="14" t="n">
        <f aca="true">IF($K242="","",TODAY()-$K242)</f>
        <v>115</v>
      </c>
      <c r="BH242" s="15" t="str">
        <f aca="false">IFERROR(LEFT(IF($B242="","Notes, ","")&amp;IF($K242="","Latest Date Worked, ","")&amp;IF($AY242="","Last Action, ","")&amp;IF(AND(OR(TRIM($A242)="Denied",TRIM($A242)="Rejected"),$BA242=""),"Denial Reason, ","")&amp;IF(AND(TRIM($A242)="Denied",$BB242="",TRIM($BA242)&lt;&gt;"NO DENIAL"),"Denial Code, ","")&amp;IF(AND(TRIM($A242)&lt;&gt;"Finalized",$BD242=""),"Next Review Date, ","")&amp;IF(AND(TRIM($A242)&lt;&gt;"Finalized",$BE242=""),"Next Step, ","")&amp;IF(AND(TRIM($A242)="Finalized",$AV242="",$AR242="",$AT242="",$AX242="",$AW242=""),"CPT outcome, ",""),LEN(IF($B242="","Notes, ","")&amp;IF($K242="","Latest Date Worked, ","")&amp;IF($AY242="","Last Action, ","")&amp;IF(AND(OR(TRIM($A242)="Denied",TRIM($A242)="Rejected"),$BA242=""),"Denial Reason, ","")&amp;IF(AND(TRIM($A242)="Denied",$BB242="",TRIM($BA242)&lt;&gt;"NO DENIAL"),"Denial Code, ","")&amp;IF(AND(TRIM($A242)&lt;&gt;"Finalized",$BD242=""),"Next Review Date, ","")&amp;IF(AND(TRIM($A242)&lt;&gt;"Finalized",$BE242=""),"Next Step, ","")&amp;IF(AND(TRIM($A242)="Finalized",$AV242="",$AR242="",$AT242="",$AX242="",$AW242=""),"CPT outcome, ",""))-2),"")</f>
        <v/>
      </c>
      <c r="BI242" s="15" t="str">
        <f aca="false">IF($BB242="","",IFERROR(INDEX('Denial Codes'!$C:$C,MATCH(LEFT($BB242,FIND(" - ",$BB242&amp;" - ")+2)&amp;"*",'Denial Codes'!$A:$A,0)),""))</f>
        <v/>
      </c>
      <c r="BJ242" s="15" t="str">
        <f aca="false">IF($BA242="","",IFERROR(INDEX(Lists!$B:$B,MATCH(TRIM($BA242),Lists!$A:$A,0))&amp;"",""))</f>
        <v>Get a valid referral or correct the referring provider, then resubmit.</v>
      </c>
    </row>
    <row r="243" customFormat="false" ht="15" hidden="false" customHeight="false" outlineLevel="0" collapsed="false">
      <c r="A243" s="7" t="s">
        <v>17</v>
      </c>
      <c r="B243" s="7" t="s">
        <v>1183</v>
      </c>
      <c r="C243" s="8" t="n">
        <v>549219539</v>
      </c>
      <c r="D243" s="9" t="n">
        <v>46126</v>
      </c>
      <c r="E243" s="10" t="s">
        <v>1184</v>
      </c>
      <c r="F243" s="11" t="n">
        <v>46062</v>
      </c>
      <c r="G243" s="10" t="s">
        <v>260</v>
      </c>
      <c r="H243" s="10" t="s">
        <v>260</v>
      </c>
      <c r="I243" s="10" t="s">
        <v>271</v>
      </c>
      <c r="J243" s="10" t="s">
        <v>1185</v>
      </c>
      <c r="K243" s="9" t="n">
        <v>46258</v>
      </c>
      <c r="L243" s="12" t="n">
        <f aca="true">IF($O243="","",$O243-TODAY())</f>
        <v>116</v>
      </c>
      <c r="M243" s="12" t="n">
        <f aca="true">IF(AND(TRIM($A243)="Finalized",$K243&lt;&gt;""),"",IF($D243="","",$D243+365-TODAY()))</f>
        <v>180</v>
      </c>
      <c r="N243" s="12" t="n">
        <f aca="true">IF(AND(TRIM($A243)="Finalized",$K243&lt;&gt;""),"",IF($D243="","",$D243+120-TODAY()))</f>
        <v>-65</v>
      </c>
      <c r="O243" s="11" t="n">
        <f aca="false">IF(AND(TRIM($A243)="Finalized",$K243&lt;&gt;""),"",DATE(2027,2,9))</f>
        <v>46427</v>
      </c>
      <c r="P243" s="10" t="s">
        <v>114</v>
      </c>
      <c r="Q243" s="10" t="s">
        <v>115</v>
      </c>
      <c r="R243" s="10" t="s">
        <v>114</v>
      </c>
      <c r="S243" s="10" t="s">
        <v>116</v>
      </c>
      <c r="T243" s="10" t="s">
        <v>117</v>
      </c>
      <c r="U243" s="10" t="s">
        <v>116</v>
      </c>
      <c r="V243" s="10" t="s">
        <v>150</v>
      </c>
      <c r="W243" s="10" t="s">
        <v>434</v>
      </c>
      <c r="X243" s="10" t="s">
        <v>1186</v>
      </c>
      <c r="Y243" s="10"/>
      <c r="Z243" s="10"/>
      <c r="AA243" s="10" t="s">
        <v>1187</v>
      </c>
      <c r="AB243" s="8" t="n">
        <f aca="true">IF($F243="","",TODAY()-$F243)</f>
        <v>249</v>
      </c>
      <c r="AC243" s="10" t="s">
        <v>440</v>
      </c>
      <c r="AD243" s="10"/>
      <c r="AE243" s="10"/>
      <c r="AF243" s="10"/>
      <c r="AG243" s="10"/>
      <c r="AH243" s="10"/>
      <c r="AI243" s="10"/>
      <c r="AJ243" s="10" t="s">
        <v>622</v>
      </c>
      <c r="AK243" s="10" t="s">
        <v>445</v>
      </c>
      <c r="AL243" s="10"/>
      <c r="AM243" s="10"/>
      <c r="AN243" s="8"/>
      <c r="AO243" s="10" t="s">
        <v>447</v>
      </c>
      <c r="AP243" s="10" t="s">
        <v>327</v>
      </c>
      <c r="AQ243" s="11" t="n">
        <v>46065</v>
      </c>
      <c r="AR243" s="13"/>
      <c r="AS243" s="13"/>
      <c r="AT243" s="13"/>
      <c r="AU243" s="13"/>
      <c r="AV243" s="13" t="s">
        <v>440</v>
      </c>
      <c r="AW243" s="13"/>
      <c r="AX243" s="13" t="s">
        <v>440</v>
      </c>
      <c r="AY243" s="7" t="s">
        <v>159</v>
      </c>
      <c r="AZ243" s="7"/>
      <c r="BA243" s="7" t="s">
        <v>43</v>
      </c>
      <c r="BB243" s="7"/>
      <c r="BC243" s="7" t="s">
        <v>1188</v>
      </c>
      <c r="BD243" s="9" t="n">
        <v>46289</v>
      </c>
      <c r="BE243" s="7" t="s">
        <v>1189</v>
      </c>
      <c r="BF243" s="14" t="str">
        <f aca="true">IF(TRIM($A243)="Finalized","Closed",IF($BD243="","No review date set",IF($BD243&lt;TODAY(),"OVERDUE",IF($BD243-TODAY()&lt;=7,"Due within 7 days","Scheduled"))))</f>
        <v>OVERDUE</v>
      </c>
      <c r="BG243" s="14" t="n">
        <f aca="true">IF($K243="","",TODAY()-$K243)</f>
        <v>53</v>
      </c>
      <c r="BH243" s="15" t="str">
        <f aca="false">IFERROR(LEFT(IF($B243="","Notes, ","")&amp;IF($K243="","Latest Date Worked, ","")&amp;IF($AY243="","Last Action, ","")&amp;IF(AND(OR(TRIM($A243)="Denied",TRIM($A243)="Rejected"),$BA243=""),"Denial Reason, ","")&amp;IF(AND(TRIM($A243)="Denied",$BB243="",TRIM($BA243)&lt;&gt;"NO DENIAL"),"Denial Code, ","")&amp;IF(AND(TRIM($A243)&lt;&gt;"Finalized",$BD243=""),"Next Review Date, ","")&amp;IF(AND(TRIM($A243)&lt;&gt;"Finalized",$BE243=""),"Next Step, ","")&amp;IF(AND(TRIM($A243)="Finalized",$AV243="",$AR243="",$AT243="",$AX243="",$AW243=""),"CPT outcome, ",""),LEN(IF($B243="","Notes, ","")&amp;IF($K243="","Latest Date Worked, ","")&amp;IF($AY243="","Last Action, ","")&amp;IF(AND(OR(TRIM($A243)="Denied",TRIM($A243)="Rejected"),$BA243=""),"Denial Reason, ","")&amp;IF(AND(TRIM($A243)="Denied",$BB243="",TRIM($BA243)&lt;&gt;"NO DENIAL"),"Denial Code, ","")&amp;IF(AND(TRIM($A243)&lt;&gt;"Finalized",$BD243=""),"Next Review Date, ","")&amp;IF(AND(TRIM($A243)&lt;&gt;"Finalized",$BE243=""),"Next Step, ","")&amp;IF(AND(TRIM($A243)="Finalized",$AV243="",$AR243="",$AT243="",$AX243="",$AW243=""),"CPT outcome, ",""))-2),"")</f>
        <v>Denial Code</v>
      </c>
      <c r="BI243" s="15" t="str">
        <f aca="false">IF($BB243="","",IFERROR(INDEX('Denial Codes'!$C:$C,MATCH(LEFT($BB243,FIND(" - ",$BB243&amp;" - ")+2)&amp;"*",'Denial Codes'!$A:$A,0)),""))</f>
        <v/>
      </c>
      <c r="BJ243" s="15" t="str">
        <f aca="false">IF($BA243="","",IFERROR(INDEX(Lists!$B:$B,MATCH(TRIM($BA243),Lists!$A:$A,0))&amp;"",""))</f>
        <v>Appeal with medical records and a letter of medical necessity; check LCD/MUE limits.</v>
      </c>
    </row>
    <row r="244" customFormat="false" ht="15" hidden="false" customHeight="false" outlineLevel="0" collapsed="false">
      <c r="A244" s="7" t="s">
        <v>19</v>
      </c>
      <c r="B244" s="7" t="s">
        <v>1190</v>
      </c>
      <c r="C244" s="8" t="n">
        <v>553137846</v>
      </c>
      <c r="D244" s="9" t="n">
        <v>46105</v>
      </c>
      <c r="E244" s="10" t="s">
        <v>1191</v>
      </c>
      <c r="F244" s="11" t="n">
        <v>46063</v>
      </c>
      <c r="G244" s="10" t="s">
        <v>227</v>
      </c>
      <c r="H244" s="10" t="s">
        <v>112</v>
      </c>
      <c r="I244" s="10" t="s">
        <v>227</v>
      </c>
      <c r="J244" s="10" t="s">
        <v>461</v>
      </c>
      <c r="K244" s="9" t="n">
        <v>46300</v>
      </c>
      <c r="L244" s="12" t="n">
        <f aca="true">IF($O244="","",$O244-TODAY())</f>
        <v>117</v>
      </c>
      <c r="M244" s="12" t="n">
        <f aca="true">IF(AND(TRIM($A244)="Finalized",$K244&lt;&gt;""),"",IF($D244="","",$D244+365-TODAY()))</f>
        <v>159</v>
      </c>
      <c r="N244" s="12" t="n">
        <f aca="true">IF(AND(TRIM($A244)="Finalized",$K244&lt;&gt;""),"",IF($D244="","",$D244+120-TODAY()))</f>
        <v>-86</v>
      </c>
      <c r="O244" s="11" t="n">
        <f aca="false">IF(AND(TRIM($A244)="Finalized",$K244&lt;&gt;""),"",DATE(2027,2,10))</f>
        <v>46428</v>
      </c>
      <c r="P244" s="10" t="s">
        <v>114</v>
      </c>
      <c r="Q244" s="10" t="s">
        <v>115</v>
      </c>
      <c r="R244" s="10" t="s">
        <v>114</v>
      </c>
      <c r="S244" s="10" t="s">
        <v>116</v>
      </c>
      <c r="T244" s="10" t="s">
        <v>117</v>
      </c>
      <c r="U244" s="10" t="s">
        <v>116</v>
      </c>
      <c r="V244" s="10" t="s">
        <v>150</v>
      </c>
      <c r="W244" s="10" t="s">
        <v>119</v>
      </c>
      <c r="X244" s="10" t="s">
        <v>120</v>
      </c>
      <c r="Y244" s="10"/>
      <c r="Z244" s="10"/>
      <c r="AA244" s="10" t="s">
        <v>230</v>
      </c>
      <c r="AB244" s="8" t="n">
        <f aca="true">IF($F244="","",TODAY()-$F244)</f>
        <v>248</v>
      </c>
      <c r="AC244" s="10" t="s">
        <v>273</v>
      </c>
      <c r="AD244" s="10"/>
      <c r="AE244" s="10"/>
      <c r="AF244" s="10"/>
      <c r="AG244" s="10"/>
      <c r="AH244" s="10"/>
      <c r="AI244" s="10"/>
      <c r="AJ244" s="10" t="s">
        <v>123</v>
      </c>
      <c r="AK244" s="10"/>
      <c r="AL244" s="10"/>
      <c r="AM244" s="10"/>
      <c r="AN244" s="8" t="n">
        <v>564731184</v>
      </c>
      <c r="AO244" s="10" t="s">
        <v>231</v>
      </c>
      <c r="AP244" s="10" t="s">
        <v>232</v>
      </c>
      <c r="AQ244" s="11" t="n">
        <v>46099</v>
      </c>
      <c r="AR244" s="13"/>
      <c r="AS244" s="13"/>
      <c r="AT244" s="13"/>
      <c r="AU244" s="13"/>
      <c r="AV244" s="13" t="s">
        <v>273</v>
      </c>
      <c r="AW244" s="13"/>
      <c r="AX244" s="13" t="s">
        <v>273</v>
      </c>
      <c r="AY244" s="7" t="s">
        <v>233</v>
      </c>
      <c r="AZ244" s="7"/>
      <c r="BA244" s="7"/>
      <c r="BB244" s="7"/>
      <c r="BC244" s="7"/>
      <c r="BD244" s="9" t="n">
        <v>46331</v>
      </c>
      <c r="BE244" s="7" t="s">
        <v>1192</v>
      </c>
      <c r="BF244" s="14" t="str">
        <f aca="true">IF(TRIM($A244)="Finalized","Closed",IF($BD244="","No review date set",IF($BD244&lt;TODAY(),"OVERDUE",IF($BD244-TODAY()&lt;=7,"Due within 7 days","Scheduled"))))</f>
        <v>Scheduled</v>
      </c>
      <c r="BG244" s="14" t="n">
        <f aca="true">IF($K244="","",TODAY()-$K244)</f>
        <v>11</v>
      </c>
      <c r="BH244" s="15" t="str">
        <f aca="false">IFERROR(LEFT(IF($B244="","Notes, ","")&amp;IF($K244="","Latest Date Worked, ","")&amp;IF($AY244="","Last Action, ","")&amp;IF(AND(OR(TRIM($A244)="Denied",TRIM($A244)="Rejected"),$BA244=""),"Denial Reason, ","")&amp;IF(AND(TRIM($A244)="Denied",$BB244="",TRIM($BA244)&lt;&gt;"NO DENIAL"),"Denial Code, ","")&amp;IF(AND(TRIM($A244)&lt;&gt;"Finalized",$BD244=""),"Next Review Date, ","")&amp;IF(AND(TRIM($A244)&lt;&gt;"Finalized",$BE244=""),"Next Step, ","")&amp;IF(AND(TRIM($A244)="Finalized",$AV244="",$AR244="",$AT244="",$AX244="",$AW244=""),"CPT outcome, ",""),LEN(IF($B244="","Notes, ","")&amp;IF($K244="","Latest Date Worked, ","")&amp;IF($AY244="","Last Action, ","")&amp;IF(AND(OR(TRIM($A244)="Denied",TRIM($A244)="Rejected"),$BA244=""),"Denial Reason, ","")&amp;IF(AND(TRIM($A244)="Denied",$BB244="",TRIM($BA244)&lt;&gt;"NO DENIAL"),"Denial Code, ","")&amp;IF(AND(TRIM($A244)&lt;&gt;"Finalized",$BD244=""),"Next Review Date, ","")&amp;IF(AND(TRIM($A244)&lt;&gt;"Finalized",$BE244=""),"Next Step, ","")&amp;IF(AND(TRIM($A244)="Finalized",$AV244="",$AR244="",$AT244="",$AX244="",$AW244=""),"CPT outcome, ",""))-2),"")</f>
        <v/>
      </c>
      <c r="BI244" s="15" t="str">
        <f aca="false">IF($BB244="","",IFERROR(INDEX('Denial Codes'!$C:$C,MATCH(LEFT($BB244,FIND(" - ",$BB244&amp;" - ")+2)&amp;"*",'Denial Codes'!$A:$A,0)),""))</f>
        <v/>
      </c>
      <c r="BJ244" s="15" t="str">
        <f aca="false">IF($BA244="","",IFERROR(INDEX(Lists!$B:$B,MATCH(TRIM($BA244),Lists!$A:$A,0))&amp;"",""))</f>
        <v/>
      </c>
    </row>
    <row r="245" customFormat="false" ht="15" hidden="false" customHeight="false" outlineLevel="0" collapsed="false">
      <c r="A245" s="7" t="s">
        <v>16</v>
      </c>
      <c r="B245" s="7" t="s">
        <v>1179</v>
      </c>
      <c r="C245" s="8" t="n">
        <v>563153622</v>
      </c>
      <c r="D245" s="9" t="n">
        <v>46211</v>
      </c>
      <c r="E245" s="10" t="s">
        <v>1193</v>
      </c>
      <c r="F245" s="11" t="n">
        <v>46065</v>
      </c>
      <c r="G245" s="10" t="s">
        <v>271</v>
      </c>
      <c r="H245" s="10" t="s">
        <v>260</v>
      </c>
      <c r="I245" s="10" t="s">
        <v>271</v>
      </c>
      <c r="J245" s="10" t="s">
        <v>608</v>
      </c>
      <c r="K245" s="9" t="n">
        <v>46196</v>
      </c>
      <c r="L245" s="12" t="str">
        <f aca="true">IF($O245="","",$O245-TODAY())</f>
        <v/>
      </c>
      <c r="M245" s="12" t="str">
        <f aca="true">IF(AND(TRIM($A245)="Finalized",$K245&lt;&gt;""),"",IF($D245="","",$D245+365-TODAY()))</f>
        <v/>
      </c>
      <c r="N245" s="12" t="str">
        <f aca="true">IF(AND(TRIM($A245)="Finalized",$K245&lt;&gt;""),"",IF($D245="","",$D245+120-TODAY()))</f>
        <v/>
      </c>
      <c r="O245" s="11" t="str">
        <f aca="false">IF(AND(TRIM($A245)="Finalized",$K245&lt;&gt;""),"",DATE(2027,2,12))</f>
        <v/>
      </c>
      <c r="P245" s="10" t="s">
        <v>114</v>
      </c>
      <c r="Q245" s="10" t="s">
        <v>115</v>
      </c>
      <c r="R245" s="10" t="s">
        <v>114</v>
      </c>
      <c r="S245" s="10" t="s">
        <v>116</v>
      </c>
      <c r="T245" s="10" t="s">
        <v>117</v>
      </c>
      <c r="U245" s="10" t="s">
        <v>116</v>
      </c>
      <c r="V245" s="10" t="s">
        <v>150</v>
      </c>
      <c r="W245" s="10" t="s">
        <v>196</v>
      </c>
      <c r="X245" s="10"/>
      <c r="Y245" s="10"/>
      <c r="Z245" s="10"/>
      <c r="AA245" s="10" t="s">
        <v>197</v>
      </c>
      <c r="AB245" s="8" t="n">
        <f aca="true">IF($F245="","",TODAY()-$F245)</f>
        <v>246</v>
      </c>
      <c r="AC245" s="10" t="s">
        <v>198</v>
      </c>
      <c r="AD245" s="10" t="s">
        <v>222</v>
      </c>
      <c r="AE245" s="10"/>
      <c r="AF245" s="10"/>
      <c r="AG245" s="10"/>
      <c r="AH245" s="10"/>
      <c r="AI245" s="10"/>
      <c r="AJ245" s="10" t="s">
        <v>1194</v>
      </c>
      <c r="AK245" s="10"/>
      <c r="AL245" s="10"/>
      <c r="AM245" s="10"/>
      <c r="AN245" s="8" t="n">
        <v>565916751</v>
      </c>
      <c r="AO245" s="10" t="s">
        <v>213</v>
      </c>
      <c r="AP245" s="10" t="s">
        <v>188</v>
      </c>
      <c r="AQ245" s="11" t="n">
        <v>46119</v>
      </c>
      <c r="AR245" s="13"/>
      <c r="AS245" s="13"/>
      <c r="AT245" s="13"/>
      <c r="AU245" s="13"/>
      <c r="AV245" s="13" t="s">
        <v>610</v>
      </c>
      <c r="AW245" s="13"/>
      <c r="AX245" s="13" t="s">
        <v>610</v>
      </c>
      <c r="AY245" s="7" t="s">
        <v>363</v>
      </c>
      <c r="AZ245" s="7" t="s">
        <v>159</v>
      </c>
      <c r="BA245" s="7" t="s">
        <v>48</v>
      </c>
      <c r="BB245" s="7"/>
      <c r="BC245" s="7"/>
      <c r="BD245" s="9"/>
      <c r="BE245" s="7"/>
      <c r="BF245" s="14" t="str">
        <f aca="true">IF(TRIM($A245)="Finalized","Closed",IF($BD245="","No review date set",IF($BD245&lt;TODAY(),"OVERDUE",IF($BD245-TODAY()&lt;=7,"Due within 7 days","Scheduled"))))</f>
        <v>Closed</v>
      </c>
      <c r="BG245" s="14" t="n">
        <f aca="true">IF($K245="","",TODAY()-$K245)</f>
        <v>115</v>
      </c>
      <c r="BH245" s="15" t="str">
        <f aca="false">IFERROR(LEFT(IF($B245="","Notes, ","")&amp;IF($K245="","Latest Date Worked, ","")&amp;IF($AY245="","Last Action, ","")&amp;IF(AND(OR(TRIM($A245)="Denied",TRIM($A245)="Rejected"),$BA245=""),"Denial Reason, ","")&amp;IF(AND(TRIM($A245)="Denied",$BB245="",TRIM($BA245)&lt;&gt;"NO DENIAL"),"Denial Code, ","")&amp;IF(AND(TRIM($A245)&lt;&gt;"Finalized",$BD245=""),"Next Review Date, ","")&amp;IF(AND(TRIM($A245)&lt;&gt;"Finalized",$BE245=""),"Next Step, ","")&amp;IF(AND(TRIM($A245)="Finalized",$AV245="",$AR245="",$AT245="",$AX245="",$AW245=""),"CPT outcome, ",""),LEN(IF($B245="","Notes, ","")&amp;IF($K245="","Latest Date Worked, ","")&amp;IF($AY245="","Last Action, ","")&amp;IF(AND(OR(TRIM($A245)="Denied",TRIM($A245)="Rejected"),$BA245=""),"Denial Reason, ","")&amp;IF(AND(TRIM($A245)="Denied",$BB245="",TRIM($BA245)&lt;&gt;"NO DENIAL"),"Denial Code, ","")&amp;IF(AND(TRIM($A245)&lt;&gt;"Finalized",$BD245=""),"Next Review Date, ","")&amp;IF(AND(TRIM($A245)&lt;&gt;"Finalized",$BE245=""),"Next Step, ","")&amp;IF(AND(TRIM($A245)="Finalized",$AV245="",$AR245="",$AT245="",$AX245="",$AW245=""),"CPT outcome, ",""))-2),"")</f>
        <v/>
      </c>
      <c r="BI245" s="15" t="str">
        <f aca="false">IF($BB245="","",IFERROR(INDEX('Denial Codes'!$C:$C,MATCH(LEFT($BB245,FIND(" - ",$BB245&amp;" - ")+2)&amp;"*",'Denial Codes'!$A:$A,0)),""))</f>
        <v/>
      </c>
      <c r="BJ245" s="15" t="str">
        <f aca="false">IF($BA245="","",IFERROR(INDEX(Lists!$B:$B,MATCH(TRIM($BA245),Lists!$A:$A,0))&amp;"",""))</f>
        <v>Get a valid referral or correct the referring provider, then resubmit.</v>
      </c>
    </row>
    <row r="246" customFormat="false" ht="15" hidden="false" customHeight="false" outlineLevel="0" collapsed="false">
      <c r="A246" s="7" t="s">
        <v>19</v>
      </c>
      <c r="B246" s="7" t="s">
        <v>1195</v>
      </c>
      <c r="C246" s="8" t="n">
        <v>563161793</v>
      </c>
      <c r="D246" s="9" t="n">
        <v>46211</v>
      </c>
      <c r="E246" s="10" t="s">
        <v>1196</v>
      </c>
      <c r="F246" s="11" t="n">
        <v>46065</v>
      </c>
      <c r="G246" s="10" t="s">
        <v>333</v>
      </c>
      <c r="H246" s="10" t="s">
        <v>260</v>
      </c>
      <c r="I246" s="10" t="s">
        <v>333</v>
      </c>
      <c r="J246" s="10" t="s">
        <v>194</v>
      </c>
      <c r="K246" s="9" t="n">
        <v>46251</v>
      </c>
      <c r="L246" s="12" t="n">
        <f aca="true">IF($O246="","",$O246-TODAY())</f>
        <v>119</v>
      </c>
      <c r="M246" s="12" t="n">
        <f aca="true">IF(AND(TRIM($A246)="Finalized",$K246&lt;&gt;""),"",IF($D246="","",$D246+365-TODAY()))</f>
        <v>265</v>
      </c>
      <c r="N246" s="12" t="n">
        <f aca="true">IF(AND(TRIM($A246)="Finalized",$K246&lt;&gt;""),"",IF($D246="","",$D246+120-TODAY()))</f>
        <v>20</v>
      </c>
      <c r="O246" s="11" t="n">
        <f aca="false">IF(AND(TRIM($A246)="Finalized",$K246&lt;&gt;""),"",DATE(2027,2,12))</f>
        <v>46430</v>
      </c>
      <c r="P246" s="10" t="s">
        <v>114</v>
      </c>
      <c r="Q246" s="10" t="s">
        <v>115</v>
      </c>
      <c r="R246" s="10" t="s">
        <v>114</v>
      </c>
      <c r="S246" s="10" t="s">
        <v>116</v>
      </c>
      <c r="T246" s="10" t="s">
        <v>117</v>
      </c>
      <c r="U246" s="10" t="s">
        <v>116</v>
      </c>
      <c r="V246" s="10" t="s">
        <v>150</v>
      </c>
      <c r="W246" s="10" t="s">
        <v>196</v>
      </c>
      <c r="X246" s="10"/>
      <c r="Y246" s="10"/>
      <c r="Z246" s="10"/>
      <c r="AA246" s="10" t="s">
        <v>197</v>
      </c>
      <c r="AB246" s="8" t="n">
        <f aca="true">IF($F246="","",TODAY()-$F246)</f>
        <v>246</v>
      </c>
      <c r="AC246" s="10" t="s">
        <v>198</v>
      </c>
      <c r="AD246" s="10"/>
      <c r="AE246" s="10"/>
      <c r="AF246" s="10"/>
      <c r="AG246" s="10"/>
      <c r="AH246" s="10"/>
      <c r="AI246" s="10"/>
      <c r="AJ246" s="10" t="s">
        <v>375</v>
      </c>
      <c r="AK246" s="10" t="s">
        <v>580</v>
      </c>
      <c r="AL246" s="10" t="s">
        <v>1197</v>
      </c>
      <c r="AM246" s="10" t="s">
        <v>199</v>
      </c>
      <c r="AN246" s="8" t="n">
        <v>566075130</v>
      </c>
      <c r="AO246" s="10" t="s">
        <v>213</v>
      </c>
      <c r="AP246" s="10" t="s">
        <v>188</v>
      </c>
      <c r="AQ246" s="11" t="n">
        <v>46076</v>
      </c>
      <c r="AR246" s="13"/>
      <c r="AS246" s="13"/>
      <c r="AT246" s="13"/>
      <c r="AU246" s="13"/>
      <c r="AV246" s="13" t="s">
        <v>198</v>
      </c>
      <c r="AW246" s="13"/>
      <c r="AX246" s="13" t="s">
        <v>198</v>
      </c>
      <c r="AY246" s="7" t="s">
        <v>159</v>
      </c>
      <c r="AZ246" s="7" t="s">
        <v>159</v>
      </c>
      <c r="BA246" s="7"/>
      <c r="BB246" s="7"/>
      <c r="BC246" s="7"/>
      <c r="BD246" s="9" t="n">
        <v>46282</v>
      </c>
      <c r="BE246" s="7"/>
      <c r="BF246" s="14" t="str">
        <f aca="true">IF(TRIM($A246)="Finalized","Closed",IF($BD246="","No review date set",IF($BD246&lt;TODAY(),"OVERDUE",IF($BD246-TODAY()&lt;=7,"Due within 7 days","Scheduled"))))</f>
        <v>OVERDUE</v>
      </c>
      <c r="BG246" s="14" t="n">
        <f aca="true">IF($K246="","",TODAY()-$K246)</f>
        <v>60</v>
      </c>
      <c r="BH246" s="15" t="str">
        <f aca="false">IFERROR(LEFT(IF($B246="","Notes, ","")&amp;IF($K246="","Latest Date Worked, ","")&amp;IF($AY246="","Last Action, ","")&amp;IF(AND(OR(TRIM($A246)="Denied",TRIM($A246)="Rejected"),$BA246=""),"Denial Reason, ","")&amp;IF(AND(TRIM($A246)="Denied",$BB246="",TRIM($BA246)&lt;&gt;"NO DENIAL"),"Denial Code, ","")&amp;IF(AND(TRIM($A246)&lt;&gt;"Finalized",$BD246=""),"Next Review Date, ","")&amp;IF(AND(TRIM($A246)&lt;&gt;"Finalized",$BE246=""),"Next Step, ","")&amp;IF(AND(TRIM($A246)="Finalized",$AV246="",$AR246="",$AT246="",$AX246="",$AW246=""),"CPT outcome, ",""),LEN(IF($B246="","Notes, ","")&amp;IF($K246="","Latest Date Worked, ","")&amp;IF($AY246="","Last Action, ","")&amp;IF(AND(OR(TRIM($A246)="Denied",TRIM($A246)="Rejected"),$BA246=""),"Denial Reason, ","")&amp;IF(AND(TRIM($A246)="Denied",$BB246="",TRIM($BA246)&lt;&gt;"NO DENIAL"),"Denial Code, ","")&amp;IF(AND(TRIM($A246)&lt;&gt;"Finalized",$BD246=""),"Next Review Date, ","")&amp;IF(AND(TRIM($A246)&lt;&gt;"Finalized",$BE246=""),"Next Step, ","")&amp;IF(AND(TRIM($A246)="Finalized",$AV246="",$AR246="",$AT246="",$AX246="",$AW246=""),"CPT outcome, ",""))-2),"")</f>
        <v>Next Step</v>
      </c>
      <c r="BI246" s="15" t="str">
        <f aca="false">IF($BB246="","",IFERROR(INDEX('Denial Codes'!$C:$C,MATCH(LEFT($BB246,FIND(" - ",$BB246&amp;" - ")+2)&amp;"*",'Denial Codes'!$A:$A,0)),""))</f>
        <v/>
      </c>
      <c r="BJ246" s="15" t="str">
        <f aca="false">IF($BA246="","",IFERROR(INDEX(Lists!$B:$B,MATCH(TRIM($BA246),Lists!$A:$A,0))&amp;"",""))</f>
        <v/>
      </c>
    </row>
    <row r="247" customFormat="false" ht="15" hidden="false" customHeight="false" outlineLevel="0" collapsed="false">
      <c r="A247" s="7" t="s">
        <v>19</v>
      </c>
      <c r="B247" s="7" t="s">
        <v>1190</v>
      </c>
      <c r="C247" s="8" t="n">
        <v>550531610</v>
      </c>
      <c r="D247" s="9" t="n">
        <v>46133</v>
      </c>
      <c r="E247" s="10" t="s">
        <v>1198</v>
      </c>
      <c r="F247" s="11" t="n">
        <v>46066</v>
      </c>
      <c r="G247" s="10" t="s">
        <v>227</v>
      </c>
      <c r="H247" s="10" t="s">
        <v>112</v>
      </c>
      <c r="I247" s="10" t="s">
        <v>227</v>
      </c>
      <c r="J247" s="10" t="s">
        <v>842</v>
      </c>
      <c r="K247" s="9" t="n">
        <v>46300</v>
      </c>
      <c r="L247" s="12" t="n">
        <f aca="true">IF($O247="","",$O247-TODAY())</f>
        <v>120</v>
      </c>
      <c r="M247" s="12" t="n">
        <f aca="true">IF(AND(TRIM($A247)="Finalized",$K247&lt;&gt;""),"",IF($D247="","",$D247+365-TODAY()))</f>
        <v>187</v>
      </c>
      <c r="N247" s="12" t="n">
        <f aca="true">IF(AND(TRIM($A247)="Finalized",$K247&lt;&gt;""),"",IF($D247="","",$D247+120-TODAY()))</f>
        <v>-58</v>
      </c>
      <c r="O247" s="11" t="n">
        <f aca="false">IF(AND(TRIM($A247)="Finalized",$K247&lt;&gt;""),"",DATE(2027,2,13))</f>
        <v>46431</v>
      </c>
      <c r="P247" s="10" t="s">
        <v>114</v>
      </c>
      <c r="Q247" s="10" t="s">
        <v>115</v>
      </c>
      <c r="R247" s="10" t="s">
        <v>114</v>
      </c>
      <c r="S247" s="10" t="s">
        <v>116</v>
      </c>
      <c r="T247" s="10" t="s">
        <v>117</v>
      </c>
      <c r="U247" s="10" t="s">
        <v>116</v>
      </c>
      <c r="V247" s="10" t="s">
        <v>150</v>
      </c>
      <c r="W247" s="10" t="s">
        <v>119</v>
      </c>
      <c r="X247" s="10" t="s">
        <v>229</v>
      </c>
      <c r="Y247" s="10"/>
      <c r="Z247" s="10"/>
      <c r="AA247" s="10" t="s">
        <v>793</v>
      </c>
      <c r="AB247" s="8" t="n">
        <f aca="true">IF($F247="","",TODAY()-$F247)</f>
        <v>245</v>
      </c>
      <c r="AC247" s="10" t="s">
        <v>122</v>
      </c>
      <c r="AD247" s="10"/>
      <c r="AE247" s="10"/>
      <c r="AF247" s="10"/>
      <c r="AG247" s="10"/>
      <c r="AH247" s="10"/>
      <c r="AI247" s="10"/>
      <c r="AJ247" s="10" t="s">
        <v>123</v>
      </c>
      <c r="AK247" s="10" t="s">
        <v>751</v>
      </c>
      <c r="AL247" s="10" t="s">
        <v>254</v>
      </c>
      <c r="AM247" s="10"/>
      <c r="AN247" s="8" t="n">
        <v>563428910</v>
      </c>
      <c r="AO247" s="10" t="s">
        <v>231</v>
      </c>
      <c r="AP247" s="10" t="s">
        <v>232</v>
      </c>
      <c r="AQ247" s="11" t="n">
        <v>46077</v>
      </c>
      <c r="AR247" s="13"/>
      <c r="AS247" s="13"/>
      <c r="AT247" s="13"/>
      <c r="AU247" s="13"/>
      <c r="AV247" s="13" t="s">
        <v>122</v>
      </c>
      <c r="AW247" s="13"/>
      <c r="AX247" s="13" t="s">
        <v>122</v>
      </c>
      <c r="AY247" s="7"/>
      <c r="AZ247" s="7"/>
      <c r="BA247" s="7"/>
      <c r="BB247" s="7"/>
      <c r="BC247" s="7"/>
      <c r="BD247" s="9" t="n">
        <v>46331</v>
      </c>
      <c r="BE247" s="7" t="s">
        <v>1199</v>
      </c>
      <c r="BF247" s="14" t="str">
        <f aca="true">IF(TRIM($A247)="Finalized","Closed",IF($BD247="","No review date set",IF($BD247&lt;TODAY(),"OVERDUE",IF($BD247-TODAY()&lt;=7,"Due within 7 days","Scheduled"))))</f>
        <v>Scheduled</v>
      </c>
      <c r="BG247" s="14" t="n">
        <f aca="true">IF($K247="","",TODAY()-$K247)</f>
        <v>11</v>
      </c>
      <c r="BH247" s="15" t="str">
        <f aca="false">IFERROR(LEFT(IF($B247="","Notes, ","")&amp;IF($K247="","Latest Date Worked, ","")&amp;IF($AY247="","Last Action, ","")&amp;IF(AND(OR(TRIM($A247)="Denied",TRIM($A247)="Rejected"),$BA247=""),"Denial Reason, ","")&amp;IF(AND(TRIM($A247)="Denied",$BB247="",TRIM($BA247)&lt;&gt;"NO DENIAL"),"Denial Code, ","")&amp;IF(AND(TRIM($A247)&lt;&gt;"Finalized",$BD247=""),"Next Review Date, ","")&amp;IF(AND(TRIM($A247)&lt;&gt;"Finalized",$BE247=""),"Next Step, ","")&amp;IF(AND(TRIM($A247)="Finalized",$AV247="",$AR247="",$AT247="",$AX247="",$AW247=""),"CPT outcome, ",""),LEN(IF($B247="","Notes, ","")&amp;IF($K247="","Latest Date Worked, ","")&amp;IF($AY247="","Last Action, ","")&amp;IF(AND(OR(TRIM($A247)="Denied",TRIM($A247)="Rejected"),$BA247=""),"Denial Reason, ","")&amp;IF(AND(TRIM($A247)="Denied",$BB247="",TRIM($BA247)&lt;&gt;"NO DENIAL"),"Denial Code, ","")&amp;IF(AND(TRIM($A247)&lt;&gt;"Finalized",$BD247=""),"Next Review Date, ","")&amp;IF(AND(TRIM($A247)&lt;&gt;"Finalized",$BE247=""),"Next Step, ","")&amp;IF(AND(TRIM($A247)="Finalized",$AV247="",$AR247="",$AT247="",$AX247="",$AW247=""),"CPT outcome, ",""))-2),"")</f>
        <v>Last Action</v>
      </c>
      <c r="BI247" s="15" t="str">
        <f aca="false">IF($BB247="","",IFERROR(INDEX('Denial Codes'!$C:$C,MATCH(LEFT($BB247,FIND(" - ",$BB247&amp;" - ")+2)&amp;"*",'Denial Codes'!$A:$A,0)),""))</f>
        <v/>
      </c>
      <c r="BJ247" s="15" t="str">
        <f aca="false">IF($BA247="","",IFERROR(INDEX(Lists!$B:$B,MATCH(TRIM($BA247),Lists!$A:$A,0))&amp;"",""))</f>
        <v/>
      </c>
    </row>
    <row r="248" customFormat="false" ht="15" hidden="false" customHeight="false" outlineLevel="0" collapsed="false">
      <c r="A248" s="7" t="s">
        <v>17</v>
      </c>
      <c r="B248" s="7" t="s">
        <v>203</v>
      </c>
      <c r="C248" s="8" t="n">
        <v>551974048</v>
      </c>
      <c r="D248" s="9" t="n">
        <v>46155</v>
      </c>
      <c r="E248" s="10" t="s">
        <v>1174</v>
      </c>
      <c r="F248" s="11" t="n">
        <v>46069</v>
      </c>
      <c r="G248" s="10" t="s">
        <v>781</v>
      </c>
      <c r="H248" s="10" t="s">
        <v>781</v>
      </c>
      <c r="I248" s="10" t="s">
        <v>1122</v>
      </c>
      <c r="J248" s="10" t="s">
        <v>1200</v>
      </c>
      <c r="K248" s="9" t="n">
        <v>46142</v>
      </c>
      <c r="L248" s="12" t="n">
        <f aca="true">IF($O248="","",$O248-TODAY())</f>
        <v>123</v>
      </c>
      <c r="M248" s="12" t="n">
        <f aca="true">IF(AND(TRIM($A248)="Finalized",$K248&lt;&gt;""),"",IF($D248="","",$D248+180-TODAY()))</f>
        <v>24</v>
      </c>
      <c r="N248" s="12" t="n">
        <f aca="true">IF(AND(TRIM($A248)="Finalized",$K248&lt;&gt;""),"",IF($D248="","",$D248+365-TODAY()))</f>
        <v>209</v>
      </c>
      <c r="O248" s="11" t="n">
        <f aca="false">IF(AND(TRIM($A248)="Finalized",$K248&lt;&gt;""),"",DATE(2027,2,16))</f>
        <v>46434</v>
      </c>
      <c r="P248" s="10" t="s">
        <v>114</v>
      </c>
      <c r="Q248" s="10" t="s">
        <v>1176</v>
      </c>
      <c r="R248" s="10" t="s">
        <v>147</v>
      </c>
      <c r="S248" s="10" t="s">
        <v>116</v>
      </c>
      <c r="T248" s="10" t="s">
        <v>114</v>
      </c>
      <c r="U248" s="10" t="s">
        <v>116</v>
      </c>
      <c r="V248" s="10" t="s">
        <v>150</v>
      </c>
      <c r="W248" s="10" t="s">
        <v>434</v>
      </c>
      <c r="X248" s="10" t="s">
        <v>478</v>
      </c>
      <c r="Y248" s="10" t="s">
        <v>930</v>
      </c>
      <c r="Z248" s="10" t="s">
        <v>436</v>
      </c>
      <c r="AA248" s="10" t="s">
        <v>1201</v>
      </c>
      <c r="AB248" s="8" t="n">
        <f aca="true">IF($F248="","",TODAY()-$F248)</f>
        <v>242</v>
      </c>
      <c r="AC248" s="10" t="s">
        <v>441</v>
      </c>
      <c r="AD248" s="10" t="s">
        <v>439</v>
      </c>
      <c r="AE248" s="10" t="s">
        <v>657</v>
      </c>
      <c r="AF248" s="10"/>
      <c r="AG248" s="10"/>
      <c r="AH248" s="10"/>
      <c r="AI248" s="10"/>
      <c r="AJ248" s="10" t="s">
        <v>444</v>
      </c>
      <c r="AK248" s="10" t="s">
        <v>445</v>
      </c>
      <c r="AL248" s="10" t="s">
        <v>446</v>
      </c>
      <c r="AM248" s="10"/>
      <c r="AN248" s="8"/>
      <c r="AO248" s="10" t="s">
        <v>447</v>
      </c>
      <c r="AP248" s="10" t="s">
        <v>175</v>
      </c>
      <c r="AQ248" s="11" t="n">
        <v>46090</v>
      </c>
      <c r="AR248" s="13"/>
      <c r="AS248" s="13"/>
      <c r="AT248" s="13"/>
      <c r="AU248" s="13"/>
      <c r="AV248" s="13"/>
      <c r="AW248" s="13"/>
      <c r="AX248" s="13" t="s">
        <v>1202</v>
      </c>
      <c r="AY248" s="7" t="s">
        <v>203</v>
      </c>
      <c r="AZ248" s="7"/>
      <c r="BA248" s="7" t="s">
        <v>36</v>
      </c>
      <c r="BB248" s="7" t="s">
        <v>204</v>
      </c>
      <c r="BC248" s="7" t="s">
        <v>1203</v>
      </c>
      <c r="BD248" s="9" t="n">
        <v>46172</v>
      </c>
      <c r="BE248" s="7"/>
      <c r="BF248" s="14" t="str">
        <f aca="true">IF(TRIM($A248)="Finalized","Closed",IF($BD248="","No review date set",IF($BD248&lt;TODAY(),"OVERDUE",IF($BD248-TODAY()&lt;=7,"Due within 7 days","Scheduled"))))</f>
        <v>OVERDUE</v>
      </c>
      <c r="BG248" s="14" t="n">
        <f aca="true">IF($K248="","",TODAY()-$K248)</f>
        <v>169</v>
      </c>
      <c r="BH248" s="15" t="str">
        <f aca="false">IFERROR(LEFT(IF($B248="","Notes, ","")&amp;IF($K248="","Latest Date Worked, ","")&amp;IF($AY248="","Last Action, ","")&amp;IF(AND(OR(TRIM($A248)="Denied",TRIM($A248)="Rejected"),$BA248=""),"Denial Reason, ","")&amp;IF(AND(TRIM($A248)="Denied",$BB248="",TRIM($BA248)&lt;&gt;"NO DENIAL"),"Denial Code, ","")&amp;IF(AND(TRIM($A248)&lt;&gt;"Finalized",$BD248=""),"Next Review Date, ","")&amp;IF(AND(TRIM($A248)&lt;&gt;"Finalized",$BE248=""),"Next Step, ","")&amp;IF(AND(TRIM($A248)="Finalized",$AV248="",$AR248="",$AT248="",$AX248="",$AW248=""),"CPT outcome, ",""),LEN(IF($B248="","Notes, ","")&amp;IF($K248="","Latest Date Worked, ","")&amp;IF($AY248="","Last Action, ","")&amp;IF(AND(OR(TRIM($A248)="Denied",TRIM($A248)="Rejected"),$BA248=""),"Denial Reason, ","")&amp;IF(AND(TRIM($A248)="Denied",$BB248="",TRIM($BA248)&lt;&gt;"NO DENIAL"),"Denial Code, ","")&amp;IF(AND(TRIM($A248)&lt;&gt;"Finalized",$BD248=""),"Next Review Date, ","")&amp;IF(AND(TRIM($A248)&lt;&gt;"Finalized",$BE248=""),"Next Step, ","")&amp;IF(AND(TRIM($A248)="Finalized",$AV248="",$AR248="",$AT248="",$AX248="",$AW248=""),"CPT outcome, ",""))-2),"")</f>
        <v>Next Step</v>
      </c>
      <c r="BI248" s="15" t="str">
        <f aca="false">IF($BB248="","",IFERROR(INDEX('Denial Codes'!$C:$C,MATCH(LEFT($BB248,FIND(" - ",$BB248&amp;" - ")+2)&amp;"*",'Denial Codes'!$A:$A,0)),""))</f>
        <v>Medical records needed</v>
      </c>
      <c r="BJ248" s="15" t="str">
        <f aca="false">IF($BA248="","",IFERROR(INDEX(Lists!$B:$B,MATCH(TRIM($BA248),Lists!$A:$A,0))&amp;"",""))</f>
        <v>Upload the MR on the payer portal, note the PIQ/reference number and set a review date.</v>
      </c>
    </row>
    <row r="249" customFormat="false" ht="15" hidden="false" customHeight="false" outlineLevel="0" collapsed="false">
      <c r="A249" s="7" t="s">
        <v>16</v>
      </c>
      <c r="B249" s="7" t="s">
        <v>1179</v>
      </c>
      <c r="C249" s="8" t="n">
        <v>563152081</v>
      </c>
      <c r="D249" s="9" t="n">
        <v>46210</v>
      </c>
      <c r="E249" s="10" t="s">
        <v>1204</v>
      </c>
      <c r="F249" s="11" t="n">
        <v>46070</v>
      </c>
      <c r="G249" s="10" t="s">
        <v>271</v>
      </c>
      <c r="H249" s="10" t="s">
        <v>260</v>
      </c>
      <c r="I249" s="10" t="s">
        <v>271</v>
      </c>
      <c r="J249" s="10" t="s">
        <v>194</v>
      </c>
      <c r="K249" s="9" t="n">
        <v>46196</v>
      </c>
      <c r="L249" s="12" t="str">
        <f aca="true">IF($O249="","",$O249-TODAY())</f>
        <v/>
      </c>
      <c r="M249" s="12" t="str">
        <f aca="true">IF(AND(TRIM($A249)="Finalized",$K249&lt;&gt;""),"",IF($D249="","",$D249+365-TODAY()))</f>
        <v/>
      </c>
      <c r="N249" s="12" t="str">
        <f aca="true">IF(AND(TRIM($A249)="Finalized",$K249&lt;&gt;""),"",IF($D249="","",$D249+120-TODAY()))</f>
        <v/>
      </c>
      <c r="O249" s="11" t="str">
        <f aca="false">IF(AND(TRIM($A249)="Finalized",$K249&lt;&gt;""),"",DATE(2027,2,17))</f>
        <v/>
      </c>
      <c r="P249" s="10" t="s">
        <v>114</v>
      </c>
      <c r="Q249" s="10" t="s">
        <v>115</v>
      </c>
      <c r="R249" s="10" t="s">
        <v>114</v>
      </c>
      <c r="S249" s="10" t="s">
        <v>116</v>
      </c>
      <c r="T249" s="10" t="s">
        <v>117</v>
      </c>
      <c r="U249" s="10" t="s">
        <v>116</v>
      </c>
      <c r="V249" s="10" t="s">
        <v>150</v>
      </c>
      <c r="W249" s="10" t="s">
        <v>196</v>
      </c>
      <c r="X249" s="10"/>
      <c r="Y249" s="10"/>
      <c r="Z249" s="10"/>
      <c r="AA249" s="10" t="s">
        <v>197</v>
      </c>
      <c r="AB249" s="8" t="n">
        <f aca="true">IF($F249="","",TODAY()-$F249)</f>
        <v>241</v>
      </c>
      <c r="AC249" s="10" t="s">
        <v>198</v>
      </c>
      <c r="AD249" s="10"/>
      <c r="AE249" s="10"/>
      <c r="AF249" s="10"/>
      <c r="AG249" s="10"/>
      <c r="AH249" s="10"/>
      <c r="AI249" s="10"/>
      <c r="AJ249" s="10" t="s">
        <v>267</v>
      </c>
      <c r="AK249" s="10"/>
      <c r="AL249" s="10"/>
      <c r="AM249" s="10"/>
      <c r="AN249" s="8" t="n">
        <v>566075094</v>
      </c>
      <c r="AO249" s="10" t="s">
        <v>201</v>
      </c>
      <c r="AP249" s="10" t="s">
        <v>202</v>
      </c>
      <c r="AQ249" s="11" t="n">
        <v>46076</v>
      </c>
      <c r="AR249" s="13"/>
      <c r="AS249" s="13"/>
      <c r="AT249" s="13"/>
      <c r="AU249" s="13"/>
      <c r="AV249" s="13" t="s">
        <v>198</v>
      </c>
      <c r="AW249" s="13"/>
      <c r="AX249" s="13" t="s">
        <v>198</v>
      </c>
      <c r="AY249" s="7" t="s">
        <v>363</v>
      </c>
      <c r="AZ249" s="7" t="s">
        <v>159</v>
      </c>
      <c r="BA249" s="7" t="s">
        <v>48</v>
      </c>
      <c r="BB249" s="7"/>
      <c r="BC249" s="7"/>
      <c r="BD249" s="9"/>
      <c r="BE249" s="7"/>
      <c r="BF249" s="14" t="str">
        <f aca="true">IF(TRIM($A249)="Finalized","Closed",IF($BD249="","No review date set",IF($BD249&lt;TODAY(),"OVERDUE",IF($BD249-TODAY()&lt;=7,"Due within 7 days","Scheduled"))))</f>
        <v>Closed</v>
      </c>
      <c r="BG249" s="14" t="n">
        <f aca="true">IF($K249="","",TODAY()-$K249)</f>
        <v>115</v>
      </c>
      <c r="BH249" s="15" t="str">
        <f aca="false">IFERROR(LEFT(IF($B249="","Notes, ","")&amp;IF($K249="","Latest Date Worked, ","")&amp;IF($AY249="","Last Action, ","")&amp;IF(AND(OR(TRIM($A249)="Denied",TRIM($A249)="Rejected"),$BA249=""),"Denial Reason, ","")&amp;IF(AND(TRIM($A249)="Denied",$BB249="",TRIM($BA249)&lt;&gt;"NO DENIAL"),"Denial Code, ","")&amp;IF(AND(TRIM($A249)&lt;&gt;"Finalized",$BD249=""),"Next Review Date, ","")&amp;IF(AND(TRIM($A249)&lt;&gt;"Finalized",$BE249=""),"Next Step, ","")&amp;IF(AND(TRIM($A249)="Finalized",$AV249="",$AR249="",$AT249="",$AX249="",$AW249=""),"CPT outcome, ",""),LEN(IF($B249="","Notes, ","")&amp;IF($K249="","Latest Date Worked, ","")&amp;IF($AY249="","Last Action, ","")&amp;IF(AND(OR(TRIM($A249)="Denied",TRIM($A249)="Rejected"),$BA249=""),"Denial Reason, ","")&amp;IF(AND(TRIM($A249)="Denied",$BB249="",TRIM($BA249)&lt;&gt;"NO DENIAL"),"Denial Code, ","")&amp;IF(AND(TRIM($A249)&lt;&gt;"Finalized",$BD249=""),"Next Review Date, ","")&amp;IF(AND(TRIM($A249)&lt;&gt;"Finalized",$BE249=""),"Next Step, ","")&amp;IF(AND(TRIM($A249)="Finalized",$AV249="",$AR249="",$AT249="",$AX249="",$AW249=""),"CPT outcome, ",""))-2),"")</f>
        <v/>
      </c>
      <c r="BI249" s="15" t="str">
        <f aca="false">IF($BB249="","",IFERROR(INDEX('Denial Codes'!$C:$C,MATCH(LEFT($BB249,FIND(" - ",$BB249&amp;" - ")+2)&amp;"*",'Denial Codes'!$A:$A,0)),""))</f>
        <v/>
      </c>
      <c r="BJ249" s="15" t="str">
        <f aca="false">IF($BA249="","",IFERROR(INDEX(Lists!$B:$B,MATCH(TRIM($BA249),Lists!$A:$A,0))&amp;"",""))</f>
        <v>Get a valid referral or correct the referring provider, then resubmit.</v>
      </c>
    </row>
    <row r="250" customFormat="false" ht="15" hidden="false" customHeight="false" outlineLevel="0" collapsed="false">
      <c r="A250" s="7" t="s">
        <v>20</v>
      </c>
      <c r="B250" s="7" t="s">
        <v>1179</v>
      </c>
      <c r="C250" s="8" t="n">
        <v>563152473</v>
      </c>
      <c r="D250" s="9" t="n">
        <v>46210</v>
      </c>
      <c r="E250" s="10" t="s">
        <v>1180</v>
      </c>
      <c r="F250" s="11" t="n">
        <v>46071</v>
      </c>
      <c r="G250" s="10" t="s">
        <v>163</v>
      </c>
      <c r="H250" s="10" t="s">
        <v>260</v>
      </c>
      <c r="I250" s="10" t="s">
        <v>163</v>
      </c>
      <c r="J250" s="10" t="s">
        <v>724</v>
      </c>
      <c r="K250" s="9" t="n">
        <v>46196</v>
      </c>
      <c r="L250" s="12" t="n">
        <f aca="true">IF($O250="","",$O250-TODAY())</f>
        <v>125</v>
      </c>
      <c r="M250" s="12" t="n">
        <f aca="true">IF(AND(TRIM($A250)="Finalized",$K250&lt;&gt;""),"",IF($D250="","",$D250+365-TODAY()))</f>
        <v>264</v>
      </c>
      <c r="N250" s="12" t="n">
        <f aca="true">IF(AND(TRIM($A250)="Finalized",$K250&lt;&gt;""),"",IF($D250="","",$D250+120-TODAY()))</f>
        <v>19</v>
      </c>
      <c r="O250" s="11" t="n">
        <f aca="false">IF(AND(TRIM($A250)="Finalized",$K250&lt;&gt;""),"",DATE(2027,2,18))</f>
        <v>46436</v>
      </c>
      <c r="P250" s="10" t="s">
        <v>114</v>
      </c>
      <c r="Q250" s="10" t="s">
        <v>115</v>
      </c>
      <c r="R250" s="10" t="s">
        <v>114</v>
      </c>
      <c r="S250" s="10" t="s">
        <v>116</v>
      </c>
      <c r="T250" s="10" t="s">
        <v>117</v>
      </c>
      <c r="U250" s="10" t="s">
        <v>116</v>
      </c>
      <c r="V250" s="10" t="s">
        <v>150</v>
      </c>
      <c r="W250" s="10" t="s">
        <v>196</v>
      </c>
      <c r="X250" s="10"/>
      <c r="Y250" s="10"/>
      <c r="Z250" s="10"/>
      <c r="AA250" s="10" t="s">
        <v>197</v>
      </c>
      <c r="AB250" s="8" t="n">
        <f aca="true">IF($F250="","",TODAY()-$F250)</f>
        <v>240</v>
      </c>
      <c r="AC250" s="10" t="s">
        <v>487</v>
      </c>
      <c r="AD250" s="10"/>
      <c r="AE250" s="10"/>
      <c r="AF250" s="10"/>
      <c r="AG250" s="10"/>
      <c r="AH250" s="10"/>
      <c r="AI250" s="10"/>
      <c r="AJ250" s="10" t="s">
        <v>350</v>
      </c>
      <c r="AK250" s="10"/>
      <c r="AL250" s="10"/>
      <c r="AM250" s="10"/>
      <c r="AN250" s="8" t="n">
        <v>566075128</v>
      </c>
      <c r="AO250" s="10" t="s">
        <v>255</v>
      </c>
      <c r="AP250" s="10" t="s">
        <v>268</v>
      </c>
      <c r="AQ250" s="11" t="n">
        <v>46119</v>
      </c>
      <c r="AR250" s="13"/>
      <c r="AS250" s="13"/>
      <c r="AT250" s="13"/>
      <c r="AU250" s="13"/>
      <c r="AV250" s="13" t="s">
        <v>487</v>
      </c>
      <c r="AW250" s="13"/>
      <c r="AX250" s="13" t="s">
        <v>487</v>
      </c>
      <c r="AY250" s="7" t="s">
        <v>233</v>
      </c>
      <c r="AZ250" s="7" t="s">
        <v>159</v>
      </c>
      <c r="BA250" s="7" t="s">
        <v>48</v>
      </c>
      <c r="BB250" s="7"/>
      <c r="BC250" s="7"/>
      <c r="BD250" s="9" t="n">
        <v>46226</v>
      </c>
      <c r="BE250" s="7" t="s">
        <v>527</v>
      </c>
      <c r="BF250" s="14" t="str">
        <f aca="true">IF(TRIM($A250)="Finalized","Closed",IF($BD250="","No review date set",IF($BD250&lt;TODAY(),"OVERDUE",IF($BD250-TODAY()&lt;=7,"Due within 7 days","Scheduled"))))</f>
        <v>OVERDUE</v>
      </c>
      <c r="BG250" s="14" t="n">
        <f aca="true">IF($K250="","",TODAY()-$K250)</f>
        <v>115</v>
      </c>
      <c r="BH250" s="15" t="str">
        <f aca="false">IFERROR(LEFT(IF($B250="","Notes, ","")&amp;IF($K250="","Latest Date Worked, ","")&amp;IF($AY250="","Last Action, ","")&amp;IF(AND(OR(TRIM($A250)="Denied",TRIM($A250)="Rejected"),$BA250=""),"Denial Reason, ","")&amp;IF(AND(TRIM($A250)="Denied",$BB250="",TRIM($BA250)&lt;&gt;"NO DENIAL"),"Denial Code, ","")&amp;IF(AND(TRIM($A250)&lt;&gt;"Finalized",$BD250=""),"Next Review Date, ","")&amp;IF(AND(TRIM($A250)&lt;&gt;"Finalized",$BE250=""),"Next Step, ","")&amp;IF(AND(TRIM($A250)="Finalized",$AV250="",$AR250="",$AT250="",$AX250="",$AW250=""),"CPT outcome, ",""),LEN(IF($B250="","Notes, ","")&amp;IF($K250="","Latest Date Worked, ","")&amp;IF($AY250="","Last Action, ","")&amp;IF(AND(OR(TRIM($A250)="Denied",TRIM($A250)="Rejected"),$BA250=""),"Denial Reason, ","")&amp;IF(AND(TRIM($A250)="Denied",$BB250="",TRIM($BA250)&lt;&gt;"NO DENIAL"),"Denial Code, ","")&amp;IF(AND(TRIM($A250)&lt;&gt;"Finalized",$BD250=""),"Next Review Date, ","")&amp;IF(AND(TRIM($A250)&lt;&gt;"Finalized",$BE250=""),"Next Step, ","")&amp;IF(AND(TRIM($A250)="Finalized",$AV250="",$AR250="",$AT250="",$AX250="",$AW250=""),"CPT outcome, ",""))-2),"")</f>
        <v/>
      </c>
      <c r="BI250" s="15" t="str">
        <f aca="false">IF($BB250="","",IFERROR(INDEX('Denial Codes'!$C:$C,MATCH(LEFT($BB250,FIND(" - ",$BB250&amp;" - ")+2)&amp;"*",'Denial Codes'!$A:$A,0)),""))</f>
        <v/>
      </c>
      <c r="BJ250" s="15" t="str">
        <f aca="false">IF($BA250="","",IFERROR(INDEX(Lists!$B:$B,MATCH(TRIM($BA250),Lists!$A:$A,0))&amp;"",""))</f>
        <v>Get a valid referral or correct the referring provider, then resubmit.</v>
      </c>
    </row>
    <row r="251" customFormat="false" ht="15" hidden="false" customHeight="false" outlineLevel="0" collapsed="false">
      <c r="A251" s="7" t="s">
        <v>16</v>
      </c>
      <c r="B251" s="7" t="s">
        <v>1205</v>
      </c>
      <c r="C251" s="8" t="n">
        <v>550306697</v>
      </c>
      <c r="D251" s="9" t="n">
        <v>46091</v>
      </c>
      <c r="E251" s="10" t="s">
        <v>1206</v>
      </c>
      <c r="F251" s="11" t="n">
        <v>46073</v>
      </c>
      <c r="G251" s="10" t="s">
        <v>163</v>
      </c>
      <c r="H251" s="10" t="s">
        <v>260</v>
      </c>
      <c r="I251" s="10" t="s">
        <v>163</v>
      </c>
      <c r="J251" s="10" t="s">
        <v>250</v>
      </c>
      <c r="K251" s="9" t="n">
        <v>46251</v>
      </c>
      <c r="L251" s="12" t="str">
        <f aca="true">IF($O251="","",$O251-TODAY())</f>
        <v/>
      </c>
      <c r="M251" s="12" t="str">
        <f aca="true">IF(AND(TRIM($A251)="Finalized",$K251&lt;&gt;""),"",IF($D251="","",$D251+365-TODAY()))</f>
        <v/>
      </c>
      <c r="N251" s="12" t="str">
        <f aca="true">IF(AND(TRIM($A251)="Finalized",$K251&lt;&gt;""),"",IF($D251="","",$D251+120-TODAY()))</f>
        <v/>
      </c>
      <c r="O251" s="11" t="str">
        <f aca="false">IF(AND(TRIM($A251)="Finalized",$K251&lt;&gt;""),"",DATE(2027,2,20))</f>
        <v/>
      </c>
      <c r="P251" s="10" t="s">
        <v>114</v>
      </c>
      <c r="Q251" s="10" t="s">
        <v>115</v>
      </c>
      <c r="R251" s="10" t="s">
        <v>114</v>
      </c>
      <c r="S251" s="10" t="s">
        <v>116</v>
      </c>
      <c r="T251" s="10" t="s">
        <v>117</v>
      </c>
      <c r="U251" s="10" t="s">
        <v>116</v>
      </c>
      <c r="V251" s="10" t="s">
        <v>150</v>
      </c>
      <c r="W251" s="10" t="s">
        <v>132</v>
      </c>
      <c r="X251" s="10"/>
      <c r="Y251" s="10"/>
      <c r="Z251" s="10"/>
      <c r="AA251" s="10" t="s">
        <v>197</v>
      </c>
      <c r="AB251" s="8" t="n">
        <f aca="true">IF($F251="","",TODAY()-$F251)</f>
        <v>238</v>
      </c>
      <c r="AC251" s="10" t="s">
        <v>251</v>
      </c>
      <c r="AD251" s="10"/>
      <c r="AE251" s="10"/>
      <c r="AF251" s="10"/>
      <c r="AG251" s="10"/>
      <c r="AH251" s="10"/>
      <c r="AI251" s="10"/>
      <c r="AJ251" s="10" t="s">
        <v>254</v>
      </c>
      <c r="AK251" s="10"/>
      <c r="AL251" s="10"/>
      <c r="AM251" s="10"/>
      <c r="AN251" s="8" t="n">
        <v>562575912</v>
      </c>
      <c r="AO251" s="10" t="s">
        <v>1049</v>
      </c>
      <c r="AP251" s="10" t="s">
        <v>327</v>
      </c>
      <c r="AQ251" s="11" t="n">
        <v>46077</v>
      </c>
      <c r="AR251" s="13"/>
      <c r="AS251" s="13"/>
      <c r="AT251" s="13" t="s">
        <v>251</v>
      </c>
      <c r="AU251" s="13" t="s">
        <v>559</v>
      </c>
      <c r="AV251" s="13" t="s">
        <v>251</v>
      </c>
      <c r="AW251" s="13"/>
      <c r="AX251" s="13" t="s">
        <v>251</v>
      </c>
      <c r="AY251" s="7" t="s">
        <v>363</v>
      </c>
      <c r="AZ251" s="7" t="s">
        <v>159</v>
      </c>
      <c r="BA251" s="7" t="s">
        <v>35</v>
      </c>
      <c r="BB251" s="7" t="s">
        <v>559</v>
      </c>
      <c r="BC251" s="7"/>
      <c r="BD251" s="9"/>
      <c r="BE251" s="7"/>
      <c r="BF251" s="14" t="str">
        <f aca="true">IF(TRIM($A251)="Finalized","Closed",IF($BD251="","No review date set",IF($BD251&lt;TODAY(),"OVERDUE",IF($BD251-TODAY()&lt;=7,"Due within 7 days","Scheduled"))))</f>
        <v>Closed</v>
      </c>
      <c r="BG251" s="14" t="n">
        <f aca="true">IF($K251="","",TODAY()-$K251)</f>
        <v>60</v>
      </c>
      <c r="BH251" s="15" t="str">
        <f aca="false">IFERROR(LEFT(IF($B251="","Notes, ","")&amp;IF($K251="","Latest Date Worked, ","")&amp;IF($AY251="","Last Action, ","")&amp;IF(AND(OR(TRIM($A251)="Denied",TRIM($A251)="Rejected"),$BA251=""),"Denial Reason, ","")&amp;IF(AND(TRIM($A251)="Denied",$BB251="",TRIM($BA251)&lt;&gt;"NO DENIAL"),"Denial Code, ","")&amp;IF(AND(TRIM($A251)&lt;&gt;"Finalized",$BD251=""),"Next Review Date, ","")&amp;IF(AND(TRIM($A251)&lt;&gt;"Finalized",$BE251=""),"Next Step, ","")&amp;IF(AND(TRIM($A251)="Finalized",$AV251="",$AR251="",$AT251="",$AX251="",$AW251=""),"CPT outcome, ",""),LEN(IF($B251="","Notes, ","")&amp;IF($K251="","Latest Date Worked, ","")&amp;IF($AY251="","Last Action, ","")&amp;IF(AND(OR(TRIM($A251)="Denied",TRIM($A251)="Rejected"),$BA251=""),"Denial Reason, ","")&amp;IF(AND(TRIM($A251)="Denied",$BB251="",TRIM($BA251)&lt;&gt;"NO DENIAL"),"Denial Code, ","")&amp;IF(AND(TRIM($A251)&lt;&gt;"Finalized",$BD251=""),"Next Review Date, ","")&amp;IF(AND(TRIM($A251)&lt;&gt;"Finalized",$BE251=""),"Next Step, ","")&amp;IF(AND(TRIM($A251)="Finalized",$AV251="",$AR251="",$AT251="",$AX251="",$AW251=""),"CPT outcome, ",""))-2),"")</f>
        <v/>
      </c>
      <c r="BI251" s="15" t="str">
        <f aca="false">IF($BB251="","",IFERROR(INDEX('Denial Codes'!$C:$C,MATCH(LEFT($BB251,FIND(" - ",$BB251&amp;" - ")+2)&amp;"*",'Denial Codes'!$A:$A,0)),""))</f>
        <v>Timely filing</v>
      </c>
      <c r="BJ251" s="15" t="str">
        <f aca="false">IF($BA251="","",IFERROR(INDEX(Lists!$B:$B,MATCH(TRIM($BA251),Lists!$A:$A,0))&amp;"",""))</f>
        <v>Find proof of timely filing (clearinghouse acceptance or earlier submission) and appeal with it; if none, adjust the balance.</v>
      </c>
    </row>
    <row r="252" customFormat="false" ht="15" hidden="false" customHeight="false" outlineLevel="0" collapsed="false">
      <c r="A252" s="7" t="s">
        <v>18</v>
      </c>
      <c r="B252" s="7" t="s">
        <v>1207</v>
      </c>
      <c r="C252" s="8" t="n">
        <v>557715576</v>
      </c>
      <c r="D252" s="9" t="n">
        <v>46147</v>
      </c>
      <c r="E252" s="10" t="s">
        <v>1208</v>
      </c>
      <c r="F252" s="11" t="n">
        <v>46076</v>
      </c>
      <c r="G252" s="10" t="s">
        <v>1209</v>
      </c>
      <c r="H252" s="10" t="s">
        <v>1209</v>
      </c>
      <c r="I252" s="10" t="s">
        <v>163</v>
      </c>
      <c r="J252" s="10" t="s">
        <v>842</v>
      </c>
      <c r="K252" s="9"/>
      <c r="L252" s="12" t="n">
        <f aca="true">IF($O252="","",$O252-TODAY())</f>
        <v>130</v>
      </c>
      <c r="M252" s="12" t="n">
        <f aca="true">IF(AND(TRIM($A252)="Finalized",$K252&lt;&gt;""),"",IF($D252="","",$D252+365-TODAY()))</f>
        <v>201</v>
      </c>
      <c r="N252" s="12" t="n">
        <f aca="true">IF(AND(TRIM($A252)="Finalized",$K252&lt;&gt;""),"",IF($D252="","",$D252+120-TODAY()))</f>
        <v>-44</v>
      </c>
      <c r="O252" s="11" t="n">
        <f aca="false">IF(AND(TRIM($A252)="Finalized",$K252&lt;&gt;""),"",DATE(2027,2,23))</f>
        <v>46441</v>
      </c>
      <c r="P252" s="10" t="s">
        <v>114</v>
      </c>
      <c r="Q252" s="10" t="s">
        <v>115</v>
      </c>
      <c r="R252" s="10" t="s">
        <v>114</v>
      </c>
      <c r="S252" s="10" t="s">
        <v>116</v>
      </c>
      <c r="T252" s="10" t="s">
        <v>117</v>
      </c>
      <c r="U252" s="10" t="s">
        <v>116</v>
      </c>
      <c r="V252" s="10" t="s">
        <v>150</v>
      </c>
      <c r="W252" s="10" t="s">
        <v>119</v>
      </c>
      <c r="X252" s="10" t="s">
        <v>229</v>
      </c>
      <c r="Y252" s="10"/>
      <c r="Z252" s="10"/>
      <c r="AA252" s="10" t="s">
        <v>793</v>
      </c>
      <c r="AB252" s="8" t="n">
        <f aca="true">IF($F252="","",TODAY()-$F252)</f>
        <v>235</v>
      </c>
      <c r="AC252" s="10" t="s">
        <v>122</v>
      </c>
      <c r="AD252" s="10"/>
      <c r="AE252" s="10"/>
      <c r="AF252" s="10"/>
      <c r="AG252" s="10"/>
      <c r="AH252" s="10"/>
      <c r="AI252" s="10"/>
      <c r="AJ252" s="10" t="s">
        <v>123</v>
      </c>
      <c r="AK252" s="10" t="s">
        <v>254</v>
      </c>
      <c r="AL252" s="10"/>
      <c r="AM252" s="10"/>
      <c r="AN252" s="8"/>
      <c r="AO252" s="10" t="s">
        <v>1210</v>
      </c>
      <c r="AP252" s="10" t="s">
        <v>1211</v>
      </c>
      <c r="AQ252" s="11" t="n">
        <v>46085</v>
      </c>
      <c r="AR252" s="13"/>
      <c r="AS252" s="13"/>
      <c r="AT252" s="13"/>
      <c r="AU252" s="13"/>
      <c r="AV252" s="13"/>
      <c r="AW252" s="13"/>
      <c r="AX252" s="13"/>
      <c r="AY252" s="7"/>
      <c r="AZ252" s="7"/>
      <c r="BA252" s="7" t="s">
        <v>44</v>
      </c>
      <c r="BB252" s="7"/>
      <c r="BC252" s="7"/>
      <c r="BD252" s="9"/>
      <c r="BE252" s="7" t="s">
        <v>1212</v>
      </c>
      <c r="BF252" s="14" t="str">
        <f aca="true">IF(TRIM($A252)="Finalized","Closed",IF($BD252="","No review date set",IF($BD252&lt;TODAY(),"OVERDUE",IF($BD252-TODAY()&lt;=7,"Due within 7 days","Scheduled"))))</f>
        <v>No review date set</v>
      </c>
      <c r="BG252" s="14" t="str">
        <f aca="true">IF($K252="","",TODAY()-$K252)</f>
        <v/>
      </c>
      <c r="BH252" s="15" t="str">
        <f aca="false">IFERROR(LEFT(IF($B252="","Notes, ","")&amp;IF($K252="","Latest Date Worked, ","")&amp;IF($AY252="","Last Action, ","")&amp;IF(AND(OR(TRIM($A252)="Denied",TRIM($A252)="Rejected"),$BA252=""),"Denial Reason, ","")&amp;IF(AND(TRIM($A252)="Denied",$BB252="",TRIM($BA252)&lt;&gt;"NO DENIAL"),"Denial Code, ","")&amp;IF(AND(TRIM($A252)&lt;&gt;"Finalized",$BD252=""),"Next Review Date, ","")&amp;IF(AND(TRIM($A252)&lt;&gt;"Finalized",$BE252=""),"Next Step, ","")&amp;IF(AND(TRIM($A252)="Finalized",$AV252="",$AR252="",$AT252="",$AX252="",$AW252=""),"CPT outcome, ",""),LEN(IF($B252="","Notes, ","")&amp;IF($K252="","Latest Date Worked, ","")&amp;IF($AY252="","Last Action, ","")&amp;IF(AND(OR(TRIM($A252)="Denied",TRIM($A252)="Rejected"),$BA252=""),"Denial Reason, ","")&amp;IF(AND(TRIM($A252)="Denied",$BB252="",TRIM($BA252)&lt;&gt;"NO DENIAL"),"Denial Code, ","")&amp;IF(AND(TRIM($A252)&lt;&gt;"Finalized",$BD252=""),"Next Review Date, ","")&amp;IF(AND(TRIM($A252)&lt;&gt;"Finalized",$BE252=""),"Next Step, ","")&amp;IF(AND(TRIM($A252)="Finalized",$AV252="",$AR252="",$AT252="",$AX252="",$AW252=""),"CPT outcome, ",""))-2),"")</f>
        <v>Latest Date Worked, Last Action, Next Review Date</v>
      </c>
      <c r="BI252" s="15" t="str">
        <f aca="false">IF($BB252="","",IFERROR(INDEX('Denial Codes'!$C:$C,MATCH(LEFT($BB252,FIND(" - ",$BB252&amp;" - ")+2)&amp;"*",'Denial Codes'!$A:$A,0)),""))</f>
        <v/>
      </c>
      <c r="BJ252" s="15" t="str">
        <f aca="false">IF($BA252="","",IFERROR(INDEX(Lists!$B:$B,MATCH(TRIM($BA252),Lists!$A:$A,0))&amp;"",""))</f>
        <v>Bill the correct payer, delegated vendor or capitated group/IPA (e.g. Optum Behavioral, Preferred Homecare).</v>
      </c>
    </row>
    <row r="253" customFormat="false" ht="15" hidden="false" customHeight="false" outlineLevel="0" collapsed="false">
      <c r="A253" s="7" t="s">
        <v>17</v>
      </c>
      <c r="B253" s="7" t="s">
        <v>1213</v>
      </c>
      <c r="C253" s="8" t="n">
        <v>563073824</v>
      </c>
      <c r="D253" s="9" t="n">
        <v>46202</v>
      </c>
      <c r="E253" s="10" t="s">
        <v>1214</v>
      </c>
      <c r="F253" s="11" t="n">
        <v>46079</v>
      </c>
      <c r="G253" s="10" t="s">
        <v>1215</v>
      </c>
      <c r="H253" s="10" t="s">
        <v>260</v>
      </c>
      <c r="I253" s="10" t="s">
        <v>1215</v>
      </c>
      <c r="J253" s="10" t="s">
        <v>1216</v>
      </c>
      <c r="K253" s="9" t="n">
        <v>46195</v>
      </c>
      <c r="L253" s="12" t="n">
        <f aca="true">IF($O253="","",$O253-TODAY())</f>
        <v>133</v>
      </c>
      <c r="M253" s="12" t="n">
        <f aca="true">IF(AND(TRIM($A253)="Finalized",$K253&lt;&gt;""),"",IF($D253="","",$D253+365-TODAY()))</f>
        <v>256</v>
      </c>
      <c r="N253" s="12" t="n">
        <f aca="true">IF(AND(TRIM($A253)="Finalized",$K253&lt;&gt;""),"",IF($D253="","",$D253+120-TODAY()))</f>
        <v>11</v>
      </c>
      <c r="O253" s="11" t="n">
        <f aca="false">IF(AND(TRIM($A253)="Finalized",$K253&lt;&gt;""),"",DATE(2027,2,26))</f>
        <v>46444</v>
      </c>
      <c r="P253" s="10" t="s">
        <v>114</v>
      </c>
      <c r="Q253" s="10" t="s">
        <v>115</v>
      </c>
      <c r="R253" s="10" t="s">
        <v>114</v>
      </c>
      <c r="S253" s="10" t="s">
        <v>116</v>
      </c>
      <c r="T253" s="10" t="s">
        <v>117</v>
      </c>
      <c r="U253" s="10" t="s">
        <v>116</v>
      </c>
      <c r="V253" s="10" t="s">
        <v>150</v>
      </c>
      <c r="W253" s="10" t="s">
        <v>132</v>
      </c>
      <c r="X253" s="10" t="s">
        <v>1217</v>
      </c>
      <c r="Y253" s="10"/>
      <c r="Z253" s="10"/>
      <c r="AA253" s="10" t="s">
        <v>197</v>
      </c>
      <c r="AB253" s="8" t="n">
        <f aca="true">IF($F253="","",TODAY()-$F253)</f>
        <v>232</v>
      </c>
      <c r="AC253" s="10" t="s">
        <v>858</v>
      </c>
      <c r="AD253" s="10" t="s">
        <v>246</v>
      </c>
      <c r="AE253" s="10" t="s">
        <v>858</v>
      </c>
      <c r="AF253" s="10"/>
      <c r="AG253" s="10"/>
      <c r="AH253" s="10"/>
      <c r="AI253" s="10"/>
      <c r="AJ253" s="10" t="s">
        <v>124</v>
      </c>
      <c r="AK253" s="10" t="s">
        <v>139</v>
      </c>
      <c r="AL253" s="10" t="s">
        <v>598</v>
      </c>
      <c r="AM253" s="10" t="s">
        <v>452</v>
      </c>
      <c r="AN253" s="8" t="n">
        <v>554801761</v>
      </c>
      <c r="AO253" s="10" t="s">
        <v>546</v>
      </c>
      <c r="AP253" s="10" t="s">
        <v>175</v>
      </c>
      <c r="AQ253" s="11" t="n">
        <v>46093</v>
      </c>
      <c r="AR253" s="13"/>
      <c r="AS253" s="13"/>
      <c r="AT253" s="13"/>
      <c r="AU253" s="13"/>
      <c r="AV253" s="13" t="s">
        <v>246</v>
      </c>
      <c r="AW253" s="13"/>
      <c r="AX253" s="13" t="s">
        <v>1218</v>
      </c>
      <c r="AY253" s="7" t="s">
        <v>159</v>
      </c>
      <c r="AZ253" s="7"/>
      <c r="BA253" s="7" t="s">
        <v>37</v>
      </c>
      <c r="BB253" s="7" t="s">
        <v>1219</v>
      </c>
      <c r="BC253" s="7"/>
      <c r="BD253" s="9" t="n">
        <v>46225</v>
      </c>
      <c r="BE253" s="7"/>
      <c r="BF253" s="14" t="str">
        <f aca="true">IF(TRIM($A253)="Finalized","Closed",IF($BD253="","No review date set",IF($BD253&lt;TODAY(),"OVERDUE",IF($BD253-TODAY()&lt;=7,"Due within 7 days","Scheduled"))))</f>
        <v>OVERDUE</v>
      </c>
      <c r="BG253" s="14" t="n">
        <f aca="true">IF($K253="","",TODAY()-$K253)</f>
        <v>116</v>
      </c>
      <c r="BH253" s="15" t="str">
        <f aca="false">IFERROR(LEFT(IF($B253="","Notes, ","")&amp;IF($K253="","Latest Date Worked, ","")&amp;IF($AY253="","Last Action, ","")&amp;IF(AND(OR(TRIM($A253)="Denied",TRIM($A253)="Rejected"),$BA253=""),"Denial Reason, ","")&amp;IF(AND(TRIM($A253)="Denied",$BB253="",TRIM($BA253)&lt;&gt;"NO DENIAL"),"Denial Code, ","")&amp;IF(AND(TRIM($A253)&lt;&gt;"Finalized",$BD253=""),"Next Review Date, ","")&amp;IF(AND(TRIM($A253)&lt;&gt;"Finalized",$BE253=""),"Next Step, ","")&amp;IF(AND(TRIM($A253)="Finalized",$AV253="",$AR253="",$AT253="",$AX253="",$AW253=""),"CPT outcome, ",""),LEN(IF($B253="","Notes, ","")&amp;IF($K253="","Latest Date Worked, ","")&amp;IF($AY253="","Last Action, ","")&amp;IF(AND(OR(TRIM($A253)="Denied",TRIM($A253)="Rejected"),$BA253=""),"Denial Reason, ","")&amp;IF(AND(TRIM($A253)="Denied",$BB253="",TRIM($BA253)&lt;&gt;"NO DENIAL"),"Denial Code, ","")&amp;IF(AND(TRIM($A253)&lt;&gt;"Finalized",$BD253=""),"Next Review Date, ","")&amp;IF(AND(TRIM($A253)&lt;&gt;"Finalized",$BE253=""),"Next Step, ","")&amp;IF(AND(TRIM($A253)="Finalized",$AV253="",$AR253="",$AT253="",$AX253="",$AW253=""),"CPT outcome, ",""))-2),"")</f>
        <v>Next Step</v>
      </c>
      <c r="BI253" s="15" t="str">
        <f aca="false">IF($BB253="","",IFERROR(INDEX('Denial Codes'!$C:$C,MATCH(LEFT($BB253,FIND(" - ",$BB253&amp;" - ")+2)&amp;"*",'Denial Codes'!$A:$A,0)),""))</f>
        <v>Bundled / NCCI edit</v>
      </c>
      <c r="BJ253" s="15" t="str">
        <f aca="false">IF($BA253="","",IFERROR(INDEX(Lists!$B:$B,MATCH(TRIM($BA253),Lists!$A:$A,0))&amp;"",""))</f>
        <v>Check the NCCI pair; if the service was distinct, add 59/XU (or XS) and resubmit; otherwise adjust.</v>
      </c>
    </row>
    <row r="254" customFormat="false" ht="15" hidden="false" customHeight="false" outlineLevel="0" collapsed="false">
      <c r="A254" s="7" t="s">
        <v>17</v>
      </c>
      <c r="B254" s="7" t="s">
        <v>1220</v>
      </c>
      <c r="C254" s="8" t="n">
        <v>571688892</v>
      </c>
      <c r="D254" s="9" t="n">
        <v>46289</v>
      </c>
      <c r="E254" s="10" t="s">
        <v>1221</v>
      </c>
      <c r="F254" s="11" t="n">
        <v>46083</v>
      </c>
      <c r="G254" s="10" t="s">
        <v>260</v>
      </c>
      <c r="H254" s="10" t="s">
        <v>260</v>
      </c>
      <c r="I254" s="10" t="s">
        <v>271</v>
      </c>
      <c r="J254" s="10" t="s">
        <v>1222</v>
      </c>
      <c r="K254" s="9" t="n">
        <v>46279</v>
      </c>
      <c r="L254" s="12" t="n">
        <f aca="true">IF($O254="","",$O254-TODAY())</f>
        <v>137</v>
      </c>
      <c r="M254" s="12" t="n">
        <f aca="true">IF(AND(TRIM($A254)="Finalized",$K254&lt;&gt;""),"",IF($D254="","",$D254+365-TODAY()))</f>
        <v>343</v>
      </c>
      <c r="N254" s="12" t="n">
        <f aca="true">IF(AND(TRIM($A254)="Finalized",$K254&lt;&gt;""),"",IF($D254="","",$D254+120-TODAY()))</f>
        <v>98</v>
      </c>
      <c r="O254" s="11" t="n">
        <f aca="false">IF(AND(TRIM($A254)="Finalized",$K254&lt;&gt;""),"",DATE(2027,3,2))</f>
        <v>46448</v>
      </c>
      <c r="P254" s="10" t="s">
        <v>114</v>
      </c>
      <c r="Q254" s="10" t="s">
        <v>115</v>
      </c>
      <c r="R254" s="10" t="s">
        <v>114</v>
      </c>
      <c r="S254" s="10" t="s">
        <v>116</v>
      </c>
      <c r="T254" s="10" t="s">
        <v>117</v>
      </c>
      <c r="U254" s="10" t="s">
        <v>116</v>
      </c>
      <c r="V254" s="10" t="s">
        <v>167</v>
      </c>
      <c r="W254" s="10" t="s">
        <v>132</v>
      </c>
      <c r="X254" s="10"/>
      <c r="Y254" s="10"/>
      <c r="Z254" s="10"/>
      <c r="AA254" s="10" t="s">
        <v>197</v>
      </c>
      <c r="AB254" s="8" t="n">
        <f aca="true">IF($F254="","",TODAY()-$F254)</f>
        <v>228</v>
      </c>
      <c r="AC254" s="10" t="s">
        <v>545</v>
      </c>
      <c r="AD254" s="10"/>
      <c r="AE254" s="10"/>
      <c r="AF254" s="10"/>
      <c r="AG254" s="10"/>
      <c r="AH254" s="10"/>
      <c r="AI254" s="10"/>
      <c r="AJ254" s="10" t="s">
        <v>254</v>
      </c>
      <c r="AK254" s="10" t="s">
        <v>139</v>
      </c>
      <c r="AL254" s="10"/>
      <c r="AM254" s="10"/>
      <c r="AN254" s="8"/>
      <c r="AO254" s="10" t="s">
        <v>546</v>
      </c>
      <c r="AP254" s="10" t="s">
        <v>175</v>
      </c>
      <c r="AQ254" s="11" t="n">
        <v>46105</v>
      </c>
      <c r="AR254" s="13"/>
      <c r="AS254" s="13"/>
      <c r="AT254" s="13"/>
      <c r="AU254" s="13"/>
      <c r="AV254" s="13"/>
      <c r="AW254" s="13"/>
      <c r="AX254" s="13" t="s">
        <v>545</v>
      </c>
      <c r="AY254" s="7" t="s">
        <v>159</v>
      </c>
      <c r="AZ254" s="7"/>
      <c r="BA254" s="7" t="s">
        <v>34</v>
      </c>
      <c r="BB254" s="7"/>
      <c r="BC254" s="7"/>
      <c r="BD254" s="9" t="n">
        <v>46309</v>
      </c>
      <c r="BE254" s="7"/>
      <c r="BF254" s="14" t="str">
        <f aca="true">IF(TRIM($A254)="Finalized","Closed",IF($BD254="","No review date set",IF($BD254&lt;TODAY(),"OVERDUE",IF($BD254-TODAY()&lt;=7,"Due within 7 days","Scheduled"))))</f>
        <v>OVERDUE</v>
      </c>
      <c r="BG254" s="14" t="n">
        <f aca="true">IF($K254="","",TODAY()-$K254)</f>
        <v>32</v>
      </c>
      <c r="BH254" s="15" t="str">
        <f aca="false">IFERROR(LEFT(IF($B254="","Notes, ","")&amp;IF($K254="","Latest Date Worked, ","")&amp;IF($AY254="","Last Action, ","")&amp;IF(AND(OR(TRIM($A254)="Denied",TRIM($A254)="Rejected"),$BA254=""),"Denial Reason, ","")&amp;IF(AND(TRIM($A254)="Denied",$BB254="",TRIM($BA254)&lt;&gt;"NO DENIAL"),"Denial Code, ","")&amp;IF(AND(TRIM($A254)&lt;&gt;"Finalized",$BD254=""),"Next Review Date, ","")&amp;IF(AND(TRIM($A254)&lt;&gt;"Finalized",$BE254=""),"Next Step, ","")&amp;IF(AND(TRIM($A254)="Finalized",$AV254="",$AR254="",$AT254="",$AX254="",$AW254=""),"CPT outcome, ",""),LEN(IF($B254="","Notes, ","")&amp;IF($K254="","Latest Date Worked, ","")&amp;IF($AY254="","Last Action, ","")&amp;IF(AND(OR(TRIM($A254)="Denied",TRIM($A254)="Rejected"),$BA254=""),"Denial Reason, ","")&amp;IF(AND(TRIM($A254)="Denied",$BB254="",TRIM($BA254)&lt;&gt;"NO DENIAL"),"Denial Code, ","")&amp;IF(AND(TRIM($A254)&lt;&gt;"Finalized",$BD254=""),"Next Review Date, ","")&amp;IF(AND(TRIM($A254)&lt;&gt;"Finalized",$BE254=""),"Next Step, ","")&amp;IF(AND(TRIM($A254)="Finalized",$AV254="",$AR254="",$AT254="",$AX254="",$AW254=""),"CPT outcome, ",""))-2),"")</f>
        <v>Denial Code, Next Step</v>
      </c>
      <c r="BI254" s="15" t="str">
        <f aca="false">IF($BB254="","",IFERROR(INDEX('Denial Codes'!$C:$C,MATCH(LEFT($BB254,FIND(" - ",$BB254&amp;" - ")+2)&amp;"*",'Denial Codes'!$A:$A,0)),""))</f>
        <v/>
      </c>
      <c r="BJ254" s="15" t="str">
        <f aca="false">IF($BA254="","",IFERROR(INDEX(Lists!$B:$B,MATCH(TRIM($BA254),Lists!$A:$A,0))&amp;"",""))</f>
        <v>Check the portal for an auth; request a retro-auth or file an appeal with the auth number, then resubmit.</v>
      </c>
    </row>
    <row r="255" customFormat="false" ht="15" hidden="false" customHeight="false" outlineLevel="0" collapsed="false">
      <c r="A255" s="7" t="s">
        <v>17</v>
      </c>
      <c r="B255" s="7" t="s">
        <v>1223</v>
      </c>
      <c r="C255" s="8" t="n">
        <v>552282896</v>
      </c>
      <c r="D255" s="9" t="n">
        <v>46203</v>
      </c>
      <c r="E255" s="10" t="s">
        <v>1224</v>
      </c>
      <c r="F255" s="11" t="n">
        <v>46085</v>
      </c>
      <c r="G255" s="10" t="s">
        <v>260</v>
      </c>
      <c r="H255" s="10" t="s">
        <v>260</v>
      </c>
      <c r="I255" s="10" t="s">
        <v>163</v>
      </c>
      <c r="J255" s="10" t="s">
        <v>595</v>
      </c>
      <c r="K255" s="9" t="n">
        <v>46279</v>
      </c>
      <c r="L255" s="12" t="n">
        <f aca="true">IF($O255="","",$O255-TODAY())</f>
        <v>139</v>
      </c>
      <c r="M255" s="12" t="n">
        <f aca="true">IF(AND(TRIM($A255)="Finalized",$K255&lt;&gt;""),"",IF($D255="","",$D255+365-TODAY()))</f>
        <v>257</v>
      </c>
      <c r="N255" s="12" t="n">
        <f aca="true">IF(AND(TRIM($A255)="Finalized",$K255&lt;&gt;""),"",IF($D255="","",$D255+120-TODAY()))</f>
        <v>12</v>
      </c>
      <c r="O255" s="11" t="n">
        <f aca="false">IF(AND(TRIM($A255)="Finalized",$K255&lt;&gt;""),"",DATE(2027,3,4))</f>
        <v>46450</v>
      </c>
      <c r="P255" s="10" t="s">
        <v>114</v>
      </c>
      <c r="Q255" s="10" t="s">
        <v>115</v>
      </c>
      <c r="R255" s="10" t="s">
        <v>114</v>
      </c>
      <c r="S255" s="10" t="s">
        <v>116</v>
      </c>
      <c r="T255" s="10" t="s">
        <v>117</v>
      </c>
      <c r="U255" s="10" t="s">
        <v>116</v>
      </c>
      <c r="V255" s="10" t="s">
        <v>167</v>
      </c>
      <c r="W255" s="10" t="s">
        <v>132</v>
      </c>
      <c r="X255" s="10"/>
      <c r="Y255" s="10"/>
      <c r="Z255" s="10"/>
      <c r="AA255" s="10" t="s">
        <v>197</v>
      </c>
      <c r="AB255" s="8" t="n">
        <f aca="true">IF($F255="","",TODAY()-$F255)</f>
        <v>226</v>
      </c>
      <c r="AC255" s="10" t="s">
        <v>246</v>
      </c>
      <c r="AD255" s="10" t="s">
        <v>169</v>
      </c>
      <c r="AE255" s="10"/>
      <c r="AF255" s="10"/>
      <c r="AG255" s="10"/>
      <c r="AH255" s="10"/>
      <c r="AI255" s="10"/>
      <c r="AJ255" s="10" t="s">
        <v>138</v>
      </c>
      <c r="AK255" s="10" t="s">
        <v>452</v>
      </c>
      <c r="AL255" s="10" t="s">
        <v>498</v>
      </c>
      <c r="AM255" s="10" t="s">
        <v>921</v>
      </c>
      <c r="AN255" s="8"/>
      <c r="AO255" s="10" t="s">
        <v>174</v>
      </c>
      <c r="AP255" s="10" t="s">
        <v>175</v>
      </c>
      <c r="AQ255" s="11" t="n">
        <v>46197</v>
      </c>
      <c r="AR255" s="13"/>
      <c r="AS255" s="13"/>
      <c r="AT255" s="13"/>
      <c r="AU255" s="13"/>
      <c r="AV255" s="13"/>
      <c r="AW255" s="13"/>
      <c r="AX255" s="13"/>
      <c r="AY255" s="7" t="s">
        <v>159</v>
      </c>
      <c r="AZ255" s="7"/>
      <c r="BA255" s="7" t="s">
        <v>47</v>
      </c>
      <c r="BB255" s="7"/>
      <c r="BC255" s="7" t="s">
        <v>1225</v>
      </c>
      <c r="BD255" s="9" t="n">
        <v>46309</v>
      </c>
      <c r="BE255" s="7"/>
      <c r="BF255" s="14" t="str">
        <f aca="true">IF(TRIM($A255)="Finalized","Closed",IF($BD255="","No review date set",IF($BD255&lt;TODAY(),"OVERDUE",IF($BD255-TODAY()&lt;=7,"Due within 7 days","Scheduled"))))</f>
        <v>OVERDUE</v>
      </c>
      <c r="BG255" s="14" t="n">
        <f aca="true">IF($K255="","",TODAY()-$K255)</f>
        <v>32</v>
      </c>
      <c r="BH255" s="15" t="str">
        <f aca="false">IFERROR(LEFT(IF($B255="","Notes, ","")&amp;IF($K255="","Latest Date Worked, ","")&amp;IF($AY255="","Last Action, ","")&amp;IF(AND(OR(TRIM($A255)="Denied",TRIM($A255)="Rejected"),$BA255=""),"Denial Reason, ","")&amp;IF(AND(TRIM($A255)="Denied",$BB255="",TRIM($BA255)&lt;&gt;"NO DENIAL"),"Denial Code, ","")&amp;IF(AND(TRIM($A255)&lt;&gt;"Finalized",$BD255=""),"Next Review Date, ","")&amp;IF(AND(TRIM($A255)&lt;&gt;"Finalized",$BE255=""),"Next Step, ","")&amp;IF(AND(TRIM($A255)="Finalized",$AV255="",$AR255="",$AT255="",$AX255="",$AW255=""),"CPT outcome, ",""),LEN(IF($B255="","Notes, ","")&amp;IF($K255="","Latest Date Worked, ","")&amp;IF($AY255="","Last Action, ","")&amp;IF(AND(OR(TRIM($A255)="Denied",TRIM($A255)="Rejected"),$BA255=""),"Denial Reason, ","")&amp;IF(AND(TRIM($A255)="Denied",$BB255="",TRIM($BA255)&lt;&gt;"NO DENIAL"),"Denial Code, ","")&amp;IF(AND(TRIM($A255)&lt;&gt;"Finalized",$BD255=""),"Next Review Date, ","")&amp;IF(AND(TRIM($A255)&lt;&gt;"Finalized",$BE255=""),"Next Step, ","")&amp;IF(AND(TRIM($A255)="Finalized",$AV255="",$AR255="",$AT255="",$AX255="",$AW255=""),"CPT outcome, ",""))-2),"")</f>
        <v>Denial Code, Next Step</v>
      </c>
      <c r="BI255" s="15" t="str">
        <f aca="false">IF($BB255="","",IFERROR(INDEX('Denial Codes'!$C:$C,MATCH(LEFT($BB255,FIND(" - ",$BB255&amp;" - ")+2)&amp;"*",'Denial Codes'!$A:$A,0)),""))</f>
        <v/>
      </c>
      <c r="BJ255" s="15" t="str">
        <f aca="false">IF($BA255="","",IFERROR(INDEX(Lists!$B:$B,MATCH(TRIM($BA255),Lists!$A:$A,0))&amp;"",""))</f>
        <v>Check provider enrollment, NPI/TIN and network status; appeal once credentialing is confirmed.</v>
      </c>
    </row>
    <row r="256" customFormat="false" ht="15" hidden="false" customHeight="false" outlineLevel="0" collapsed="false">
      <c r="A256" s="7" t="s">
        <v>17</v>
      </c>
      <c r="B256" s="7" t="s">
        <v>1226</v>
      </c>
      <c r="C256" s="8" t="n">
        <v>571606148</v>
      </c>
      <c r="D256" s="9" t="n">
        <v>46113</v>
      </c>
      <c r="E256" s="10" t="s">
        <v>1204</v>
      </c>
      <c r="F256" s="11" t="n">
        <v>46091</v>
      </c>
      <c r="G256" s="10" t="s">
        <v>260</v>
      </c>
      <c r="H256" s="10" t="s">
        <v>260</v>
      </c>
      <c r="I256" s="10" t="s">
        <v>271</v>
      </c>
      <c r="J256" s="10" t="s">
        <v>194</v>
      </c>
      <c r="K256" s="9" t="n">
        <v>46278</v>
      </c>
      <c r="L256" s="12" t="n">
        <f aca="true">IF($O256="","",$O256-TODAY())</f>
        <v>145</v>
      </c>
      <c r="M256" s="12" t="n">
        <f aca="true">IF(AND(TRIM($A256)="Finalized",$K256&lt;&gt;""),"",IF($D256="","",$D256+365-TODAY()))</f>
        <v>167</v>
      </c>
      <c r="N256" s="12" t="n">
        <f aca="true">IF(AND(TRIM($A256)="Finalized",$K256&lt;&gt;""),"",IF($D256="","",$D256+120-TODAY()))</f>
        <v>-78</v>
      </c>
      <c r="O256" s="11" t="n">
        <f aca="false">IF(AND(TRIM($A256)="Finalized",$K256&lt;&gt;""),"",DATE(2027,3,10))</f>
        <v>46456</v>
      </c>
      <c r="P256" s="10" t="s">
        <v>114</v>
      </c>
      <c r="Q256" s="10" t="s">
        <v>115</v>
      </c>
      <c r="R256" s="10" t="s">
        <v>114</v>
      </c>
      <c r="S256" s="10" t="s">
        <v>116</v>
      </c>
      <c r="T256" s="10" t="s">
        <v>117</v>
      </c>
      <c r="U256" s="10" t="s">
        <v>116</v>
      </c>
      <c r="V256" s="10" t="s">
        <v>167</v>
      </c>
      <c r="W256" s="10" t="s">
        <v>196</v>
      </c>
      <c r="X256" s="10"/>
      <c r="Y256" s="10"/>
      <c r="Z256" s="10"/>
      <c r="AA256" s="10" t="s">
        <v>197</v>
      </c>
      <c r="AB256" s="8" t="n">
        <f aca="true">IF($F256="","",TODAY()-$F256)</f>
        <v>220</v>
      </c>
      <c r="AC256" s="10" t="s">
        <v>198</v>
      </c>
      <c r="AD256" s="10"/>
      <c r="AE256" s="10"/>
      <c r="AF256" s="10"/>
      <c r="AG256" s="10"/>
      <c r="AH256" s="10"/>
      <c r="AI256" s="10"/>
      <c r="AJ256" s="10" t="s">
        <v>1227</v>
      </c>
      <c r="AK256" s="10" t="s">
        <v>267</v>
      </c>
      <c r="AL256" s="10" t="s">
        <v>579</v>
      </c>
      <c r="AM256" s="10"/>
      <c r="AN256" s="8"/>
      <c r="AO256" s="10" t="s">
        <v>201</v>
      </c>
      <c r="AP256" s="10" t="s">
        <v>202</v>
      </c>
      <c r="AQ256" s="11" t="n">
        <v>46106</v>
      </c>
      <c r="AR256" s="13"/>
      <c r="AS256" s="13"/>
      <c r="AT256" s="13"/>
      <c r="AU256" s="13"/>
      <c r="AV256" s="13" t="s">
        <v>198</v>
      </c>
      <c r="AW256" s="13"/>
      <c r="AX256" s="13" t="s">
        <v>198</v>
      </c>
      <c r="AY256" s="7" t="s">
        <v>159</v>
      </c>
      <c r="AZ256" s="7"/>
      <c r="BA256" s="7" t="s">
        <v>48</v>
      </c>
      <c r="BB256" s="7"/>
      <c r="BC256" s="7"/>
      <c r="BD256" s="9" t="n">
        <v>46308</v>
      </c>
      <c r="BE256" s="7"/>
      <c r="BF256" s="14" t="str">
        <f aca="true">IF(TRIM($A256)="Finalized","Closed",IF($BD256="","No review date set",IF($BD256&lt;TODAY(),"OVERDUE",IF($BD256-TODAY()&lt;=7,"Due within 7 days","Scheduled"))))</f>
        <v>OVERDUE</v>
      </c>
      <c r="BG256" s="14" t="n">
        <f aca="true">IF($K256="","",TODAY()-$K256)</f>
        <v>33</v>
      </c>
      <c r="BH256" s="15" t="str">
        <f aca="false">IFERROR(LEFT(IF($B256="","Notes, ","")&amp;IF($K256="","Latest Date Worked, ","")&amp;IF($AY256="","Last Action, ","")&amp;IF(AND(OR(TRIM($A256)="Denied",TRIM($A256)="Rejected"),$BA256=""),"Denial Reason, ","")&amp;IF(AND(TRIM($A256)="Denied",$BB256="",TRIM($BA256)&lt;&gt;"NO DENIAL"),"Denial Code, ","")&amp;IF(AND(TRIM($A256)&lt;&gt;"Finalized",$BD256=""),"Next Review Date, ","")&amp;IF(AND(TRIM($A256)&lt;&gt;"Finalized",$BE256=""),"Next Step, ","")&amp;IF(AND(TRIM($A256)="Finalized",$AV256="",$AR256="",$AT256="",$AX256="",$AW256=""),"CPT outcome, ",""),LEN(IF($B256="","Notes, ","")&amp;IF($K256="","Latest Date Worked, ","")&amp;IF($AY256="","Last Action, ","")&amp;IF(AND(OR(TRIM($A256)="Denied",TRIM($A256)="Rejected"),$BA256=""),"Denial Reason, ","")&amp;IF(AND(TRIM($A256)="Denied",$BB256="",TRIM($BA256)&lt;&gt;"NO DENIAL"),"Denial Code, ","")&amp;IF(AND(TRIM($A256)&lt;&gt;"Finalized",$BD256=""),"Next Review Date, ","")&amp;IF(AND(TRIM($A256)&lt;&gt;"Finalized",$BE256=""),"Next Step, ","")&amp;IF(AND(TRIM($A256)="Finalized",$AV256="",$AR256="",$AT256="",$AX256="",$AW256=""),"CPT outcome, ",""))-2),"")</f>
        <v>Denial Code, Next Step</v>
      </c>
      <c r="BI256" s="15" t="str">
        <f aca="false">IF($BB256="","",IFERROR(INDEX('Denial Codes'!$C:$C,MATCH(LEFT($BB256,FIND(" - ",$BB256&amp;" - ")+2)&amp;"*",'Denial Codes'!$A:$A,0)),""))</f>
        <v/>
      </c>
      <c r="BJ256" s="15" t="str">
        <f aca="false">IF($BA256="","",IFERROR(INDEX(Lists!$B:$B,MATCH(TRIM($BA256),Lists!$A:$A,0))&amp;"",""))</f>
        <v>Get a valid referral or correct the referring provider, then resubmit.</v>
      </c>
    </row>
    <row r="257" customFormat="false" ht="15" hidden="false" customHeight="false" outlineLevel="0" collapsed="false">
      <c r="A257" s="7" t="s">
        <v>19</v>
      </c>
      <c r="B257" s="7" t="s">
        <v>1228</v>
      </c>
      <c r="C257" s="8" t="n">
        <v>570792439</v>
      </c>
      <c r="D257" s="9" t="n">
        <v>46283</v>
      </c>
      <c r="E257" s="10" t="s">
        <v>1229</v>
      </c>
      <c r="F257" s="11" t="n">
        <v>46093</v>
      </c>
      <c r="G257" s="10" t="s">
        <v>271</v>
      </c>
      <c r="H257" s="10" t="s">
        <v>260</v>
      </c>
      <c r="I257" s="10" t="s">
        <v>271</v>
      </c>
      <c r="J257" s="10" t="s">
        <v>400</v>
      </c>
      <c r="K257" s="9" t="n">
        <v>46290</v>
      </c>
      <c r="L257" s="12" t="n">
        <f aca="true">IF($O257="","",$O257-TODAY())</f>
        <v>147</v>
      </c>
      <c r="M257" s="12" t="n">
        <f aca="true">IF(AND(TRIM($A257)="Finalized",$K257&lt;&gt;""),"",IF($D257="","",$D257+365-TODAY()))</f>
        <v>337</v>
      </c>
      <c r="N257" s="12" t="n">
        <f aca="true">IF(AND(TRIM($A257)="Finalized",$K257&lt;&gt;""),"",IF($D257="","",$D257+120-TODAY()))</f>
        <v>92</v>
      </c>
      <c r="O257" s="11" t="n">
        <f aca="false">IF(AND(TRIM($A257)="Finalized",$K257&lt;&gt;""),"",DATE(2027,3,12))</f>
        <v>46458</v>
      </c>
      <c r="P257" s="10" t="s">
        <v>114</v>
      </c>
      <c r="Q257" s="10" t="s">
        <v>115</v>
      </c>
      <c r="R257" s="10" t="s">
        <v>114</v>
      </c>
      <c r="S257" s="10" t="s">
        <v>116</v>
      </c>
      <c r="T257" s="10" t="s">
        <v>117</v>
      </c>
      <c r="U257" s="10" t="s">
        <v>116</v>
      </c>
      <c r="V257" s="10" t="s">
        <v>167</v>
      </c>
      <c r="W257" s="10" t="s">
        <v>183</v>
      </c>
      <c r="X257" s="10"/>
      <c r="Y257" s="10"/>
      <c r="Z257" s="10"/>
      <c r="AA257" s="10" t="s">
        <v>197</v>
      </c>
      <c r="AB257" s="8" t="n">
        <f aca="true">IF($F257="","",TODAY()-$F257)</f>
        <v>218</v>
      </c>
      <c r="AC257" s="10" t="s">
        <v>185</v>
      </c>
      <c r="AD257" s="10" t="s">
        <v>184</v>
      </c>
      <c r="AE257" s="10"/>
      <c r="AF257" s="10"/>
      <c r="AG257" s="10"/>
      <c r="AH257" s="10"/>
      <c r="AI257" s="10"/>
      <c r="AJ257" s="10" t="s">
        <v>186</v>
      </c>
      <c r="AK257" s="10"/>
      <c r="AL257" s="10"/>
      <c r="AM257" s="10"/>
      <c r="AN257" s="8" t="n">
        <v>572886919</v>
      </c>
      <c r="AO257" s="10" t="s">
        <v>506</v>
      </c>
      <c r="AP257" s="10" t="s">
        <v>188</v>
      </c>
      <c r="AQ257" s="11" t="n">
        <v>46119</v>
      </c>
      <c r="AR257" s="13"/>
      <c r="AS257" s="13"/>
      <c r="AT257" s="13"/>
      <c r="AU257" s="13"/>
      <c r="AV257" s="13" t="s">
        <v>189</v>
      </c>
      <c r="AW257" s="13"/>
      <c r="AX257" s="13" t="s">
        <v>189</v>
      </c>
      <c r="AY257" s="7" t="s">
        <v>159</v>
      </c>
      <c r="AZ257" s="7"/>
      <c r="BA257" s="7" t="s">
        <v>45</v>
      </c>
      <c r="BB257" s="7"/>
      <c r="BC257" s="7"/>
      <c r="BD257" s="9" t="n">
        <v>46320</v>
      </c>
      <c r="BE257" s="7"/>
      <c r="BF257" s="14" t="str">
        <f aca="true">IF(TRIM($A257)="Finalized","Closed",IF($BD257="","No review date set",IF($BD257&lt;TODAY(),"OVERDUE",IF($BD257-TODAY()&lt;=7,"Due within 7 days","Scheduled"))))</f>
        <v>Scheduled</v>
      </c>
      <c r="BG257" s="14" t="n">
        <f aca="true">IF($K257="","",TODAY()-$K257)</f>
        <v>21</v>
      </c>
      <c r="BH257" s="15" t="str">
        <f aca="false">IFERROR(LEFT(IF($B257="","Notes, ","")&amp;IF($K257="","Latest Date Worked, ","")&amp;IF($AY257="","Last Action, ","")&amp;IF(AND(OR(TRIM($A257)="Denied",TRIM($A257)="Rejected"),$BA257=""),"Denial Reason, ","")&amp;IF(AND(TRIM($A257)="Denied",$BB257="",TRIM($BA257)&lt;&gt;"NO DENIAL"),"Denial Code, ","")&amp;IF(AND(TRIM($A257)&lt;&gt;"Finalized",$BD257=""),"Next Review Date, ","")&amp;IF(AND(TRIM($A257)&lt;&gt;"Finalized",$BE257=""),"Next Step, ","")&amp;IF(AND(TRIM($A257)="Finalized",$AV257="",$AR257="",$AT257="",$AX257="",$AW257=""),"CPT outcome, ",""),LEN(IF($B257="","Notes, ","")&amp;IF($K257="","Latest Date Worked, ","")&amp;IF($AY257="","Last Action, ","")&amp;IF(AND(OR(TRIM($A257)="Denied",TRIM($A257)="Rejected"),$BA257=""),"Denial Reason, ","")&amp;IF(AND(TRIM($A257)="Denied",$BB257="",TRIM($BA257)&lt;&gt;"NO DENIAL"),"Denial Code, ","")&amp;IF(AND(TRIM($A257)&lt;&gt;"Finalized",$BD257=""),"Next Review Date, ","")&amp;IF(AND(TRIM($A257)&lt;&gt;"Finalized",$BE257=""),"Next Step, ","")&amp;IF(AND(TRIM($A257)="Finalized",$AV257="",$AR257="",$AT257="",$AX257="",$AW257=""),"CPT outcome, ",""))-2),"")</f>
        <v>Next Step</v>
      </c>
      <c r="BI257" s="15" t="str">
        <f aca="false">IF($BB257="","",IFERROR(INDEX('Denial Codes'!$C:$C,MATCH(LEFT($BB257,FIND(" - ",$BB257&amp;" - ")+2)&amp;"*",'Denial Codes'!$A:$A,0)),""))</f>
        <v/>
      </c>
      <c r="BJ257" s="15" t="str">
        <f aca="false">IF($BA257="","",IFERROR(INDEX(Lists!$B:$B,MATCH(TRIM($BA257),Lists!$A:$A,0))&amp;"",""))</f>
        <v>Get the other insurance and primary EOB, update COB with the payer and bill primary first.</v>
      </c>
    </row>
    <row r="258" customFormat="false" ht="15" hidden="false" customHeight="false" outlineLevel="0" collapsed="false">
      <c r="A258" s="7" t="s">
        <v>16</v>
      </c>
      <c r="B258" s="7" t="s">
        <v>1230</v>
      </c>
      <c r="C258" s="8" t="n">
        <v>553223068</v>
      </c>
      <c r="D258" s="9" t="n">
        <v>46108</v>
      </c>
      <c r="E258" s="10" t="s">
        <v>1231</v>
      </c>
      <c r="F258" s="11" t="n">
        <v>46099</v>
      </c>
      <c r="G258" s="10" t="s">
        <v>260</v>
      </c>
      <c r="H258" s="10" t="s">
        <v>260</v>
      </c>
      <c r="I258" s="10" t="s">
        <v>163</v>
      </c>
      <c r="J258" s="10" t="s">
        <v>250</v>
      </c>
      <c r="K258" s="9" t="n">
        <v>46266</v>
      </c>
      <c r="L258" s="12" t="str">
        <f aca="true">IF($O258="","",$O258-TODAY())</f>
        <v/>
      </c>
      <c r="M258" s="12" t="str">
        <f aca="true">IF(AND(TRIM($A258)="Finalized",$K258&lt;&gt;""),"",IF($D258="","",$D258+365-TODAY()))</f>
        <v/>
      </c>
      <c r="N258" s="12" t="str">
        <f aca="true">IF(AND(TRIM($A258)="Finalized",$K258&lt;&gt;""),"",IF($D258="","",$D258+120-TODAY()))</f>
        <v/>
      </c>
      <c r="O258" s="11" t="str">
        <f aca="false">IF(AND(TRIM($A258)="Finalized",$K258&lt;&gt;""),"",DATE(2027,3,18))</f>
        <v/>
      </c>
      <c r="P258" s="10" t="s">
        <v>114</v>
      </c>
      <c r="Q258" s="10" t="s">
        <v>115</v>
      </c>
      <c r="R258" s="10" t="s">
        <v>114</v>
      </c>
      <c r="S258" s="10" t="s">
        <v>116</v>
      </c>
      <c r="T258" s="10" t="s">
        <v>117</v>
      </c>
      <c r="U258" s="10" t="s">
        <v>116</v>
      </c>
      <c r="V258" s="10" t="s">
        <v>167</v>
      </c>
      <c r="W258" s="10" t="s">
        <v>132</v>
      </c>
      <c r="X258" s="10"/>
      <c r="Y258" s="10"/>
      <c r="Z258" s="10"/>
      <c r="AA258" s="10" t="s">
        <v>197</v>
      </c>
      <c r="AB258" s="8" t="n">
        <f aca="true">IF($F258="","",TODAY()-$F258)</f>
        <v>212</v>
      </c>
      <c r="AC258" s="10" t="s">
        <v>251</v>
      </c>
      <c r="AD258" s="10"/>
      <c r="AE258" s="10"/>
      <c r="AF258" s="10"/>
      <c r="AG258" s="10"/>
      <c r="AH258" s="10"/>
      <c r="AI258" s="10"/>
      <c r="AJ258" s="10" t="s">
        <v>1232</v>
      </c>
      <c r="AK258" s="10" t="s">
        <v>1233</v>
      </c>
      <c r="AL258" s="10"/>
      <c r="AM258" s="10"/>
      <c r="AN258" s="8"/>
      <c r="AO258" s="10" t="s">
        <v>1049</v>
      </c>
      <c r="AP258" s="10" t="s">
        <v>327</v>
      </c>
      <c r="AQ258" s="11" t="n">
        <v>46101</v>
      </c>
      <c r="AR258" s="13"/>
      <c r="AS258" s="13"/>
      <c r="AT258" s="13"/>
      <c r="AU258" s="13"/>
      <c r="AV258" s="13" t="s">
        <v>251</v>
      </c>
      <c r="AW258" s="13"/>
      <c r="AX258" s="13" t="s">
        <v>251</v>
      </c>
      <c r="AY258" s="7" t="s">
        <v>363</v>
      </c>
      <c r="AZ258" s="7" t="s">
        <v>159</v>
      </c>
      <c r="BA258" s="7" t="s">
        <v>45</v>
      </c>
      <c r="BB258" s="7" t="s">
        <v>190</v>
      </c>
      <c r="BC258" s="7"/>
      <c r="BD258" s="9"/>
      <c r="BE258" s="7"/>
      <c r="BF258" s="14" t="str">
        <f aca="true">IF(TRIM($A258)="Finalized","Closed",IF($BD258="","No review date set",IF($BD258&lt;TODAY(),"OVERDUE",IF($BD258-TODAY()&lt;=7,"Due within 7 days","Scheduled"))))</f>
        <v>Closed</v>
      </c>
      <c r="BG258" s="14" t="n">
        <f aca="true">IF($K258="","",TODAY()-$K258)</f>
        <v>45</v>
      </c>
      <c r="BH258" s="15" t="str">
        <f aca="false">IFERROR(LEFT(IF($B258="","Notes, ","")&amp;IF($K258="","Latest Date Worked, ","")&amp;IF($AY258="","Last Action, ","")&amp;IF(AND(OR(TRIM($A258)="Denied",TRIM($A258)="Rejected"),$BA258=""),"Denial Reason, ","")&amp;IF(AND(TRIM($A258)="Denied",$BB258="",TRIM($BA258)&lt;&gt;"NO DENIAL"),"Denial Code, ","")&amp;IF(AND(TRIM($A258)&lt;&gt;"Finalized",$BD258=""),"Next Review Date, ","")&amp;IF(AND(TRIM($A258)&lt;&gt;"Finalized",$BE258=""),"Next Step, ","")&amp;IF(AND(TRIM($A258)="Finalized",$AV258="",$AR258="",$AT258="",$AX258="",$AW258=""),"CPT outcome, ",""),LEN(IF($B258="","Notes, ","")&amp;IF($K258="","Latest Date Worked, ","")&amp;IF($AY258="","Last Action, ","")&amp;IF(AND(OR(TRIM($A258)="Denied",TRIM($A258)="Rejected"),$BA258=""),"Denial Reason, ","")&amp;IF(AND(TRIM($A258)="Denied",$BB258="",TRIM($BA258)&lt;&gt;"NO DENIAL"),"Denial Code, ","")&amp;IF(AND(TRIM($A258)&lt;&gt;"Finalized",$BD258=""),"Next Review Date, ","")&amp;IF(AND(TRIM($A258)&lt;&gt;"Finalized",$BE258=""),"Next Step, ","")&amp;IF(AND(TRIM($A258)="Finalized",$AV258="",$AR258="",$AT258="",$AX258="",$AW258=""),"CPT outcome, ",""))-2),"")</f>
        <v/>
      </c>
      <c r="BI258" s="15" t="str">
        <f aca="false">IF($BB258="","",IFERROR(INDEX('Denial Codes'!$C:$C,MATCH(LEFT($BB258,FIND(" - ",$BB258&amp;" - ")+2)&amp;"*",'Denial Codes'!$A:$A,0)),""))</f>
        <v>Other insurance / COB</v>
      </c>
      <c r="BJ258" s="15" t="str">
        <f aca="false">IF($BA258="","",IFERROR(INDEX(Lists!$B:$B,MATCH(TRIM($BA258),Lists!$A:$A,0))&amp;"",""))</f>
        <v>Get the other insurance and primary EOB, update COB with the payer and bill primary first.</v>
      </c>
    </row>
    <row r="259" customFormat="false" ht="15" hidden="false" customHeight="false" outlineLevel="0" collapsed="false">
      <c r="A259" s="7" t="s">
        <v>17</v>
      </c>
      <c r="B259" s="7" t="s">
        <v>1234</v>
      </c>
      <c r="C259" s="8" t="n">
        <v>555372244</v>
      </c>
      <c r="D259" s="9" t="n">
        <v>46203</v>
      </c>
      <c r="E259" s="10" t="s">
        <v>1235</v>
      </c>
      <c r="F259" s="11" t="n">
        <v>46104</v>
      </c>
      <c r="G259" s="10" t="s">
        <v>260</v>
      </c>
      <c r="H259" s="10" t="s">
        <v>260</v>
      </c>
      <c r="I259" s="10" t="s">
        <v>163</v>
      </c>
      <c r="J259" s="10" t="s">
        <v>1236</v>
      </c>
      <c r="K259" s="9" t="n">
        <v>46279</v>
      </c>
      <c r="L259" s="12" t="n">
        <f aca="true">IF($O259="","",$O259-TODAY())</f>
        <v>158</v>
      </c>
      <c r="M259" s="12" t="n">
        <f aca="true">IF(AND(TRIM($A259)="Finalized",$K259&lt;&gt;""),"",IF($D259="","",$D259+365-TODAY()))</f>
        <v>257</v>
      </c>
      <c r="N259" s="12" t="n">
        <f aca="true">IF(AND(TRIM($A259)="Finalized",$K259&lt;&gt;""),"",IF($D259="","",$D259+120-TODAY()))</f>
        <v>12</v>
      </c>
      <c r="O259" s="11" t="n">
        <f aca="false">IF(AND(TRIM($A259)="Finalized",$K259&lt;&gt;""),"",DATE(2027,3,23))</f>
        <v>46469</v>
      </c>
      <c r="P259" s="10" t="s">
        <v>114</v>
      </c>
      <c r="Q259" s="10" t="s">
        <v>115</v>
      </c>
      <c r="R259" s="10" t="s">
        <v>114</v>
      </c>
      <c r="S259" s="10" t="s">
        <v>116</v>
      </c>
      <c r="T259" s="10" t="s">
        <v>117</v>
      </c>
      <c r="U259" s="10" t="s">
        <v>116</v>
      </c>
      <c r="V259" s="10" t="s">
        <v>167</v>
      </c>
      <c r="W259" s="10" t="s">
        <v>132</v>
      </c>
      <c r="X259" s="10" t="s">
        <v>632</v>
      </c>
      <c r="Y259" s="10"/>
      <c r="Z259" s="10"/>
      <c r="AA259" s="10" t="s">
        <v>197</v>
      </c>
      <c r="AB259" s="8" t="n">
        <f aca="true">IF($F259="","",TODAY()-$F259)</f>
        <v>207</v>
      </c>
      <c r="AC259" s="10" t="s">
        <v>246</v>
      </c>
      <c r="AD259" s="10" t="s">
        <v>169</v>
      </c>
      <c r="AE259" s="10" t="s">
        <v>541</v>
      </c>
      <c r="AF259" s="10"/>
      <c r="AG259" s="10"/>
      <c r="AH259" s="10"/>
      <c r="AI259" s="10"/>
      <c r="AJ259" s="10" t="s">
        <v>1237</v>
      </c>
      <c r="AK259" s="10" t="s">
        <v>1238</v>
      </c>
      <c r="AL259" s="10" t="s">
        <v>751</v>
      </c>
      <c r="AM259" s="10" t="s">
        <v>139</v>
      </c>
      <c r="AN259" s="8"/>
      <c r="AO259" s="10" t="s">
        <v>174</v>
      </c>
      <c r="AP259" s="10" t="s">
        <v>175</v>
      </c>
      <c r="AQ259" s="11" t="n">
        <v>46197</v>
      </c>
      <c r="AR259" s="13"/>
      <c r="AS259" s="13"/>
      <c r="AT259" s="13"/>
      <c r="AU259" s="13"/>
      <c r="AV259" s="13"/>
      <c r="AW259" s="13"/>
      <c r="AX259" s="13"/>
      <c r="AY259" s="7" t="s">
        <v>159</v>
      </c>
      <c r="AZ259" s="7"/>
      <c r="BA259" s="7" t="s">
        <v>47</v>
      </c>
      <c r="BB259" s="7"/>
      <c r="BC259" s="7" t="s">
        <v>1239</v>
      </c>
      <c r="BD259" s="9" t="n">
        <v>46309</v>
      </c>
      <c r="BE259" s="7"/>
      <c r="BF259" s="14" t="str">
        <f aca="true">IF(TRIM($A259)="Finalized","Closed",IF($BD259="","No review date set",IF($BD259&lt;TODAY(),"OVERDUE",IF($BD259-TODAY()&lt;=7,"Due within 7 days","Scheduled"))))</f>
        <v>OVERDUE</v>
      </c>
      <c r="BG259" s="14" t="n">
        <f aca="true">IF($K259="","",TODAY()-$K259)</f>
        <v>32</v>
      </c>
      <c r="BH259" s="15" t="str">
        <f aca="false">IFERROR(LEFT(IF($B259="","Notes, ","")&amp;IF($K259="","Latest Date Worked, ","")&amp;IF($AY259="","Last Action, ","")&amp;IF(AND(OR(TRIM($A259)="Denied",TRIM($A259)="Rejected"),$BA259=""),"Denial Reason, ","")&amp;IF(AND(TRIM($A259)="Denied",$BB259="",TRIM($BA259)&lt;&gt;"NO DENIAL"),"Denial Code, ","")&amp;IF(AND(TRIM($A259)&lt;&gt;"Finalized",$BD259=""),"Next Review Date, ","")&amp;IF(AND(TRIM($A259)&lt;&gt;"Finalized",$BE259=""),"Next Step, ","")&amp;IF(AND(TRIM($A259)="Finalized",$AV259="",$AR259="",$AT259="",$AX259="",$AW259=""),"CPT outcome, ",""),LEN(IF($B259="","Notes, ","")&amp;IF($K259="","Latest Date Worked, ","")&amp;IF($AY259="","Last Action, ","")&amp;IF(AND(OR(TRIM($A259)="Denied",TRIM($A259)="Rejected"),$BA259=""),"Denial Reason, ","")&amp;IF(AND(TRIM($A259)="Denied",$BB259="",TRIM($BA259)&lt;&gt;"NO DENIAL"),"Denial Code, ","")&amp;IF(AND(TRIM($A259)&lt;&gt;"Finalized",$BD259=""),"Next Review Date, ","")&amp;IF(AND(TRIM($A259)&lt;&gt;"Finalized",$BE259=""),"Next Step, ","")&amp;IF(AND(TRIM($A259)="Finalized",$AV259="",$AR259="",$AT259="",$AX259="",$AW259=""),"CPT outcome, ",""))-2),"")</f>
        <v>Denial Code, Next Step</v>
      </c>
      <c r="BI259" s="15" t="str">
        <f aca="false">IF($BB259="","",IFERROR(INDEX('Denial Codes'!$C:$C,MATCH(LEFT($BB259,FIND(" - ",$BB259&amp;" - ")+2)&amp;"*",'Denial Codes'!$A:$A,0)),""))</f>
        <v/>
      </c>
      <c r="BJ259" s="15" t="str">
        <f aca="false">IF($BA259="","",IFERROR(INDEX(Lists!$B:$B,MATCH(TRIM($BA259),Lists!$A:$A,0))&amp;"",""))</f>
        <v>Check provider enrollment, NPI/TIN and network status; appeal once credentialing is confirmed.</v>
      </c>
    </row>
    <row r="260" customFormat="false" ht="15" hidden="false" customHeight="false" outlineLevel="0" collapsed="false">
      <c r="A260" s="7" t="s">
        <v>17</v>
      </c>
      <c r="B260" s="7" t="s">
        <v>1240</v>
      </c>
      <c r="C260" s="8" t="n">
        <v>573820928</v>
      </c>
      <c r="D260" s="9" t="n">
        <v>46122</v>
      </c>
      <c r="E260" s="10" t="s">
        <v>1241</v>
      </c>
      <c r="F260" s="11" t="n">
        <v>46104</v>
      </c>
      <c r="G260" s="10" t="s">
        <v>112</v>
      </c>
      <c r="H260" s="10" t="s">
        <v>112</v>
      </c>
      <c r="I260" s="10" t="s">
        <v>333</v>
      </c>
      <c r="J260" s="10" t="s">
        <v>1242</v>
      </c>
      <c r="K260" s="9" t="n">
        <v>46300</v>
      </c>
      <c r="L260" s="12" t="n">
        <f aca="true">IF($O260="","",$O260-TODAY())</f>
        <v>158</v>
      </c>
      <c r="M260" s="12" t="n">
        <f aca="true">IF(AND(TRIM($A260)="Finalized",$K260&lt;&gt;""),"",IF($D260="","",$D260+365-TODAY()))</f>
        <v>176</v>
      </c>
      <c r="N260" s="12" t="n">
        <f aca="true">IF(AND(TRIM($A260)="Finalized",$K260&lt;&gt;""),"",IF($D260="","",$D260+120-TODAY()))</f>
        <v>-69</v>
      </c>
      <c r="O260" s="11" t="n">
        <f aca="false">IF(AND(TRIM($A260)="Finalized",$K260&lt;&gt;""),"",DATE(2027,3,23))</f>
        <v>46469</v>
      </c>
      <c r="P260" s="10" t="s">
        <v>114</v>
      </c>
      <c r="Q260" s="10" t="s">
        <v>115</v>
      </c>
      <c r="R260" s="10" t="s">
        <v>114</v>
      </c>
      <c r="S260" s="10" t="s">
        <v>116</v>
      </c>
      <c r="T260" s="10" t="s">
        <v>117</v>
      </c>
      <c r="U260" s="10" t="s">
        <v>116</v>
      </c>
      <c r="V260" s="10" t="s">
        <v>167</v>
      </c>
      <c r="W260" s="10" t="s">
        <v>119</v>
      </c>
      <c r="X260" s="10" t="s">
        <v>304</v>
      </c>
      <c r="Y260" s="10"/>
      <c r="Z260" s="10"/>
      <c r="AA260" s="10" t="s">
        <v>197</v>
      </c>
      <c r="AB260" s="8" t="n">
        <f aca="true">IF($F260="","",TODAY()-$F260)</f>
        <v>207</v>
      </c>
      <c r="AC260" s="10" t="s">
        <v>584</v>
      </c>
      <c r="AD260" s="10"/>
      <c r="AE260" s="10"/>
      <c r="AF260" s="10"/>
      <c r="AG260" s="10"/>
      <c r="AH260" s="10"/>
      <c r="AI260" s="10"/>
      <c r="AJ260" s="10" t="s">
        <v>568</v>
      </c>
      <c r="AK260" s="10" t="s">
        <v>247</v>
      </c>
      <c r="AL260" s="10" t="s">
        <v>124</v>
      </c>
      <c r="AM260" s="10"/>
      <c r="AN260" s="8"/>
      <c r="AO260" s="10" t="s">
        <v>274</v>
      </c>
      <c r="AP260" s="10" t="s">
        <v>232</v>
      </c>
      <c r="AQ260" s="11" t="n">
        <v>46118</v>
      </c>
      <c r="AR260" s="13"/>
      <c r="AS260" s="13"/>
      <c r="AT260" s="13"/>
      <c r="AU260" s="13"/>
      <c r="AV260" s="13"/>
      <c r="AW260" s="13"/>
      <c r="AX260" s="13"/>
      <c r="AY260" s="7" t="s">
        <v>159</v>
      </c>
      <c r="AZ260" s="7"/>
      <c r="BA260" s="7" t="s">
        <v>34</v>
      </c>
      <c r="BB260" s="7"/>
      <c r="BC260" s="7"/>
      <c r="BD260" s="9" t="n">
        <v>46331</v>
      </c>
      <c r="BE260" s="7"/>
      <c r="BF260" s="14" t="str">
        <f aca="true">IF(TRIM($A260)="Finalized","Closed",IF($BD260="","No review date set",IF($BD260&lt;TODAY(),"OVERDUE",IF($BD260-TODAY()&lt;=7,"Due within 7 days","Scheduled"))))</f>
        <v>Scheduled</v>
      </c>
      <c r="BG260" s="14" t="n">
        <f aca="true">IF($K260="","",TODAY()-$K260)</f>
        <v>11</v>
      </c>
      <c r="BH260" s="15" t="str">
        <f aca="false">IFERROR(LEFT(IF($B260="","Notes, ","")&amp;IF($K260="","Latest Date Worked, ","")&amp;IF($AY260="","Last Action, ","")&amp;IF(AND(OR(TRIM($A260)="Denied",TRIM($A260)="Rejected"),$BA260=""),"Denial Reason, ","")&amp;IF(AND(TRIM($A260)="Denied",$BB260="",TRIM($BA260)&lt;&gt;"NO DENIAL"),"Denial Code, ","")&amp;IF(AND(TRIM($A260)&lt;&gt;"Finalized",$BD260=""),"Next Review Date, ","")&amp;IF(AND(TRIM($A260)&lt;&gt;"Finalized",$BE260=""),"Next Step, ","")&amp;IF(AND(TRIM($A260)="Finalized",$AV260="",$AR260="",$AT260="",$AX260="",$AW260=""),"CPT outcome, ",""),LEN(IF($B260="","Notes, ","")&amp;IF($K260="","Latest Date Worked, ","")&amp;IF($AY260="","Last Action, ","")&amp;IF(AND(OR(TRIM($A260)="Denied",TRIM($A260)="Rejected"),$BA260=""),"Denial Reason, ","")&amp;IF(AND(TRIM($A260)="Denied",$BB260="",TRIM($BA260)&lt;&gt;"NO DENIAL"),"Denial Code, ","")&amp;IF(AND(TRIM($A260)&lt;&gt;"Finalized",$BD260=""),"Next Review Date, ","")&amp;IF(AND(TRIM($A260)&lt;&gt;"Finalized",$BE260=""),"Next Step, ","")&amp;IF(AND(TRIM($A260)="Finalized",$AV260="",$AR260="",$AT260="",$AX260="",$AW260=""),"CPT outcome, ",""))-2),"")</f>
        <v>Denial Code, Next Step</v>
      </c>
      <c r="BI260" s="15" t="str">
        <f aca="false">IF($BB260="","",IFERROR(INDEX('Denial Codes'!$C:$C,MATCH(LEFT($BB260,FIND(" - ",$BB260&amp;" - ")+2)&amp;"*",'Denial Codes'!$A:$A,0)),""))</f>
        <v/>
      </c>
      <c r="BJ260" s="15" t="str">
        <f aca="false">IF($BA260="","",IFERROR(INDEX(Lists!$B:$B,MATCH(TRIM($BA260),Lists!$A:$A,0))&amp;"",""))</f>
        <v>Check the portal for an auth; request a retro-auth or file an appeal with the auth number, then resubmit.</v>
      </c>
    </row>
    <row r="261" customFormat="false" ht="15" hidden="false" customHeight="false" outlineLevel="0" collapsed="false">
      <c r="A261" s="7" t="s">
        <v>16</v>
      </c>
      <c r="B261" s="7" t="s">
        <v>1243</v>
      </c>
      <c r="C261" s="8" t="n">
        <v>553825634</v>
      </c>
      <c r="D261" s="9" t="n">
        <v>46122</v>
      </c>
      <c r="E261" s="10" t="s">
        <v>1244</v>
      </c>
      <c r="F261" s="11" t="n">
        <v>46106</v>
      </c>
      <c r="G261" s="10" t="s">
        <v>1245</v>
      </c>
      <c r="H261" s="10" t="s">
        <v>260</v>
      </c>
      <c r="I261" s="10" t="s">
        <v>1245</v>
      </c>
      <c r="J261" s="10" t="s">
        <v>250</v>
      </c>
      <c r="K261" s="9" t="n">
        <v>46279</v>
      </c>
      <c r="L261" s="12" t="str">
        <f aca="true">IF($O261="","",$O261-TODAY())</f>
        <v/>
      </c>
      <c r="M261" s="12" t="str">
        <f aca="true">IF(AND(TRIM($A261)="Finalized",$K261&lt;&gt;""),"",IF($D261="","",$D261+365-TODAY()))</f>
        <v/>
      </c>
      <c r="N261" s="12" t="str">
        <f aca="true">IF(AND(TRIM($A261)="Finalized",$K261&lt;&gt;""),"",IF($D261="","",$D261+120-TODAY()))</f>
        <v/>
      </c>
      <c r="O261" s="11" t="str">
        <f aca="false">IF(AND(TRIM($A261)="Finalized",$K261&lt;&gt;""),"",DATE(2027,3,25))</f>
        <v/>
      </c>
      <c r="P261" s="10" t="s">
        <v>114</v>
      </c>
      <c r="Q261" s="10" t="s">
        <v>115</v>
      </c>
      <c r="R261" s="10" t="s">
        <v>114</v>
      </c>
      <c r="S261" s="10" t="s">
        <v>116</v>
      </c>
      <c r="T261" s="10" t="s">
        <v>117</v>
      </c>
      <c r="U261" s="10" t="s">
        <v>116</v>
      </c>
      <c r="V261" s="10" t="s">
        <v>167</v>
      </c>
      <c r="W261" s="10" t="s">
        <v>132</v>
      </c>
      <c r="X261" s="10"/>
      <c r="Y261" s="10"/>
      <c r="Z261" s="10"/>
      <c r="AA261" s="10" t="s">
        <v>197</v>
      </c>
      <c r="AB261" s="8" t="n">
        <f aca="true">IF($F261="","",TODAY()-$F261)</f>
        <v>205</v>
      </c>
      <c r="AC261" s="10" t="s">
        <v>251</v>
      </c>
      <c r="AD261" s="10"/>
      <c r="AE261" s="10"/>
      <c r="AF261" s="10"/>
      <c r="AG261" s="10"/>
      <c r="AH261" s="10"/>
      <c r="AI261" s="10"/>
      <c r="AJ261" s="10" t="s">
        <v>362</v>
      </c>
      <c r="AK261" s="10"/>
      <c r="AL261" s="10"/>
      <c r="AM261" s="10"/>
      <c r="AN261" s="8" t="n">
        <v>557571095</v>
      </c>
      <c r="AO261" s="10" t="s">
        <v>201</v>
      </c>
      <c r="AP261" s="10" t="s">
        <v>327</v>
      </c>
      <c r="AQ261" s="11" t="n">
        <v>46107</v>
      </c>
      <c r="AR261" s="13"/>
      <c r="AS261" s="13"/>
      <c r="AT261" s="13"/>
      <c r="AU261" s="13"/>
      <c r="AV261" s="13" t="s">
        <v>251</v>
      </c>
      <c r="AW261" s="13"/>
      <c r="AX261" s="13" t="s">
        <v>251</v>
      </c>
      <c r="AY261" s="7" t="s">
        <v>363</v>
      </c>
      <c r="AZ261" s="7" t="s">
        <v>159</v>
      </c>
      <c r="BA261" s="7" t="s">
        <v>45</v>
      </c>
      <c r="BB261" s="7"/>
      <c r="BC261" s="7"/>
      <c r="BD261" s="9"/>
      <c r="BE261" s="7"/>
      <c r="BF261" s="14" t="str">
        <f aca="true">IF(TRIM($A261)="Finalized","Closed",IF($BD261="","No review date set",IF($BD261&lt;TODAY(),"OVERDUE",IF($BD261-TODAY()&lt;=7,"Due within 7 days","Scheduled"))))</f>
        <v>Closed</v>
      </c>
      <c r="BG261" s="14" t="n">
        <f aca="true">IF($K261="","",TODAY()-$K261)</f>
        <v>32</v>
      </c>
      <c r="BH261" s="15" t="str">
        <f aca="false">IFERROR(LEFT(IF($B261="","Notes, ","")&amp;IF($K261="","Latest Date Worked, ","")&amp;IF($AY261="","Last Action, ","")&amp;IF(AND(OR(TRIM($A261)="Denied",TRIM($A261)="Rejected"),$BA261=""),"Denial Reason, ","")&amp;IF(AND(TRIM($A261)="Denied",$BB261="",TRIM($BA261)&lt;&gt;"NO DENIAL"),"Denial Code, ","")&amp;IF(AND(TRIM($A261)&lt;&gt;"Finalized",$BD261=""),"Next Review Date, ","")&amp;IF(AND(TRIM($A261)&lt;&gt;"Finalized",$BE261=""),"Next Step, ","")&amp;IF(AND(TRIM($A261)="Finalized",$AV261="",$AR261="",$AT261="",$AX261="",$AW261=""),"CPT outcome, ",""),LEN(IF($B261="","Notes, ","")&amp;IF($K261="","Latest Date Worked, ","")&amp;IF($AY261="","Last Action, ","")&amp;IF(AND(OR(TRIM($A261)="Denied",TRIM($A261)="Rejected"),$BA261=""),"Denial Reason, ","")&amp;IF(AND(TRIM($A261)="Denied",$BB261="",TRIM($BA261)&lt;&gt;"NO DENIAL"),"Denial Code, ","")&amp;IF(AND(TRIM($A261)&lt;&gt;"Finalized",$BD261=""),"Next Review Date, ","")&amp;IF(AND(TRIM($A261)&lt;&gt;"Finalized",$BE261=""),"Next Step, ","")&amp;IF(AND(TRIM($A261)="Finalized",$AV261="",$AR261="",$AT261="",$AX261="",$AW261=""),"CPT outcome, ",""))-2),"")</f>
        <v/>
      </c>
      <c r="BI261" s="15" t="str">
        <f aca="false">IF($BB261="","",IFERROR(INDEX('Denial Codes'!$C:$C,MATCH(LEFT($BB261,FIND(" - ",$BB261&amp;" - ")+2)&amp;"*",'Denial Codes'!$A:$A,0)),""))</f>
        <v/>
      </c>
      <c r="BJ261" s="15" t="str">
        <f aca="false">IF($BA261="","",IFERROR(INDEX(Lists!$B:$B,MATCH(TRIM($BA261),Lists!$A:$A,0))&amp;"",""))</f>
        <v>Get the other insurance and primary EOB, update COB with the payer and bill primary first.</v>
      </c>
    </row>
    <row r="262" customFormat="false" ht="15" hidden="false" customHeight="false" outlineLevel="0" collapsed="false">
      <c r="A262" s="7" t="s">
        <v>17</v>
      </c>
      <c r="B262" s="7" t="s">
        <v>1246</v>
      </c>
      <c r="C262" s="8" t="n">
        <v>569308800</v>
      </c>
      <c r="D262" s="9" t="n">
        <v>46269</v>
      </c>
      <c r="E262" s="10" t="s">
        <v>1206</v>
      </c>
      <c r="F262" s="11" t="n">
        <v>46108</v>
      </c>
      <c r="G262" s="10" t="s">
        <v>163</v>
      </c>
      <c r="H262" s="10" t="s">
        <v>260</v>
      </c>
      <c r="I262" s="10" t="s">
        <v>163</v>
      </c>
      <c r="J262" s="10" t="s">
        <v>209</v>
      </c>
      <c r="K262" s="9" t="n">
        <v>46310</v>
      </c>
      <c r="L262" s="12" t="n">
        <f aca="true">IF($O262="","",$O262-TODAY())</f>
        <v>162</v>
      </c>
      <c r="M262" s="12" t="n">
        <f aca="true">IF(AND(TRIM($A262)="Finalized",$K262&lt;&gt;""),"",IF($D262="","",$D262+365-TODAY()))</f>
        <v>323</v>
      </c>
      <c r="N262" s="12" t="n">
        <f aca="true">IF(AND(TRIM($A262)="Finalized",$K262&lt;&gt;""),"",IF($D262="","",$D262+120-TODAY()))</f>
        <v>78</v>
      </c>
      <c r="O262" s="11" t="n">
        <f aca="false">IF(AND(TRIM($A262)="Finalized",$K262&lt;&gt;""),"",DATE(2027,3,27))</f>
        <v>46473</v>
      </c>
      <c r="P262" s="10" t="s">
        <v>114</v>
      </c>
      <c r="Q262" s="10" t="s">
        <v>115</v>
      </c>
      <c r="R262" s="10" t="s">
        <v>114</v>
      </c>
      <c r="S262" s="10" t="s">
        <v>116</v>
      </c>
      <c r="T262" s="10" t="s">
        <v>117</v>
      </c>
      <c r="U262" s="10" t="s">
        <v>116</v>
      </c>
      <c r="V262" s="10" t="s">
        <v>167</v>
      </c>
      <c r="W262" s="10" t="s">
        <v>183</v>
      </c>
      <c r="X262" s="10"/>
      <c r="Y262" s="10"/>
      <c r="Z262" s="10"/>
      <c r="AA262" s="10" t="s">
        <v>197</v>
      </c>
      <c r="AB262" s="8" t="n">
        <f aca="true">IF($F262="","",TODAY()-$F262)</f>
        <v>203</v>
      </c>
      <c r="AC262" s="10" t="s">
        <v>184</v>
      </c>
      <c r="AD262" s="10" t="s">
        <v>211</v>
      </c>
      <c r="AE262" s="10"/>
      <c r="AF262" s="10"/>
      <c r="AG262" s="10"/>
      <c r="AH262" s="10"/>
      <c r="AI262" s="10"/>
      <c r="AJ262" s="10" t="s">
        <v>340</v>
      </c>
      <c r="AK262" s="10"/>
      <c r="AL262" s="10"/>
      <c r="AM262" s="10"/>
      <c r="AN262" s="8" t="n">
        <v>571729065</v>
      </c>
      <c r="AO262" s="10" t="s">
        <v>326</v>
      </c>
      <c r="AP262" s="10" t="s">
        <v>188</v>
      </c>
      <c r="AQ262" s="11" t="n">
        <v>46119</v>
      </c>
      <c r="AR262" s="13"/>
      <c r="AS262" s="13"/>
      <c r="AT262" s="13"/>
      <c r="AU262" s="13"/>
      <c r="AV262" s="13" t="s">
        <v>659</v>
      </c>
      <c r="AW262" s="13"/>
      <c r="AX262" s="13" t="s">
        <v>659</v>
      </c>
      <c r="AY262" s="7" t="s">
        <v>159</v>
      </c>
      <c r="AZ262" s="7" t="s">
        <v>159</v>
      </c>
      <c r="BA262" s="7" t="s">
        <v>48</v>
      </c>
      <c r="BB262" s="7" t="s">
        <v>269</v>
      </c>
      <c r="BC262" s="7"/>
      <c r="BD262" s="9" t="n">
        <v>46341</v>
      </c>
      <c r="BE262" s="7" t="s">
        <v>1192</v>
      </c>
      <c r="BF262" s="14" t="str">
        <f aca="true">IF(TRIM($A262)="Finalized","Closed",IF($BD262="","No review date set",IF($BD262&lt;TODAY(),"OVERDUE",IF($BD262-TODAY()&lt;=7,"Due within 7 days","Scheduled"))))</f>
        <v>Scheduled</v>
      </c>
      <c r="BG262" s="14" t="n">
        <f aca="true">IF($K262="","",TODAY()-$K262)</f>
        <v>1</v>
      </c>
      <c r="BH262" s="15" t="str">
        <f aca="false">IFERROR(LEFT(IF($B262="","Notes, ","")&amp;IF($K262="","Latest Date Worked, ","")&amp;IF($AY262="","Last Action, ","")&amp;IF(AND(OR(TRIM($A262)="Denied",TRIM($A262)="Rejected"),$BA262=""),"Denial Reason, ","")&amp;IF(AND(TRIM($A262)="Denied",$BB262="",TRIM($BA262)&lt;&gt;"NO DENIAL"),"Denial Code, ","")&amp;IF(AND(TRIM($A262)&lt;&gt;"Finalized",$BD262=""),"Next Review Date, ","")&amp;IF(AND(TRIM($A262)&lt;&gt;"Finalized",$BE262=""),"Next Step, ","")&amp;IF(AND(TRIM($A262)="Finalized",$AV262="",$AR262="",$AT262="",$AX262="",$AW262=""),"CPT outcome, ",""),LEN(IF($B262="","Notes, ","")&amp;IF($K262="","Latest Date Worked, ","")&amp;IF($AY262="","Last Action, ","")&amp;IF(AND(OR(TRIM($A262)="Denied",TRIM($A262)="Rejected"),$BA262=""),"Denial Reason, ","")&amp;IF(AND(TRIM($A262)="Denied",$BB262="",TRIM($BA262)&lt;&gt;"NO DENIAL"),"Denial Code, ","")&amp;IF(AND(TRIM($A262)&lt;&gt;"Finalized",$BD262=""),"Next Review Date, ","")&amp;IF(AND(TRIM($A262)&lt;&gt;"Finalized",$BE262=""),"Next Step, ","")&amp;IF(AND(TRIM($A262)="Finalized",$AV262="",$AR262="",$AT262="",$AX262="",$AW262=""),"CPT outcome, ",""))-2),"")</f>
        <v/>
      </c>
      <c r="BI262" s="15" t="str">
        <f aca="false">IF($BB262="","",IFERROR(INDEX('Denial Codes'!$C:$C,MATCH(LEFT($BB262,FIND(" - ",$BB262&amp;" - ")+2)&amp;"*",'Denial Codes'!$A:$A,0)),""))</f>
        <v>Referral / referring provider</v>
      </c>
      <c r="BJ262" s="15" t="str">
        <f aca="false">IF($BA262="","",IFERROR(INDEX(Lists!$B:$B,MATCH(TRIM($BA262),Lists!$A:$A,0))&amp;"",""))</f>
        <v>Get a valid referral or correct the referring provider, then resubmit.</v>
      </c>
    </row>
    <row r="263" customFormat="false" ht="15" hidden="false" customHeight="false" outlineLevel="0" collapsed="false">
      <c r="A263" s="7" t="s">
        <v>16</v>
      </c>
      <c r="B263" s="7" t="s">
        <v>1247</v>
      </c>
      <c r="C263" s="8" t="n">
        <v>554160609</v>
      </c>
      <c r="D263" s="9" t="n">
        <v>46134</v>
      </c>
      <c r="E263" s="10" t="s">
        <v>1248</v>
      </c>
      <c r="F263" s="11" t="n">
        <v>46108</v>
      </c>
      <c r="G263" s="10" t="s">
        <v>1122</v>
      </c>
      <c r="H263" s="10" t="s">
        <v>260</v>
      </c>
      <c r="I263" s="10" t="s">
        <v>1122</v>
      </c>
      <c r="J263" s="10" t="s">
        <v>209</v>
      </c>
      <c r="K263" s="9" t="n">
        <v>46268</v>
      </c>
      <c r="L263" s="12" t="str">
        <f aca="true">IF($O263="","",$O263-TODAY())</f>
        <v/>
      </c>
      <c r="M263" s="12" t="str">
        <f aca="true">IF(AND(TRIM($A263)="Finalized",$K263&lt;&gt;""),"",IF($D263="","",$D263+365-TODAY()))</f>
        <v/>
      </c>
      <c r="N263" s="12" t="str">
        <f aca="true">IF(AND(TRIM($A263)="Finalized",$K263&lt;&gt;""),"",IF($D263="","",$D263+120-TODAY()))</f>
        <v/>
      </c>
      <c r="O263" s="11" t="str">
        <f aca="false">IF(AND(TRIM($A263)="Finalized",$K263&lt;&gt;""),"",DATE(2027,3,27))</f>
        <v/>
      </c>
      <c r="P263" s="10" t="s">
        <v>114</v>
      </c>
      <c r="Q263" s="10" t="s">
        <v>115</v>
      </c>
      <c r="R263" s="10" t="s">
        <v>114</v>
      </c>
      <c r="S263" s="10" t="s">
        <v>116</v>
      </c>
      <c r="T263" s="10" t="s">
        <v>117</v>
      </c>
      <c r="U263" s="10" t="s">
        <v>116</v>
      </c>
      <c r="V263" s="10" t="s">
        <v>167</v>
      </c>
      <c r="W263" s="10" t="s">
        <v>183</v>
      </c>
      <c r="X263" s="10"/>
      <c r="Y263" s="10"/>
      <c r="Z263" s="10"/>
      <c r="AA263" s="10" t="s">
        <v>197</v>
      </c>
      <c r="AB263" s="8" t="n">
        <f aca="true">IF($F263="","",TODAY()-$F263)</f>
        <v>203</v>
      </c>
      <c r="AC263" s="10" t="s">
        <v>184</v>
      </c>
      <c r="AD263" s="10" t="s">
        <v>211</v>
      </c>
      <c r="AE263" s="10"/>
      <c r="AF263" s="10"/>
      <c r="AG263" s="10"/>
      <c r="AH263" s="10"/>
      <c r="AI263" s="10"/>
      <c r="AJ263" s="10" t="s">
        <v>852</v>
      </c>
      <c r="AK263" s="10"/>
      <c r="AL263" s="10"/>
      <c r="AM263" s="10"/>
      <c r="AN263" s="8" t="n">
        <v>559120425</v>
      </c>
      <c r="AO263" s="10" t="s">
        <v>255</v>
      </c>
      <c r="AP263" s="10" t="s">
        <v>188</v>
      </c>
      <c r="AQ263" s="11" t="n">
        <v>46119</v>
      </c>
      <c r="AR263" s="13"/>
      <c r="AS263" s="13"/>
      <c r="AT263" s="13"/>
      <c r="AU263" s="13"/>
      <c r="AV263" s="13" t="s">
        <v>659</v>
      </c>
      <c r="AW263" s="13"/>
      <c r="AX263" s="13" t="s">
        <v>659</v>
      </c>
      <c r="AY263" s="7" t="s">
        <v>363</v>
      </c>
      <c r="AZ263" s="7" t="s">
        <v>159</v>
      </c>
      <c r="BA263" s="7" t="s">
        <v>45</v>
      </c>
      <c r="BB263" s="7"/>
      <c r="BC263" s="7"/>
      <c r="BD263" s="9"/>
      <c r="BE263" s="7"/>
      <c r="BF263" s="14" t="str">
        <f aca="true">IF(TRIM($A263)="Finalized","Closed",IF($BD263="","No review date set",IF($BD263&lt;TODAY(),"OVERDUE",IF($BD263-TODAY()&lt;=7,"Due within 7 days","Scheduled"))))</f>
        <v>Closed</v>
      </c>
      <c r="BG263" s="14" t="n">
        <f aca="true">IF($K263="","",TODAY()-$K263)</f>
        <v>43</v>
      </c>
      <c r="BH263" s="15" t="str">
        <f aca="false">IFERROR(LEFT(IF($B263="","Notes, ","")&amp;IF($K263="","Latest Date Worked, ","")&amp;IF($AY263="","Last Action, ","")&amp;IF(AND(OR(TRIM($A263)="Denied",TRIM($A263)="Rejected"),$BA263=""),"Denial Reason, ","")&amp;IF(AND(TRIM($A263)="Denied",$BB263="",TRIM($BA263)&lt;&gt;"NO DENIAL"),"Denial Code, ","")&amp;IF(AND(TRIM($A263)&lt;&gt;"Finalized",$BD263=""),"Next Review Date, ","")&amp;IF(AND(TRIM($A263)&lt;&gt;"Finalized",$BE263=""),"Next Step, ","")&amp;IF(AND(TRIM($A263)="Finalized",$AV263="",$AR263="",$AT263="",$AX263="",$AW263=""),"CPT outcome, ",""),LEN(IF($B263="","Notes, ","")&amp;IF($K263="","Latest Date Worked, ","")&amp;IF($AY263="","Last Action, ","")&amp;IF(AND(OR(TRIM($A263)="Denied",TRIM($A263)="Rejected"),$BA263=""),"Denial Reason, ","")&amp;IF(AND(TRIM($A263)="Denied",$BB263="",TRIM($BA263)&lt;&gt;"NO DENIAL"),"Denial Code, ","")&amp;IF(AND(TRIM($A263)&lt;&gt;"Finalized",$BD263=""),"Next Review Date, ","")&amp;IF(AND(TRIM($A263)&lt;&gt;"Finalized",$BE263=""),"Next Step, ","")&amp;IF(AND(TRIM($A263)="Finalized",$AV263="",$AR263="",$AT263="",$AX263="",$AW263=""),"CPT outcome, ",""))-2),"")</f>
        <v/>
      </c>
      <c r="BI263" s="15" t="str">
        <f aca="false">IF($BB263="","",IFERROR(INDEX('Denial Codes'!$C:$C,MATCH(LEFT($BB263,FIND(" - ",$BB263&amp;" - ")+2)&amp;"*",'Denial Codes'!$A:$A,0)),""))</f>
        <v/>
      </c>
      <c r="BJ263" s="15" t="str">
        <f aca="false">IF($BA263="","",IFERROR(INDEX(Lists!$B:$B,MATCH(TRIM($BA263),Lists!$A:$A,0))&amp;"",""))</f>
        <v>Get the other insurance and primary EOB, update COB with the payer and bill primary first.</v>
      </c>
    </row>
    <row r="264" customFormat="false" ht="15" hidden="false" customHeight="false" outlineLevel="0" collapsed="false">
      <c r="A264" s="7" t="s">
        <v>16</v>
      </c>
      <c r="B264" s="7" t="s">
        <v>1243</v>
      </c>
      <c r="C264" s="8" t="n">
        <v>554186385</v>
      </c>
      <c r="D264" s="9" t="n">
        <v>46126</v>
      </c>
      <c r="E264" s="10" t="s">
        <v>1249</v>
      </c>
      <c r="F264" s="11" t="n">
        <v>46108</v>
      </c>
      <c r="G264" s="10" t="s">
        <v>145</v>
      </c>
      <c r="H264" s="10" t="s">
        <v>260</v>
      </c>
      <c r="I264" s="10" t="s">
        <v>145</v>
      </c>
      <c r="J264" s="10" t="s">
        <v>894</v>
      </c>
      <c r="K264" s="9" t="n">
        <v>46279</v>
      </c>
      <c r="L264" s="12" t="str">
        <f aca="true">IF($O264="","",$O264-TODAY())</f>
        <v/>
      </c>
      <c r="M264" s="12" t="str">
        <f aca="true">IF(AND(TRIM($A264)="Finalized",$K264&lt;&gt;""),"",IF($D264="","",$D264+365-TODAY()))</f>
        <v/>
      </c>
      <c r="N264" s="12" t="str">
        <f aca="true">IF(AND(TRIM($A264)="Finalized",$K264&lt;&gt;""),"",IF($D264="","",$D264+120-TODAY()))</f>
        <v/>
      </c>
      <c r="O264" s="11" t="str">
        <f aca="false">IF(AND(TRIM($A264)="Finalized",$K264&lt;&gt;""),"",DATE(2027,3,27))</f>
        <v/>
      </c>
      <c r="P264" s="10" t="s">
        <v>114</v>
      </c>
      <c r="Q264" s="10" t="s">
        <v>115</v>
      </c>
      <c r="R264" s="10" t="s">
        <v>114</v>
      </c>
      <c r="S264" s="10" t="s">
        <v>116</v>
      </c>
      <c r="T264" s="10" t="s">
        <v>117</v>
      </c>
      <c r="U264" s="10" t="s">
        <v>116</v>
      </c>
      <c r="V264" s="10" t="s">
        <v>167</v>
      </c>
      <c r="W264" s="10" t="s">
        <v>132</v>
      </c>
      <c r="X264" s="10" t="s">
        <v>621</v>
      </c>
      <c r="Y264" s="10"/>
      <c r="Z264" s="10"/>
      <c r="AA264" s="10" t="s">
        <v>197</v>
      </c>
      <c r="AB264" s="8" t="n">
        <f aca="true">IF($F264="","",TODAY()-$F264)</f>
        <v>203</v>
      </c>
      <c r="AC264" s="10" t="s">
        <v>895</v>
      </c>
      <c r="AD264" s="10"/>
      <c r="AE264" s="10"/>
      <c r="AF264" s="10"/>
      <c r="AG264" s="10"/>
      <c r="AH264" s="10"/>
      <c r="AI264" s="10"/>
      <c r="AJ264" s="10" t="s">
        <v>686</v>
      </c>
      <c r="AK264" s="10"/>
      <c r="AL264" s="10"/>
      <c r="AM264" s="10"/>
      <c r="AN264" s="8" t="n">
        <v>557570916</v>
      </c>
      <c r="AO264" s="10" t="s">
        <v>187</v>
      </c>
      <c r="AP264" s="10" t="s">
        <v>175</v>
      </c>
      <c r="AQ264" s="11" t="n">
        <v>46112</v>
      </c>
      <c r="AR264" s="13"/>
      <c r="AS264" s="13"/>
      <c r="AT264" s="13"/>
      <c r="AU264" s="13"/>
      <c r="AV264" s="13" t="s">
        <v>895</v>
      </c>
      <c r="AW264" s="13"/>
      <c r="AX264" s="13"/>
      <c r="AY264" s="7" t="s">
        <v>363</v>
      </c>
      <c r="AZ264" s="7" t="s">
        <v>159</v>
      </c>
      <c r="BA264" s="7" t="s">
        <v>35</v>
      </c>
      <c r="BB264" s="7" t="s">
        <v>559</v>
      </c>
      <c r="BC264" s="7"/>
      <c r="BD264" s="9"/>
      <c r="BE264" s="7"/>
      <c r="BF264" s="14" t="str">
        <f aca="true">IF(TRIM($A264)="Finalized","Closed",IF($BD264="","No review date set",IF($BD264&lt;TODAY(),"OVERDUE",IF($BD264-TODAY()&lt;=7,"Due within 7 days","Scheduled"))))</f>
        <v>Closed</v>
      </c>
      <c r="BG264" s="14" t="n">
        <f aca="true">IF($K264="","",TODAY()-$K264)</f>
        <v>32</v>
      </c>
      <c r="BH264" s="15" t="str">
        <f aca="false">IFERROR(LEFT(IF($B264="","Notes, ","")&amp;IF($K264="","Latest Date Worked, ","")&amp;IF($AY264="","Last Action, ","")&amp;IF(AND(OR(TRIM($A264)="Denied",TRIM($A264)="Rejected"),$BA264=""),"Denial Reason, ","")&amp;IF(AND(TRIM($A264)="Denied",$BB264="",TRIM($BA264)&lt;&gt;"NO DENIAL"),"Denial Code, ","")&amp;IF(AND(TRIM($A264)&lt;&gt;"Finalized",$BD264=""),"Next Review Date, ","")&amp;IF(AND(TRIM($A264)&lt;&gt;"Finalized",$BE264=""),"Next Step, ","")&amp;IF(AND(TRIM($A264)="Finalized",$AV264="",$AR264="",$AT264="",$AX264="",$AW264=""),"CPT outcome, ",""),LEN(IF($B264="","Notes, ","")&amp;IF($K264="","Latest Date Worked, ","")&amp;IF($AY264="","Last Action, ","")&amp;IF(AND(OR(TRIM($A264)="Denied",TRIM($A264)="Rejected"),$BA264=""),"Denial Reason, ","")&amp;IF(AND(TRIM($A264)="Denied",$BB264="",TRIM($BA264)&lt;&gt;"NO DENIAL"),"Denial Code, ","")&amp;IF(AND(TRIM($A264)&lt;&gt;"Finalized",$BD264=""),"Next Review Date, ","")&amp;IF(AND(TRIM($A264)&lt;&gt;"Finalized",$BE264=""),"Next Step, ","")&amp;IF(AND(TRIM($A264)="Finalized",$AV264="",$AR264="",$AT264="",$AX264="",$AW264=""),"CPT outcome, ",""))-2),"")</f>
        <v/>
      </c>
      <c r="BI264" s="15" t="str">
        <f aca="false">IF($BB264="","",IFERROR(INDEX('Denial Codes'!$C:$C,MATCH(LEFT($BB264,FIND(" - ",$BB264&amp;" - ")+2)&amp;"*",'Denial Codes'!$A:$A,0)),""))</f>
        <v>Timely filing</v>
      </c>
      <c r="BJ264" s="15" t="str">
        <f aca="false">IF($BA264="","",IFERROR(INDEX(Lists!$B:$B,MATCH(TRIM($BA264),Lists!$A:$A,0))&amp;"",""))</f>
        <v>Find proof of timely filing (clearinghouse acceptance or earlier submission) and appeal with it; if none, adjust the balance.</v>
      </c>
    </row>
    <row r="265" customFormat="false" ht="15" hidden="false" customHeight="false" outlineLevel="0" collapsed="false">
      <c r="A265" s="7" t="s">
        <v>16</v>
      </c>
      <c r="B265" s="7" t="s">
        <v>1250</v>
      </c>
      <c r="C265" s="8" t="n">
        <v>554403926</v>
      </c>
      <c r="D265" s="9" t="n">
        <v>46125</v>
      </c>
      <c r="E265" s="10" t="s">
        <v>1251</v>
      </c>
      <c r="F265" s="11" t="n">
        <v>46111</v>
      </c>
      <c r="G265" s="10" t="s">
        <v>260</v>
      </c>
      <c r="H265" s="10" t="s">
        <v>260</v>
      </c>
      <c r="I265" s="10" t="s">
        <v>746</v>
      </c>
      <c r="J265" s="10" t="s">
        <v>400</v>
      </c>
      <c r="K265" s="9" t="n">
        <v>46268</v>
      </c>
      <c r="L265" s="12" t="str">
        <f aca="true">IF($O265="","",$O265-TODAY())</f>
        <v/>
      </c>
      <c r="M265" s="12" t="str">
        <f aca="true">IF(AND(TRIM($A265)="Finalized",$K265&lt;&gt;""),"",IF($D265="","",$D265+365-TODAY()))</f>
        <v/>
      </c>
      <c r="N265" s="12" t="str">
        <f aca="true">IF(AND(TRIM($A265)="Finalized",$K265&lt;&gt;""),"",IF($D265="","",$D265+120-TODAY()))</f>
        <v/>
      </c>
      <c r="O265" s="11" t="str">
        <f aca="false">IF(AND(TRIM($A265)="Finalized",$K265&lt;&gt;""),"",DATE(2027,3,30))</f>
        <v/>
      </c>
      <c r="P265" s="10" t="s">
        <v>114</v>
      </c>
      <c r="Q265" s="10" t="s">
        <v>115</v>
      </c>
      <c r="R265" s="10" t="s">
        <v>114</v>
      </c>
      <c r="S265" s="10" t="s">
        <v>116</v>
      </c>
      <c r="T265" s="10" t="s">
        <v>117</v>
      </c>
      <c r="U265" s="10" t="s">
        <v>116</v>
      </c>
      <c r="V265" s="10" t="s">
        <v>167</v>
      </c>
      <c r="W265" s="10" t="s">
        <v>183</v>
      </c>
      <c r="X265" s="10"/>
      <c r="Y265" s="10"/>
      <c r="Z265" s="10"/>
      <c r="AA265" s="10" t="s">
        <v>197</v>
      </c>
      <c r="AB265" s="8" t="n">
        <f aca="true">IF($F265="","",TODAY()-$F265)</f>
        <v>200</v>
      </c>
      <c r="AC265" s="10" t="s">
        <v>185</v>
      </c>
      <c r="AD265" s="10" t="s">
        <v>184</v>
      </c>
      <c r="AE265" s="10"/>
      <c r="AF265" s="10"/>
      <c r="AG265" s="10"/>
      <c r="AH265" s="10"/>
      <c r="AI265" s="10"/>
      <c r="AJ265" s="10" t="s">
        <v>186</v>
      </c>
      <c r="AK265" s="10"/>
      <c r="AL265" s="10"/>
      <c r="AM265" s="10"/>
      <c r="AN265" s="8"/>
      <c r="AO265" s="10" t="s">
        <v>326</v>
      </c>
      <c r="AP265" s="10" t="s">
        <v>308</v>
      </c>
      <c r="AQ265" s="11" t="n">
        <v>46119</v>
      </c>
      <c r="AR265" s="13"/>
      <c r="AS265" s="13"/>
      <c r="AT265" s="13" t="s">
        <v>189</v>
      </c>
      <c r="AU265" s="13" t="s">
        <v>559</v>
      </c>
      <c r="AV265" s="13"/>
      <c r="AW265" s="13"/>
      <c r="AX265" s="13"/>
      <c r="AY265" s="7" t="s">
        <v>363</v>
      </c>
      <c r="AZ265" s="7" t="s">
        <v>159</v>
      </c>
      <c r="BA265" s="7" t="s">
        <v>35</v>
      </c>
      <c r="BB265" s="7" t="s">
        <v>559</v>
      </c>
      <c r="BC265" s="7"/>
      <c r="BD265" s="9"/>
      <c r="BE265" s="7"/>
      <c r="BF265" s="14" t="str">
        <f aca="true">IF(TRIM($A265)="Finalized","Closed",IF($BD265="","No review date set",IF($BD265&lt;TODAY(),"OVERDUE",IF($BD265-TODAY()&lt;=7,"Due within 7 days","Scheduled"))))</f>
        <v>Closed</v>
      </c>
      <c r="BG265" s="14" t="n">
        <f aca="true">IF($K265="","",TODAY()-$K265)</f>
        <v>43</v>
      </c>
      <c r="BH265" s="15" t="str">
        <f aca="false">IFERROR(LEFT(IF($B265="","Notes, ","")&amp;IF($K265="","Latest Date Worked, ","")&amp;IF($AY265="","Last Action, ","")&amp;IF(AND(OR(TRIM($A265)="Denied",TRIM($A265)="Rejected"),$BA265=""),"Denial Reason, ","")&amp;IF(AND(TRIM($A265)="Denied",$BB265="",TRIM($BA265)&lt;&gt;"NO DENIAL"),"Denial Code, ","")&amp;IF(AND(TRIM($A265)&lt;&gt;"Finalized",$BD265=""),"Next Review Date, ","")&amp;IF(AND(TRIM($A265)&lt;&gt;"Finalized",$BE265=""),"Next Step, ","")&amp;IF(AND(TRIM($A265)="Finalized",$AV265="",$AR265="",$AT265="",$AX265="",$AW265=""),"CPT outcome, ",""),LEN(IF($B265="","Notes, ","")&amp;IF($K265="","Latest Date Worked, ","")&amp;IF($AY265="","Last Action, ","")&amp;IF(AND(OR(TRIM($A265)="Denied",TRIM($A265)="Rejected"),$BA265=""),"Denial Reason, ","")&amp;IF(AND(TRIM($A265)="Denied",$BB265="",TRIM($BA265)&lt;&gt;"NO DENIAL"),"Denial Code, ","")&amp;IF(AND(TRIM($A265)&lt;&gt;"Finalized",$BD265=""),"Next Review Date, ","")&amp;IF(AND(TRIM($A265)&lt;&gt;"Finalized",$BE265=""),"Next Step, ","")&amp;IF(AND(TRIM($A265)="Finalized",$AV265="",$AR265="",$AT265="",$AX265="",$AW265=""),"CPT outcome, ",""))-2),"")</f>
        <v/>
      </c>
      <c r="BI265" s="15" t="str">
        <f aca="false">IF($BB265="","",IFERROR(INDEX('Denial Codes'!$C:$C,MATCH(LEFT($BB265,FIND(" - ",$BB265&amp;" - ")+2)&amp;"*",'Denial Codes'!$A:$A,0)),""))</f>
        <v>Timely filing</v>
      </c>
      <c r="BJ265" s="15" t="str">
        <f aca="false">IF($BA265="","",IFERROR(INDEX(Lists!$B:$B,MATCH(TRIM($BA265),Lists!$A:$A,0))&amp;"",""))</f>
        <v>Find proof of timely filing (clearinghouse acceptance or earlier submission) and appeal with it; if none, adjust the balance.</v>
      </c>
    </row>
    <row r="266" customFormat="false" ht="15" hidden="false" customHeight="false" outlineLevel="0" collapsed="false">
      <c r="A266" s="7" t="s">
        <v>17</v>
      </c>
      <c r="B266" s="7" t="s">
        <v>1226</v>
      </c>
      <c r="C266" s="8" t="n">
        <v>571606263</v>
      </c>
      <c r="D266" s="9" t="n">
        <v>46126</v>
      </c>
      <c r="E266" s="10" t="s">
        <v>1252</v>
      </c>
      <c r="F266" s="11" t="n">
        <v>46112</v>
      </c>
      <c r="G266" s="10" t="s">
        <v>260</v>
      </c>
      <c r="H266" s="10" t="s">
        <v>260</v>
      </c>
      <c r="I266" s="10" t="s">
        <v>180</v>
      </c>
      <c r="J266" s="10" t="s">
        <v>486</v>
      </c>
      <c r="K266" s="9" t="n">
        <v>46278</v>
      </c>
      <c r="L266" s="12" t="n">
        <f aca="true">IF($O266="","",$O266-TODAY())</f>
        <v>166</v>
      </c>
      <c r="M266" s="12" t="n">
        <f aca="true">IF(AND(TRIM($A266)="Finalized",$K266&lt;&gt;""),"",IF($D266="","",$D266+365-TODAY()))</f>
        <v>180</v>
      </c>
      <c r="N266" s="12" t="n">
        <f aca="true">IF(AND(TRIM($A266)="Finalized",$K266&lt;&gt;""),"",IF($D266="","",$D266+120-TODAY()))</f>
        <v>-65</v>
      </c>
      <c r="O266" s="11" t="n">
        <f aca="false">IF(AND(TRIM($A266)="Finalized",$K266&lt;&gt;""),"",DATE(2027,3,31))</f>
        <v>46477</v>
      </c>
      <c r="P266" s="10" t="s">
        <v>114</v>
      </c>
      <c r="Q266" s="10" t="s">
        <v>115</v>
      </c>
      <c r="R266" s="10" t="s">
        <v>114</v>
      </c>
      <c r="S266" s="10" t="s">
        <v>116</v>
      </c>
      <c r="T266" s="10" t="s">
        <v>117</v>
      </c>
      <c r="U266" s="10" t="s">
        <v>116</v>
      </c>
      <c r="V266" s="10" t="s">
        <v>167</v>
      </c>
      <c r="W266" s="10" t="s">
        <v>196</v>
      </c>
      <c r="X266" s="10"/>
      <c r="Y266" s="10"/>
      <c r="Z266" s="10"/>
      <c r="AA266" s="10" t="s">
        <v>197</v>
      </c>
      <c r="AB266" s="8" t="n">
        <f aca="true">IF($F266="","",TODAY()-$F266)</f>
        <v>199</v>
      </c>
      <c r="AC266" s="10" t="s">
        <v>198</v>
      </c>
      <c r="AD266" s="10" t="s">
        <v>487</v>
      </c>
      <c r="AE266" s="10"/>
      <c r="AF266" s="10"/>
      <c r="AG266" s="10"/>
      <c r="AH266" s="10"/>
      <c r="AI266" s="10"/>
      <c r="AJ266" s="10" t="s">
        <v>1253</v>
      </c>
      <c r="AK266" s="10" t="s">
        <v>633</v>
      </c>
      <c r="AL266" s="10" t="s">
        <v>267</v>
      </c>
      <c r="AM266" s="10"/>
      <c r="AN266" s="8"/>
      <c r="AO266" s="10" t="s">
        <v>201</v>
      </c>
      <c r="AP266" s="10" t="s">
        <v>202</v>
      </c>
      <c r="AQ266" s="11" t="n">
        <v>46121</v>
      </c>
      <c r="AR266" s="13"/>
      <c r="AS266" s="13"/>
      <c r="AT266" s="13"/>
      <c r="AU266" s="13"/>
      <c r="AV266" s="13" t="s">
        <v>489</v>
      </c>
      <c r="AW266" s="13"/>
      <c r="AX266" s="13" t="s">
        <v>489</v>
      </c>
      <c r="AY266" s="7" t="s">
        <v>159</v>
      </c>
      <c r="AZ266" s="7"/>
      <c r="BA266" s="7" t="s">
        <v>48</v>
      </c>
      <c r="BB266" s="7"/>
      <c r="BC266" s="7"/>
      <c r="BD266" s="9" t="n">
        <v>46308</v>
      </c>
      <c r="BE266" s="7"/>
      <c r="BF266" s="14" t="str">
        <f aca="true">IF(TRIM($A266)="Finalized","Closed",IF($BD266="","No review date set",IF($BD266&lt;TODAY(),"OVERDUE",IF($BD266-TODAY()&lt;=7,"Due within 7 days","Scheduled"))))</f>
        <v>OVERDUE</v>
      </c>
      <c r="BG266" s="14" t="n">
        <f aca="true">IF($K266="","",TODAY()-$K266)</f>
        <v>33</v>
      </c>
      <c r="BH266" s="15" t="str">
        <f aca="false">IFERROR(LEFT(IF($B266="","Notes, ","")&amp;IF($K266="","Latest Date Worked, ","")&amp;IF($AY266="","Last Action, ","")&amp;IF(AND(OR(TRIM($A266)="Denied",TRIM($A266)="Rejected"),$BA266=""),"Denial Reason, ","")&amp;IF(AND(TRIM($A266)="Denied",$BB266="",TRIM($BA266)&lt;&gt;"NO DENIAL"),"Denial Code, ","")&amp;IF(AND(TRIM($A266)&lt;&gt;"Finalized",$BD266=""),"Next Review Date, ","")&amp;IF(AND(TRIM($A266)&lt;&gt;"Finalized",$BE266=""),"Next Step, ","")&amp;IF(AND(TRIM($A266)="Finalized",$AV266="",$AR266="",$AT266="",$AX266="",$AW266=""),"CPT outcome, ",""),LEN(IF($B266="","Notes, ","")&amp;IF($K266="","Latest Date Worked, ","")&amp;IF($AY266="","Last Action, ","")&amp;IF(AND(OR(TRIM($A266)="Denied",TRIM($A266)="Rejected"),$BA266=""),"Denial Reason, ","")&amp;IF(AND(TRIM($A266)="Denied",$BB266="",TRIM($BA266)&lt;&gt;"NO DENIAL"),"Denial Code, ","")&amp;IF(AND(TRIM($A266)&lt;&gt;"Finalized",$BD266=""),"Next Review Date, ","")&amp;IF(AND(TRIM($A266)&lt;&gt;"Finalized",$BE266=""),"Next Step, ","")&amp;IF(AND(TRIM($A266)="Finalized",$AV266="",$AR266="",$AT266="",$AX266="",$AW266=""),"CPT outcome, ",""))-2),"")</f>
        <v>Denial Code, Next Step</v>
      </c>
      <c r="BI266" s="15" t="str">
        <f aca="false">IF($BB266="","",IFERROR(INDEX('Denial Codes'!$C:$C,MATCH(LEFT($BB266,FIND(" - ",$BB266&amp;" - ")+2)&amp;"*",'Denial Codes'!$A:$A,0)),""))</f>
        <v/>
      </c>
      <c r="BJ266" s="15" t="str">
        <f aca="false">IF($BA266="","",IFERROR(INDEX(Lists!$B:$B,MATCH(TRIM($BA266),Lists!$A:$A,0))&amp;"",""))</f>
        <v>Get a valid referral or correct the referring provider, then resubmit.</v>
      </c>
    </row>
    <row r="267" customFormat="false" ht="15" hidden="false" customHeight="false" outlineLevel="0" collapsed="false">
      <c r="A267" s="7" t="s">
        <v>16</v>
      </c>
      <c r="B267" s="7" t="s">
        <v>1254</v>
      </c>
      <c r="C267" s="8" t="n">
        <v>554943318</v>
      </c>
      <c r="D267" s="9" t="n">
        <v>46157</v>
      </c>
      <c r="E267" s="10" t="s">
        <v>1255</v>
      </c>
      <c r="F267" s="11" t="n">
        <v>46113</v>
      </c>
      <c r="G267" s="10" t="s">
        <v>260</v>
      </c>
      <c r="H267" s="10" t="s">
        <v>260</v>
      </c>
      <c r="I267" s="10" t="s">
        <v>129</v>
      </c>
      <c r="J267" s="10" t="s">
        <v>209</v>
      </c>
      <c r="K267" s="9" t="n">
        <v>46265</v>
      </c>
      <c r="L267" s="12" t="str">
        <f aca="true">IF($O267="","",$O267-TODAY())</f>
        <v/>
      </c>
      <c r="M267" s="12" t="str">
        <f aca="true">IF(AND(TRIM($A267)="Finalized",$K267&lt;&gt;""),"",IF($D267="","",$D267+365-TODAY()))</f>
        <v/>
      </c>
      <c r="N267" s="12" t="str">
        <f aca="true">IF(AND(TRIM($A267)="Finalized",$K267&lt;&gt;""),"",IF($D267="","",$D267+120-TODAY()))</f>
        <v/>
      </c>
      <c r="O267" s="11" t="str">
        <f aca="false">IF(AND(TRIM($A267)="Finalized",$K267&lt;&gt;""),"",DATE(2027,4,1))</f>
        <v/>
      </c>
      <c r="P267" s="10" t="s">
        <v>114</v>
      </c>
      <c r="Q267" s="10" t="s">
        <v>115</v>
      </c>
      <c r="R267" s="10" t="s">
        <v>114</v>
      </c>
      <c r="S267" s="10" t="s">
        <v>116</v>
      </c>
      <c r="T267" s="10" t="s">
        <v>117</v>
      </c>
      <c r="U267" s="10" t="s">
        <v>116</v>
      </c>
      <c r="V267" s="10" t="s">
        <v>221</v>
      </c>
      <c r="W267" s="10" t="s">
        <v>183</v>
      </c>
      <c r="X267" s="10"/>
      <c r="Y267" s="10"/>
      <c r="Z267" s="10"/>
      <c r="AA267" s="10" t="s">
        <v>197</v>
      </c>
      <c r="AB267" s="8" t="n">
        <f aca="true">IF($F267="","",TODAY()-$F267)</f>
        <v>198</v>
      </c>
      <c r="AC267" s="10" t="s">
        <v>184</v>
      </c>
      <c r="AD267" s="10" t="s">
        <v>211</v>
      </c>
      <c r="AE267" s="10"/>
      <c r="AF267" s="10"/>
      <c r="AG267" s="10"/>
      <c r="AH267" s="10"/>
      <c r="AI267" s="10"/>
      <c r="AJ267" s="10" t="s">
        <v>340</v>
      </c>
      <c r="AK267" s="10"/>
      <c r="AL267" s="10"/>
      <c r="AM267" s="10"/>
      <c r="AN267" s="8"/>
      <c r="AO267" s="10" t="s">
        <v>341</v>
      </c>
      <c r="AP267" s="10" t="s">
        <v>188</v>
      </c>
      <c r="AQ267" s="11" t="n">
        <v>46153</v>
      </c>
      <c r="AR267" s="13"/>
      <c r="AS267" s="13"/>
      <c r="AT267" s="13"/>
      <c r="AU267" s="13"/>
      <c r="AV267" s="13" t="s">
        <v>659</v>
      </c>
      <c r="AW267" s="13"/>
      <c r="AX267" s="13" t="s">
        <v>659</v>
      </c>
      <c r="AY267" s="7" t="s">
        <v>363</v>
      </c>
      <c r="AZ267" s="7" t="s">
        <v>159</v>
      </c>
      <c r="BA267" s="7" t="s">
        <v>44</v>
      </c>
      <c r="BB267" s="7" t="s">
        <v>1160</v>
      </c>
      <c r="BC267" s="7"/>
      <c r="BD267" s="9"/>
      <c r="BE267" s="7"/>
      <c r="BF267" s="14" t="str">
        <f aca="true">IF(TRIM($A267)="Finalized","Closed",IF($BD267="","No review date set",IF($BD267&lt;TODAY(),"OVERDUE",IF($BD267-TODAY()&lt;=7,"Due within 7 days","Scheduled"))))</f>
        <v>Closed</v>
      </c>
      <c r="BG267" s="14" t="n">
        <f aca="true">IF($K267="","",TODAY()-$K267)</f>
        <v>46</v>
      </c>
      <c r="BH267" s="15" t="str">
        <f aca="false">IFERROR(LEFT(IF($B267="","Notes, ","")&amp;IF($K267="","Latest Date Worked, ","")&amp;IF($AY267="","Last Action, ","")&amp;IF(AND(OR(TRIM($A267)="Denied",TRIM($A267)="Rejected"),$BA267=""),"Denial Reason, ","")&amp;IF(AND(TRIM($A267)="Denied",$BB267="",TRIM($BA267)&lt;&gt;"NO DENIAL"),"Denial Code, ","")&amp;IF(AND(TRIM($A267)&lt;&gt;"Finalized",$BD267=""),"Next Review Date, ","")&amp;IF(AND(TRIM($A267)&lt;&gt;"Finalized",$BE267=""),"Next Step, ","")&amp;IF(AND(TRIM($A267)="Finalized",$AV267="",$AR267="",$AT267="",$AX267="",$AW267=""),"CPT outcome, ",""),LEN(IF($B267="","Notes, ","")&amp;IF($K267="","Latest Date Worked, ","")&amp;IF($AY267="","Last Action, ","")&amp;IF(AND(OR(TRIM($A267)="Denied",TRIM($A267)="Rejected"),$BA267=""),"Denial Reason, ","")&amp;IF(AND(TRIM($A267)="Denied",$BB267="",TRIM($BA267)&lt;&gt;"NO DENIAL"),"Denial Code, ","")&amp;IF(AND(TRIM($A267)&lt;&gt;"Finalized",$BD267=""),"Next Review Date, ","")&amp;IF(AND(TRIM($A267)&lt;&gt;"Finalized",$BE267=""),"Next Step, ","")&amp;IF(AND(TRIM($A267)="Finalized",$AV267="",$AR267="",$AT267="",$AX267="",$AW267=""),"CPT outcome, ",""))-2),"")</f>
        <v/>
      </c>
      <c r="BI267" s="15" t="str">
        <f aca="false">IF($BB267="","",IFERROR(INDEX('Denial Codes'!$C:$C,MATCH(LEFT($BB267,FIND(" - ",$BB267&amp;" - ")+2)&amp;"*",'Denial Codes'!$A:$A,0)),""))</f>
        <v>Wrong payer / vendor</v>
      </c>
      <c r="BJ267" s="15" t="str">
        <f aca="false">IF($BA267="","",IFERROR(INDEX(Lists!$B:$B,MATCH(TRIM($BA267),Lists!$A:$A,0))&amp;"",""))</f>
        <v>Bill the correct payer, delegated vendor or capitated group/IPA (e.g. Optum Behavioral, Preferred Homecare).</v>
      </c>
    </row>
    <row r="268" customFormat="false" ht="15" hidden="false" customHeight="false" outlineLevel="0" collapsed="false">
      <c r="A268" s="7" t="s">
        <v>17</v>
      </c>
      <c r="B268" s="7" t="s">
        <v>1256</v>
      </c>
      <c r="C268" s="8" t="n">
        <v>555436823</v>
      </c>
      <c r="D268" s="9" t="n">
        <v>46127</v>
      </c>
      <c r="E268" s="10" t="s">
        <v>1257</v>
      </c>
      <c r="F268" s="11" t="n">
        <v>46114</v>
      </c>
      <c r="G268" s="10" t="s">
        <v>112</v>
      </c>
      <c r="H268" s="10" t="s">
        <v>112</v>
      </c>
      <c r="I268" s="10" t="s">
        <v>163</v>
      </c>
      <c r="J268" s="10" t="s">
        <v>772</v>
      </c>
      <c r="K268" s="9" t="n">
        <v>46283</v>
      </c>
      <c r="L268" s="12" t="n">
        <f aca="true">IF($O268="","",$O268-TODAY())</f>
        <v>168</v>
      </c>
      <c r="M268" s="12" t="n">
        <f aca="true">IF(AND(TRIM($A268)="Finalized",$K268&lt;&gt;""),"",IF($D268="","",$D268+365-TODAY()))</f>
        <v>181</v>
      </c>
      <c r="N268" s="12" t="n">
        <f aca="true">IF(AND(TRIM($A268)="Finalized",$K268&lt;&gt;""),"",IF($D268="","",$D268+120-TODAY()))</f>
        <v>-64</v>
      </c>
      <c r="O268" s="11" t="n">
        <f aca="false">IF(AND(TRIM($A268)="Finalized",$K268&lt;&gt;""),"",DATE(2027,4,2))</f>
        <v>46479</v>
      </c>
      <c r="P268" s="10" t="s">
        <v>114</v>
      </c>
      <c r="Q268" s="10" t="s">
        <v>115</v>
      </c>
      <c r="R268" s="10" t="s">
        <v>114</v>
      </c>
      <c r="S268" s="10" t="s">
        <v>116</v>
      </c>
      <c r="T268" s="10" t="s">
        <v>117</v>
      </c>
      <c r="U268" s="10" t="s">
        <v>116</v>
      </c>
      <c r="V268" s="10" t="s">
        <v>221</v>
      </c>
      <c r="W268" s="10" t="s">
        <v>119</v>
      </c>
      <c r="X268" s="10" t="s">
        <v>304</v>
      </c>
      <c r="Y268" s="10" t="s">
        <v>436</v>
      </c>
      <c r="Z268" s="10"/>
      <c r="AA268" s="10" t="s">
        <v>197</v>
      </c>
      <c r="AB268" s="8" t="n">
        <f aca="true">IF($F268="","",TODAY()-$F268)</f>
        <v>197</v>
      </c>
      <c r="AC268" s="10" t="s">
        <v>710</v>
      </c>
      <c r="AD268" s="10"/>
      <c r="AE268" s="10"/>
      <c r="AF268" s="10"/>
      <c r="AG268" s="10"/>
      <c r="AH268" s="10"/>
      <c r="AI268" s="10"/>
      <c r="AJ268" s="10" t="s">
        <v>1258</v>
      </c>
      <c r="AK268" s="10" t="s">
        <v>446</v>
      </c>
      <c r="AL268" s="10"/>
      <c r="AM268" s="10"/>
      <c r="AN268" s="8"/>
      <c r="AO268" s="10" t="s">
        <v>274</v>
      </c>
      <c r="AP268" s="10" t="s">
        <v>126</v>
      </c>
      <c r="AQ268" s="11" t="n">
        <v>46121</v>
      </c>
      <c r="AR268" s="13"/>
      <c r="AS268" s="13"/>
      <c r="AT268" s="13"/>
      <c r="AU268" s="13"/>
      <c r="AV268" s="13"/>
      <c r="AW268" s="13"/>
      <c r="AX268" s="13" t="s">
        <v>710</v>
      </c>
      <c r="AY268" s="7" t="s">
        <v>520</v>
      </c>
      <c r="AZ268" s="7"/>
      <c r="BA268" s="7" t="s">
        <v>34</v>
      </c>
      <c r="BB268" s="7"/>
      <c r="BC268" s="7" t="s">
        <v>1259</v>
      </c>
      <c r="BD268" s="9" t="n">
        <v>46313</v>
      </c>
      <c r="BE268" s="7"/>
      <c r="BF268" s="14" t="str">
        <f aca="true">IF(TRIM($A268)="Finalized","Closed",IF($BD268="","No review date set",IF($BD268&lt;TODAY(),"OVERDUE",IF($BD268-TODAY()&lt;=7,"Due within 7 days","Scheduled"))))</f>
        <v>Due within 7 days</v>
      </c>
      <c r="BG268" s="14" t="n">
        <f aca="true">IF($K268="","",TODAY()-$K268)</f>
        <v>28</v>
      </c>
      <c r="BH268" s="15" t="str">
        <f aca="false">IFERROR(LEFT(IF($B268="","Notes, ","")&amp;IF($K268="","Latest Date Worked, ","")&amp;IF($AY268="","Last Action, ","")&amp;IF(AND(OR(TRIM($A268)="Denied",TRIM($A268)="Rejected"),$BA268=""),"Denial Reason, ","")&amp;IF(AND(TRIM($A268)="Denied",$BB268="",TRIM($BA268)&lt;&gt;"NO DENIAL"),"Denial Code, ","")&amp;IF(AND(TRIM($A268)&lt;&gt;"Finalized",$BD268=""),"Next Review Date, ","")&amp;IF(AND(TRIM($A268)&lt;&gt;"Finalized",$BE268=""),"Next Step, ","")&amp;IF(AND(TRIM($A268)="Finalized",$AV268="",$AR268="",$AT268="",$AX268="",$AW268=""),"CPT outcome, ",""),LEN(IF($B268="","Notes, ","")&amp;IF($K268="","Latest Date Worked, ","")&amp;IF($AY268="","Last Action, ","")&amp;IF(AND(OR(TRIM($A268)="Denied",TRIM($A268)="Rejected"),$BA268=""),"Denial Reason, ","")&amp;IF(AND(TRIM($A268)="Denied",$BB268="",TRIM($BA268)&lt;&gt;"NO DENIAL"),"Denial Code, ","")&amp;IF(AND(TRIM($A268)&lt;&gt;"Finalized",$BD268=""),"Next Review Date, ","")&amp;IF(AND(TRIM($A268)&lt;&gt;"Finalized",$BE268=""),"Next Step, ","")&amp;IF(AND(TRIM($A268)="Finalized",$AV268="",$AR268="",$AT268="",$AX268="",$AW268=""),"CPT outcome, ",""))-2),"")</f>
        <v>Denial Code, Next Step</v>
      </c>
      <c r="BI268" s="15" t="str">
        <f aca="false">IF($BB268="","",IFERROR(INDEX('Denial Codes'!$C:$C,MATCH(LEFT($BB268,FIND(" - ",$BB268&amp;" - ")+2)&amp;"*",'Denial Codes'!$A:$A,0)),""))</f>
        <v/>
      </c>
      <c r="BJ268" s="15" t="str">
        <f aca="false">IF($BA268="","",IFERROR(INDEX(Lists!$B:$B,MATCH(TRIM($BA268),Lists!$A:$A,0))&amp;"",""))</f>
        <v>Check the portal for an auth; request a retro-auth or file an appeal with the auth number, then resubmit.</v>
      </c>
    </row>
    <row r="269" customFormat="false" ht="15" hidden="false" customHeight="false" outlineLevel="0" collapsed="false">
      <c r="A269" s="7" t="s">
        <v>17</v>
      </c>
      <c r="B269" s="7" t="s">
        <v>1260</v>
      </c>
      <c r="C269" s="8" t="n">
        <v>573819387</v>
      </c>
      <c r="D269" s="9" t="n">
        <v>46135</v>
      </c>
      <c r="E269" s="10" t="s">
        <v>226</v>
      </c>
      <c r="F269" s="11" t="n">
        <v>46118</v>
      </c>
      <c r="G269" s="10" t="s">
        <v>260</v>
      </c>
      <c r="H269" s="10" t="s">
        <v>260</v>
      </c>
      <c r="I269" s="10" t="s">
        <v>227</v>
      </c>
      <c r="J269" s="10" t="s">
        <v>1222</v>
      </c>
      <c r="K269" s="9" t="n">
        <v>46279</v>
      </c>
      <c r="L269" s="12" t="n">
        <f aca="true">IF($O269="","",$O269-TODAY())</f>
        <v>172</v>
      </c>
      <c r="M269" s="12" t="n">
        <f aca="true">IF(AND(TRIM($A269)="Finalized",$K269&lt;&gt;""),"",IF($D269="","",$D269+365-TODAY()))</f>
        <v>189</v>
      </c>
      <c r="N269" s="12" t="n">
        <f aca="true">IF(AND(TRIM($A269)="Finalized",$K269&lt;&gt;""),"",IF($D269="","",$D269+120-TODAY()))</f>
        <v>-56</v>
      </c>
      <c r="O269" s="11" t="n">
        <f aca="false">IF(AND(TRIM($A269)="Finalized",$K269&lt;&gt;""),"",DATE(2027,4,6))</f>
        <v>46483</v>
      </c>
      <c r="P269" s="10" t="s">
        <v>114</v>
      </c>
      <c r="Q269" s="10" t="s">
        <v>115</v>
      </c>
      <c r="R269" s="10" t="s">
        <v>114</v>
      </c>
      <c r="S269" s="10" t="s">
        <v>116</v>
      </c>
      <c r="T269" s="10" t="s">
        <v>117</v>
      </c>
      <c r="U269" s="10" t="s">
        <v>116</v>
      </c>
      <c r="V269" s="10" t="s">
        <v>221</v>
      </c>
      <c r="W269" s="10" t="s">
        <v>132</v>
      </c>
      <c r="X269" s="10"/>
      <c r="Y269" s="10"/>
      <c r="Z269" s="10"/>
      <c r="AA269" s="10" t="s">
        <v>197</v>
      </c>
      <c r="AB269" s="8" t="n">
        <f aca="true">IF($F269="","",TODAY()-$F269)</f>
        <v>193</v>
      </c>
      <c r="AC269" s="10" t="s">
        <v>545</v>
      </c>
      <c r="AD269" s="10"/>
      <c r="AE269" s="10"/>
      <c r="AF269" s="10"/>
      <c r="AG269" s="10"/>
      <c r="AH269" s="10"/>
      <c r="AI269" s="10"/>
      <c r="AJ269" s="10" t="s">
        <v>238</v>
      </c>
      <c r="AK269" s="10" t="s">
        <v>247</v>
      </c>
      <c r="AL269" s="10"/>
      <c r="AM269" s="10"/>
      <c r="AN269" s="8"/>
      <c r="AO269" s="10" t="s">
        <v>546</v>
      </c>
      <c r="AP269" s="10" t="s">
        <v>175</v>
      </c>
      <c r="AQ269" s="11" t="n">
        <v>46133</v>
      </c>
      <c r="AR269" s="13"/>
      <c r="AS269" s="13"/>
      <c r="AT269" s="13"/>
      <c r="AU269" s="13"/>
      <c r="AV269" s="13"/>
      <c r="AW269" s="13"/>
      <c r="AX269" s="13" t="s">
        <v>545</v>
      </c>
      <c r="AY269" s="7" t="s">
        <v>769</v>
      </c>
      <c r="AZ269" s="7"/>
      <c r="BA269" s="7" t="s">
        <v>34</v>
      </c>
      <c r="BB269" s="7"/>
      <c r="BC269" s="7" t="s">
        <v>1261</v>
      </c>
      <c r="BD269" s="9" t="n">
        <v>46309</v>
      </c>
      <c r="BE269" s="7"/>
      <c r="BF269" s="14" t="str">
        <f aca="true">IF(TRIM($A269)="Finalized","Closed",IF($BD269="","No review date set",IF($BD269&lt;TODAY(),"OVERDUE",IF($BD269-TODAY()&lt;=7,"Due within 7 days","Scheduled"))))</f>
        <v>OVERDUE</v>
      </c>
      <c r="BG269" s="14" t="n">
        <f aca="true">IF($K269="","",TODAY()-$K269)</f>
        <v>32</v>
      </c>
      <c r="BH269" s="15" t="str">
        <f aca="false">IFERROR(LEFT(IF($B269="","Notes, ","")&amp;IF($K269="","Latest Date Worked, ","")&amp;IF($AY269="","Last Action, ","")&amp;IF(AND(OR(TRIM($A269)="Denied",TRIM($A269)="Rejected"),$BA269=""),"Denial Reason, ","")&amp;IF(AND(TRIM($A269)="Denied",$BB269="",TRIM($BA269)&lt;&gt;"NO DENIAL"),"Denial Code, ","")&amp;IF(AND(TRIM($A269)&lt;&gt;"Finalized",$BD269=""),"Next Review Date, ","")&amp;IF(AND(TRIM($A269)&lt;&gt;"Finalized",$BE269=""),"Next Step, ","")&amp;IF(AND(TRIM($A269)="Finalized",$AV269="",$AR269="",$AT269="",$AX269="",$AW269=""),"CPT outcome, ",""),LEN(IF($B269="","Notes, ","")&amp;IF($K269="","Latest Date Worked, ","")&amp;IF($AY269="","Last Action, ","")&amp;IF(AND(OR(TRIM($A269)="Denied",TRIM($A269)="Rejected"),$BA269=""),"Denial Reason, ","")&amp;IF(AND(TRIM($A269)="Denied",$BB269="",TRIM($BA269)&lt;&gt;"NO DENIAL"),"Denial Code, ","")&amp;IF(AND(TRIM($A269)&lt;&gt;"Finalized",$BD269=""),"Next Review Date, ","")&amp;IF(AND(TRIM($A269)&lt;&gt;"Finalized",$BE269=""),"Next Step, ","")&amp;IF(AND(TRIM($A269)="Finalized",$AV269="",$AR269="",$AT269="",$AX269="",$AW269=""),"CPT outcome, ",""))-2),"")</f>
        <v>Denial Code, Next Step</v>
      </c>
      <c r="BI269" s="15" t="str">
        <f aca="false">IF($BB269="","",IFERROR(INDEX('Denial Codes'!$C:$C,MATCH(LEFT($BB269,FIND(" - ",$BB269&amp;" - ")+2)&amp;"*",'Denial Codes'!$A:$A,0)),""))</f>
        <v/>
      </c>
      <c r="BJ269" s="15" t="str">
        <f aca="false">IF($BA269="","",IFERROR(INDEX(Lists!$B:$B,MATCH(TRIM($BA269),Lists!$A:$A,0))&amp;"",""))</f>
        <v>Check the portal for an auth; request a retro-auth or file an appeal with the auth number, then resubmit.</v>
      </c>
    </row>
    <row r="270" customFormat="false" ht="15" hidden="false" customHeight="false" outlineLevel="0" collapsed="false">
      <c r="A270" s="7" t="s">
        <v>19</v>
      </c>
      <c r="B270" s="7" t="s">
        <v>1262</v>
      </c>
      <c r="C270" s="8" t="n">
        <v>556661876</v>
      </c>
      <c r="D270" s="9" t="n">
        <v>46140</v>
      </c>
      <c r="E270" s="10" t="s">
        <v>1263</v>
      </c>
      <c r="F270" s="11" t="n">
        <v>46118</v>
      </c>
      <c r="G270" s="10" t="s">
        <v>260</v>
      </c>
      <c r="H270" s="10" t="s">
        <v>260</v>
      </c>
      <c r="I270" s="10" t="s">
        <v>1264</v>
      </c>
      <c r="J270" s="10" t="s">
        <v>1222</v>
      </c>
      <c r="K270" s="9" t="n">
        <v>46279</v>
      </c>
      <c r="L270" s="12" t="n">
        <f aca="true">IF($O270="","",$O270-TODAY())</f>
        <v>172</v>
      </c>
      <c r="M270" s="12" t="n">
        <f aca="true">IF(AND(TRIM($A270)="Finalized",$K270&lt;&gt;""),"",IF($D270="","",$D270+365-TODAY()))</f>
        <v>194</v>
      </c>
      <c r="N270" s="12" t="n">
        <f aca="true">IF(AND(TRIM($A270)="Finalized",$K270&lt;&gt;""),"",IF($D270="","",$D270+120-TODAY()))</f>
        <v>-51</v>
      </c>
      <c r="O270" s="11" t="n">
        <f aca="false">IF(AND(TRIM($A270)="Finalized",$K270&lt;&gt;""),"",DATE(2027,4,6))</f>
        <v>46483</v>
      </c>
      <c r="P270" s="10" t="s">
        <v>114</v>
      </c>
      <c r="Q270" s="10" t="s">
        <v>115</v>
      </c>
      <c r="R270" s="10" t="s">
        <v>114</v>
      </c>
      <c r="S270" s="10" t="s">
        <v>116</v>
      </c>
      <c r="T270" s="10" t="s">
        <v>117</v>
      </c>
      <c r="U270" s="10" t="s">
        <v>116</v>
      </c>
      <c r="V270" s="10" t="s">
        <v>221</v>
      </c>
      <c r="W270" s="10" t="s">
        <v>132</v>
      </c>
      <c r="X270" s="10"/>
      <c r="Y270" s="10"/>
      <c r="Z270" s="10"/>
      <c r="AA270" s="10" t="s">
        <v>197</v>
      </c>
      <c r="AB270" s="8" t="n">
        <f aca="true">IF($F270="","",TODAY()-$F270)</f>
        <v>193</v>
      </c>
      <c r="AC270" s="10" t="s">
        <v>545</v>
      </c>
      <c r="AD270" s="10"/>
      <c r="AE270" s="10"/>
      <c r="AF270" s="10"/>
      <c r="AG270" s="10"/>
      <c r="AH270" s="10"/>
      <c r="AI270" s="10"/>
      <c r="AJ270" s="10" t="s">
        <v>362</v>
      </c>
      <c r="AK270" s="10" t="s">
        <v>254</v>
      </c>
      <c r="AL270" s="10"/>
      <c r="AM270" s="10"/>
      <c r="AN270" s="8"/>
      <c r="AO270" s="10" t="s">
        <v>546</v>
      </c>
      <c r="AP270" s="10" t="s">
        <v>175</v>
      </c>
      <c r="AQ270" s="11" t="n">
        <v>46133</v>
      </c>
      <c r="AR270" s="13"/>
      <c r="AS270" s="13"/>
      <c r="AT270" s="13"/>
      <c r="AU270" s="13"/>
      <c r="AV270" s="13" t="s">
        <v>545</v>
      </c>
      <c r="AW270" s="13"/>
      <c r="AX270" s="13" t="s">
        <v>545</v>
      </c>
      <c r="AY270" s="7" t="s">
        <v>233</v>
      </c>
      <c r="AZ270" s="7" t="s">
        <v>769</v>
      </c>
      <c r="BA270" s="7" t="s">
        <v>34</v>
      </c>
      <c r="BB270" s="7" t="s">
        <v>464</v>
      </c>
      <c r="BC270" s="7" t="s">
        <v>1265</v>
      </c>
      <c r="BD270" s="9" t="n">
        <v>46309</v>
      </c>
      <c r="BE270" s="7"/>
      <c r="BF270" s="14" t="str">
        <f aca="true">IF(TRIM($A270)="Finalized","Closed",IF($BD270="","No review date set",IF($BD270&lt;TODAY(),"OVERDUE",IF($BD270-TODAY()&lt;=7,"Due within 7 days","Scheduled"))))</f>
        <v>OVERDUE</v>
      </c>
      <c r="BG270" s="14" t="n">
        <f aca="true">IF($K270="","",TODAY()-$K270)</f>
        <v>32</v>
      </c>
      <c r="BH270" s="15" t="str">
        <f aca="false">IFERROR(LEFT(IF($B270="","Notes, ","")&amp;IF($K270="","Latest Date Worked, ","")&amp;IF($AY270="","Last Action, ","")&amp;IF(AND(OR(TRIM($A270)="Denied",TRIM($A270)="Rejected"),$BA270=""),"Denial Reason, ","")&amp;IF(AND(TRIM($A270)="Denied",$BB270="",TRIM($BA270)&lt;&gt;"NO DENIAL"),"Denial Code, ","")&amp;IF(AND(TRIM($A270)&lt;&gt;"Finalized",$BD270=""),"Next Review Date, ","")&amp;IF(AND(TRIM($A270)&lt;&gt;"Finalized",$BE270=""),"Next Step, ","")&amp;IF(AND(TRIM($A270)="Finalized",$AV270="",$AR270="",$AT270="",$AX270="",$AW270=""),"CPT outcome, ",""),LEN(IF($B270="","Notes, ","")&amp;IF($K270="","Latest Date Worked, ","")&amp;IF($AY270="","Last Action, ","")&amp;IF(AND(OR(TRIM($A270)="Denied",TRIM($A270)="Rejected"),$BA270=""),"Denial Reason, ","")&amp;IF(AND(TRIM($A270)="Denied",$BB270="",TRIM($BA270)&lt;&gt;"NO DENIAL"),"Denial Code, ","")&amp;IF(AND(TRIM($A270)&lt;&gt;"Finalized",$BD270=""),"Next Review Date, ","")&amp;IF(AND(TRIM($A270)&lt;&gt;"Finalized",$BE270=""),"Next Step, ","")&amp;IF(AND(TRIM($A270)="Finalized",$AV270="",$AR270="",$AT270="",$AX270="",$AW270=""),"CPT outcome, ",""))-2),"")</f>
        <v>Next Step</v>
      </c>
      <c r="BI270" s="15" t="str">
        <f aca="false">IF($BB270="","",IFERROR(INDEX('Denial Codes'!$C:$C,MATCH(LEFT($BB270,FIND(" - ",$BB270&amp;" - ")+2)&amp;"*",'Denial Codes'!$A:$A,0)),""))</f>
        <v>No authorization</v>
      </c>
      <c r="BJ270" s="15" t="str">
        <f aca="false">IF($BA270="","",IFERROR(INDEX(Lists!$B:$B,MATCH(TRIM($BA270),Lists!$A:$A,0))&amp;"",""))</f>
        <v>Check the portal for an auth; request a retro-auth or file an appeal with the auth number, then resubmit.</v>
      </c>
    </row>
    <row r="271" customFormat="false" ht="15" hidden="false" customHeight="false" outlineLevel="0" collapsed="false">
      <c r="A271" s="7" t="s">
        <v>17</v>
      </c>
      <c r="B271" s="7" t="s">
        <v>1226</v>
      </c>
      <c r="C271" s="8" t="n">
        <v>571585569</v>
      </c>
      <c r="D271" s="9" t="n">
        <v>46293</v>
      </c>
      <c r="E271" s="10" t="s">
        <v>1266</v>
      </c>
      <c r="F271" s="11" t="n">
        <v>46120</v>
      </c>
      <c r="G271" s="10" t="s">
        <v>1264</v>
      </c>
      <c r="H271" s="10" t="s">
        <v>260</v>
      </c>
      <c r="I271" s="10" t="s">
        <v>1264</v>
      </c>
      <c r="J271" s="10" t="s">
        <v>1267</v>
      </c>
      <c r="K271" s="9" t="n">
        <v>46277</v>
      </c>
      <c r="L271" s="12" t="n">
        <f aca="true">IF($O271="","",$O271-TODAY())</f>
        <v>174</v>
      </c>
      <c r="M271" s="12" t="n">
        <f aca="true">IF(AND(TRIM($A271)="Finalized",$K271&lt;&gt;""),"",IF($D271="","",$D271+365-TODAY()))</f>
        <v>347</v>
      </c>
      <c r="N271" s="12" t="n">
        <f aca="true">IF(AND(TRIM($A271)="Finalized",$K271&lt;&gt;""),"",IF($D271="","",$D271+120-TODAY()))</f>
        <v>102</v>
      </c>
      <c r="O271" s="11" t="n">
        <f aca="false">IF(AND(TRIM($A271)="Finalized",$K271&lt;&gt;""),"",DATE(2027,4,8))</f>
        <v>46485</v>
      </c>
      <c r="P271" s="10" t="s">
        <v>114</v>
      </c>
      <c r="Q271" s="10" t="s">
        <v>115</v>
      </c>
      <c r="R271" s="10" t="s">
        <v>114</v>
      </c>
      <c r="S271" s="10" t="s">
        <v>116</v>
      </c>
      <c r="T271" s="10" t="s">
        <v>117</v>
      </c>
      <c r="U271" s="10" t="s">
        <v>116</v>
      </c>
      <c r="V271" s="10" t="s">
        <v>221</v>
      </c>
      <c r="W271" s="10" t="s">
        <v>196</v>
      </c>
      <c r="X271" s="10"/>
      <c r="Y271" s="10"/>
      <c r="Z271" s="10"/>
      <c r="AA271" s="10" t="s">
        <v>197</v>
      </c>
      <c r="AB271" s="8" t="n">
        <f aca="true">IF($F271="","",TODAY()-$F271)</f>
        <v>191</v>
      </c>
      <c r="AC271" s="10" t="s">
        <v>222</v>
      </c>
      <c r="AD271" s="10" t="s">
        <v>198</v>
      </c>
      <c r="AE271" s="10" t="s">
        <v>487</v>
      </c>
      <c r="AF271" s="10"/>
      <c r="AG271" s="10"/>
      <c r="AH271" s="10"/>
      <c r="AI271" s="10"/>
      <c r="AJ271" s="10" t="s">
        <v>223</v>
      </c>
      <c r="AK271" s="10" t="s">
        <v>350</v>
      </c>
      <c r="AL271" s="10"/>
      <c r="AM271" s="10"/>
      <c r="AN271" s="8" t="n">
        <v>573776030</v>
      </c>
      <c r="AO271" s="10" t="s">
        <v>255</v>
      </c>
      <c r="AP271" s="10" t="s">
        <v>268</v>
      </c>
      <c r="AQ271" s="11" t="n">
        <v>46140</v>
      </c>
      <c r="AR271" s="13"/>
      <c r="AS271" s="13"/>
      <c r="AT271" s="13"/>
      <c r="AU271" s="13"/>
      <c r="AV271" s="13" t="s">
        <v>1268</v>
      </c>
      <c r="AW271" s="13"/>
      <c r="AX271" s="13" t="s">
        <v>1268</v>
      </c>
      <c r="AY271" s="7" t="s">
        <v>159</v>
      </c>
      <c r="AZ271" s="7"/>
      <c r="BA271" s="7" t="s">
        <v>48</v>
      </c>
      <c r="BB271" s="7" t="s">
        <v>1269</v>
      </c>
      <c r="BC271" s="7"/>
      <c r="BD271" s="9" t="n">
        <v>46307</v>
      </c>
      <c r="BE271" s="7"/>
      <c r="BF271" s="14" t="str">
        <f aca="true">IF(TRIM($A271)="Finalized","Closed",IF($BD271="","No review date set",IF($BD271&lt;TODAY(),"OVERDUE",IF($BD271-TODAY()&lt;=7,"Due within 7 days","Scheduled"))))</f>
        <v>OVERDUE</v>
      </c>
      <c r="BG271" s="14" t="n">
        <f aca="true">IF($K271="","",TODAY()-$K271)</f>
        <v>34</v>
      </c>
      <c r="BH271" s="15" t="str">
        <f aca="false">IFERROR(LEFT(IF($B271="","Notes, ","")&amp;IF($K271="","Latest Date Worked, ","")&amp;IF($AY271="","Last Action, ","")&amp;IF(AND(OR(TRIM($A271)="Denied",TRIM($A271)="Rejected"),$BA271=""),"Denial Reason, ","")&amp;IF(AND(TRIM($A271)="Denied",$BB271="",TRIM($BA271)&lt;&gt;"NO DENIAL"),"Denial Code, ","")&amp;IF(AND(TRIM($A271)&lt;&gt;"Finalized",$BD271=""),"Next Review Date, ","")&amp;IF(AND(TRIM($A271)&lt;&gt;"Finalized",$BE271=""),"Next Step, ","")&amp;IF(AND(TRIM($A271)="Finalized",$AV271="",$AR271="",$AT271="",$AX271="",$AW271=""),"CPT outcome, ",""),LEN(IF($B271="","Notes, ","")&amp;IF($K271="","Latest Date Worked, ","")&amp;IF($AY271="","Last Action, ","")&amp;IF(AND(OR(TRIM($A271)="Denied",TRIM($A271)="Rejected"),$BA271=""),"Denial Reason, ","")&amp;IF(AND(TRIM($A271)="Denied",$BB271="",TRIM($BA271)&lt;&gt;"NO DENIAL"),"Denial Code, ","")&amp;IF(AND(TRIM($A271)&lt;&gt;"Finalized",$BD271=""),"Next Review Date, ","")&amp;IF(AND(TRIM($A271)&lt;&gt;"Finalized",$BE271=""),"Next Step, ","")&amp;IF(AND(TRIM($A271)="Finalized",$AV271="",$AR271="",$AT271="",$AX271="",$AW271=""),"CPT outcome, ",""))-2),"")</f>
        <v>Next Step</v>
      </c>
      <c r="BI271" s="15" t="str">
        <f aca="false">IF($BB271="","",IFERROR(INDEX('Denial Codes'!$C:$C,MATCH(LEFT($BB271,FIND(" - ",$BB271&amp;" - ")+2)&amp;"*",'Denial Codes'!$A:$A,0)),""))</f>
        <v>Referral / referring provider</v>
      </c>
      <c r="BJ271" s="15" t="str">
        <f aca="false">IF($BA271="","",IFERROR(INDEX(Lists!$B:$B,MATCH(TRIM($BA271),Lists!$A:$A,0))&amp;"",""))</f>
        <v>Get a valid referral or correct the referring provider, then resubmit.</v>
      </c>
    </row>
    <row r="272" customFormat="false" ht="15" hidden="false" customHeight="false" outlineLevel="0" collapsed="false">
      <c r="A272" s="7" t="s">
        <v>19</v>
      </c>
      <c r="B272" s="7" t="s">
        <v>676</v>
      </c>
      <c r="C272" s="8" t="n">
        <v>556803684</v>
      </c>
      <c r="D272" s="9" t="n">
        <v>46151</v>
      </c>
      <c r="E272" s="10" t="s">
        <v>1270</v>
      </c>
      <c r="F272" s="11" t="n">
        <v>46125</v>
      </c>
      <c r="G272" s="10" t="s">
        <v>112</v>
      </c>
      <c r="H272" s="10" t="s">
        <v>112</v>
      </c>
      <c r="I272" s="10" t="s">
        <v>1271</v>
      </c>
      <c r="J272" s="10" t="s">
        <v>272</v>
      </c>
      <c r="K272" s="9" t="n">
        <v>46261</v>
      </c>
      <c r="L272" s="12" t="n">
        <f aca="true">IF($O272="","",$O272-TODAY())</f>
        <v>179</v>
      </c>
      <c r="M272" s="12" t="n">
        <f aca="true">IF(AND(TRIM($A272)="Finalized",$K272&lt;&gt;""),"",IF($D272="","",$D272+365-TODAY()))</f>
        <v>205</v>
      </c>
      <c r="N272" s="12" t="n">
        <f aca="true">IF(AND(TRIM($A272)="Finalized",$K272&lt;&gt;""),"",IF($D272="","",$D272+120-TODAY()))</f>
        <v>-40</v>
      </c>
      <c r="O272" s="11" t="n">
        <f aca="false">IF(AND(TRIM($A272)="Finalized",$K272&lt;&gt;""),"",DATE(2027,4,13))</f>
        <v>46490</v>
      </c>
      <c r="P272" s="10" t="s">
        <v>114</v>
      </c>
      <c r="Q272" s="10" t="s">
        <v>115</v>
      </c>
      <c r="R272" s="10" t="s">
        <v>114</v>
      </c>
      <c r="S272" s="10" t="s">
        <v>116</v>
      </c>
      <c r="T272" s="10" t="s">
        <v>117</v>
      </c>
      <c r="U272" s="10" t="s">
        <v>116</v>
      </c>
      <c r="V272" s="10" t="s">
        <v>221</v>
      </c>
      <c r="W272" s="10" t="s">
        <v>119</v>
      </c>
      <c r="X272" s="10" t="s">
        <v>120</v>
      </c>
      <c r="Y272" s="10"/>
      <c r="Z272" s="10"/>
      <c r="AA272" s="10" t="s">
        <v>121</v>
      </c>
      <c r="AB272" s="8" t="n">
        <f aca="true">IF($F272="","",TODAY()-$F272)</f>
        <v>186</v>
      </c>
      <c r="AC272" s="10" t="s">
        <v>273</v>
      </c>
      <c r="AD272" s="10"/>
      <c r="AE272" s="10"/>
      <c r="AF272" s="10"/>
      <c r="AG272" s="10"/>
      <c r="AH272" s="10"/>
      <c r="AI272" s="10"/>
      <c r="AJ272" s="10" t="s">
        <v>123</v>
      </c>
      <c r="AK272" s="10" t="s">
        <v>124</v>
      </c>
      <c r="AL272" s="10"/>
      <c r="AM272" s="10"/>
      <c r="AN272" s="8"/>
      <c r="AO272" s="10" t="s">
        <v>125</v>
      </c>
      <c r="AP272" s="10" t="s">
        <v>126</v>
      </c>
      <c r="AQ272" s="11" t="n">
        <v>46134</v>
      </c>
      <c r="AR272" s="13"/>
      <c r="AS272" s="13"/>
      <c r="AT272" s="13"/>
      <c r="AU272" s="13"/>
      <c r="AV272" s="13" t="s">
        <v>273</v>
      </c>
      <c r="AW272" s="13"/>
      <c r="AX272" s="13" t="s">
        <v>273</v>
      </c>
      <c r="AY272" s="7"/>
      <c r="AZ272" s="7"/>
      <c r="BA272" s="7"/>
      <c r="BB272" s="7"/>
      <c r="BC272" s="7"/>
      <c r="BD272" s="9" t="n">
        <v>46292</v>
      </c>
      <c r="BE272" s="7"/>
      <c r="BF272" s="14" t="str">
        <f aca="true">IF(TRIM($A272)="Finalized","Closed",IF($BD272="","No review date set",IF($BD272&lt;TODAY(),"OVERDUE",IF($BD272-TODAY()&lt;=7,"Due within 7 days","Scheduled"))))</f>
        <v>OVERDUE</v>
      </c>
      <c r="BG272" s="14" t="n">
        <f aca="true">IF($K272="","",TODAY()-$K272)</f>
        <v>50</v>
      </c>
      <c r="BH272" s="15" t="str">
        <f aca="false">IFERROR(LEFT(IF($B272="","Notes, ","")&amp;IF($K272="","Latest Date Worked, ","")&amp;IF($AY272="","Last Action, ","")&amp;IF(AND(OR(TRIM($A272)="Denied",TRIM($A272)="Rejected"),$BA272=""),"Denial Reason, ","")&amp;IF(AND(TRIM($A272)="Denied",$BB272="",TRIM($BA272)&lt;&gt;"NO DENIAL"),"Denial Code, ","")&amp;IF(AND(TRIM($A272)&lt;&gt;"Finalized",$BD272=""),"Next Review Date, ","")&amp;IF(AND(TRIM($A272)&lt;&gt;"Finalized",$BE272=""),"Next Step, ","")&amp;IF(AND(TRIM($A272)="Finalized",$AV272="",$AR272="",$AT272="",$AX272="",$AW272=""),"CPT outcome, ",""),LEN(IF($B272="","Notes, ","")&amp;IF($K272="","Latest Date Worked, ","")&amp;IF($AY272="","Last Action, ","")&amp;IF(AND(OR(TRIM($A272)="Denied",TRIM($A272)="Rejected"),$BA272=""),"Denial Reason, ","")&amp;IF(AND(TRIM($A272)="Denied",$BB272="",TRIM($BA272)&lt;&gt;"NO DENIAL"),"Denial Code, ","")&amp;IF(AND(TRIM($A272)&lt;&gt;"Finalized",$BD272=""),"Next Review Date, ","")&amp;IF(AND(TRIM($A272)&lt;&gt;"Finalized",$BE272=""),"Next Step, ","")&amp;IF(AND(TRIM($A272)="Finalized",$AV272="",$AR272="",$AT272="",$AX272="",$AW272=""),"CPT outcome, ",""))-2),"")</f>
        <v>Last Action, Next Step</v>
      </c>
      <c r="BI272" s="15" t="str">
        <f aca="false">IF($BB272="","",IFERROR(INDEX('Denial Codes'!$C:$C,MATCH(LEFT($BB272,FIND(" - ",$BB272&amp;" - ")+2)&amp;"*",'Denial Codes'!$A:$A,0)),""))</f>
        <v/>
      </c>
      <c r="BJ272" s="15" t="str">
        <f aca="false">IF($BA272="","",IFERROR(INDEX(Lists!$B:$B,MATCH(TRIM($BA272),Lists!$A:$A,0))&amp;"",""))</f>
        <v/>
      </c>
    </row>
    <row r="273" customFormat="false" ht="15" hidden="false" customHeight="false" outlineLevel="0" collapsed="false">
      <c r="A273" s="7" t="s">
        <v>17</v>
      </c>
      <c r="B273" s="7" t="s">
        <v>203</v>
      </c>
      <c r="C273" s="8" t="n">
        <v>558686302</v>
      </c>
      <c r="D273" s="9" t="n">
        <v>46190</v>
      </c>
      <c r="E273" s="10" t="s">
        <v>1272</v>
      </c>
      <c r="F273" s="11" t="n">
        <v>46125</v>
      </c>
      <c r="G273" s="10" t="s">
        <v>781</v>
      </c>
      <c r="H273" s="10" t="s">
        <v>781</v>
      </c>
      <c r="I273" s="10" t="s">
        <v>208</v>
      </c>
      <c r="J273" s="10" t="s">
        <v>1273</v>
      </c>
      <c r="K273" s="9" t="n">
        <v>46278</v>
      </c>
      <c r="L273" s="12" t="n">
        <f aca="true">IF($O273="","",$O273-TODAY())</f>
        <v>179</v>
      </c>
      <c r="M273" s="12" t="n">
        <f aca="true">IF(AND(TRIM($A273)="Finalized",$K273&lt;&gt;""),"",IF($D273="","",$D273+180-TODAY()))</f>
        <v>59</v>
      </c>
      <c r="N273" s="12" t="n">
        <f aca="true">IF(AND(TRIM($A273)="Finalized",$K273&lt;&gt;""),"",IF($D273="","",$D273+365-TODAY()))</f>
        <v>244</v>
      </c>
      <c r="O273" s="11" t="n">
        <f aca="false">IF(AND(TRIM($A273)="Finalized",$K273&lt;&gt;""),"",DATE(2027,4,13))</f>
        <v>46490</v>
      </c>
      <c r="P273" s="10" t="s">
        <v>114</v>
      </c>
      <c r="Q273" s="10" t="s">
        <v>1176</v>
      </c>
      <c r="R273" s="10" t="s">
        <v>147</v>
      </c>
      <c r="S273" s="10" t="s">
        <v>116</v>
      </c>
      <c r="T273" s="10" t="s">
        <v>114</v>
      </c>
      <c r="U273" s="10" t="s">
        <v>116</v>
      </c>
      <c r="V273" s="10" t="s">
        <v>221</v>
      </c>
      <c r="W273" s="10" t="s">
        <v>434</v>
      </c>
      <c r="X273" s="10" t="s">
        <v>619</v>
      </c>
      <c r="Y273" s="10" t="s">
        <v>758</v>
      </c>
      <c r="Z273" s="10" t="s">
        <v>436</v>
      </c>
      <c r="AA273" s="10" t="s">
        <v>656</v>
      </c>
      <c r="AB273" s="8" t="n">
        <f aca="true">IF($F273="","",TODAY()-$F273)</f>
        <v>186</v>
      </c>
      <c r="AC273" s="10" t="s">
        <v>443</v>
      </c>
      <c r="AD273" s="10" t="s">
        <v>438</v>
      </c>
      <c r="AE273" s="10" t="s">
        <v>657</v>
      </c>
      <c r="AF273" s="10" t="s">
        <v>442</v>
      </c>
      <c r="AG273" s="10" t="s">
        <v>439</v>
      </c>
      <c r="AH273" s="10" t="s">
        <v>441</v>
      </c>
      <c r="AI273" s="10" t="s">
        <v>440</v>
      </c>
      <c r="AJ273" s="10" t="s">
        <v>444</v>
      </c>
      <c r="AK273" s="10" t="s">
        <v>445</v>
      </c>
      <c r="AL273" s="10" t="s">
        <v>446</v>
      </c>
      <c r="AM273" s="10"/>
      <c r="AN273" s="8"/>
      <c r="AO273" s="10" t="s">
        <v>447</v>
      </c>
      <c r="AP273" s="10" t="s">
        <v>175</v>
      </c>
      <c r="AQ273" s="11" t="n">
        <v>46152</v>
      </c>
      <c r="AR273" s="13"/>
      <c r="AS273" s="13"/>
      <c r="AT273" s="13"/>
      <c r="AU273" s="13"/>
      <c r="AV273" s="13" t="s">
        <v>1274</v>
      </c>
      <c r="AW273" s="13"/>
      <c r="AX273" s="13" t="s">
        <v>1275</v>
      </c>
      <c r="AY273" s="7" t="s">
        <v>203</v>
      </c>
      <c r="AZ273" s="7"/>
      <c r="BA273" s="7" t="s">
        <v>36</v>
      </c>
      <c r="BB273" s="7" t="s">
        <v>204</v>
      </c>
      <c r="BC273" s="7" t="s">
        <v>1276</v>
      </c>
      <c r="BD273" s="9" t="n">
        <v>46308</v>
      </c>
      <c r="BE273" s="7"/>
      <c r="BF273" s="14" t="str">
        <f aca="true">IF(TRIM($A273)="Finalized","Closed",IF($BD273="","No review date set",IF($BD273&lt;TODAY(),"OVERDUE",IF($BD273-TODAY()&lt;=7,"Due within 7 days","Scheduled"))))</f>
        <v>OVERDUE</v>
      </c>
      <c r="BG273" s="14" t="n">
        <f aca="true">IF($K273="","",TODAY()-$K273)</f>
        <v>33</v>
      </c>
      <c r="BH273" s="15" t="str">
        <f aca="false">IFERROR(LEFT(IF($B273="","Notes, ","")&amp;IF($K273="","Latest Date Worked, ","")&amp;IF($AY273="","Last Action, ","")&amp;IF(AND(OR(TRIM($A273)="Denied",TRIM($A273)="Rejected"),$BA273=""),"Denial Reason, ","")&amp;IF(AND(TRIM($A273)="Denied",$BB273="",TRIM($BA273)&lt;&gt;"NO DENIAL"),"Denial Code, ","")&amp;IF(AND(TRIM($A273)&lt;&gt;"Finalized",$BD273=""),"Next Review Date, ","")&amp;IF(AND(TRIM($A273)&lt;&gt;"Finalized",$BE273=""),"Next Step, ","")&amp;IF(AND(TRIM($A273)="Finalized",$AV273="",$AR273="",$AT273="",$AX273="",$AW273=""),"CPT outcome, ",""),LEN(IF($B273="","Notes, ","")&amp;IF($K273="","Latest Date Worked, ","")&amp;IF($AY273="","Last Action, ","")&amp;IF(AND(OR(TRIM($A273)="Denied",TRIM($A273)="Rejected"),$BA273=""),"Denial Reason, ","")&amp;IF(AND(TRIM($A273)="Denied",$BB273="",TRIM($BA273)&lt;&gt;"NO DENIAL"),"Denial Code, ","")&amp;IF(AND(TRIM($A273)&lt;&gt;"Finalized",$BD273=""),"Next Review Date, ","")&amp;IF(AND(TRIM($A273)&lt;&gt;"Finalized",$BE273=""),"Next Step, ","")&amp;IF(AND(TRIM($A273)="Finalized",$AV273="",$AR273="",$AT273="",$AX273="",$AW273=""),"CPT outcome, ",""))-2),"")</f>
        <v>Next Step</v>
      </c>
      <c r="BI273" s="15" t="str">
        <f aca="false">IF($BB273="","",IFERROR(INDEX('Denial Codes'!$C:$C,MATCH(LEFT($BB273,FIND(" - ",$BB273&amp;" - ")+2)&amp;"*",'Denial Codes'!$A:$A,0)),""))</f>
        <v>Medical records needed</v>
      </c>
      <c r="BJ273" s="15" t="str">
        <f aca="false">IF($BA273="","",IFERROR(INDEX(Lists!$B:$B,MATCH(TRIM($BA273),Lists!$A:$A,0))&amp;"",""))</f>
        <v>Upload the MR on the payer portal, note the PIQ/reference number and set a review date.</v>
      </c>
    </row>
    <row r="274" customFormat="false" ht="15" hidden="false" customHeight="false" outlineLevel="0" collapsed="false">
      <c r="A274" s="7" t="s">
        <v>17</v>
      </c>
      <c r="B274" s="7" t="s">
        <v>1277</v>
      </c>
      <c r="C274" s="8" t="n">
        <v>573807288</v>
      </c>
      <c r="D274" s="9" t="n">
        <v>46287</v>
      </c>
      <c r="E274" s="10" t="s">
        <v>1278</v>
      </c>
      <c r="F274" s="11" t="n">
        <v>46125</v>
      </c>
      <c r="G274" s="10" t="s">
        <v>260</v>
      </c>
      <c r="H274" s="10" t="s">
        <v>260</v>
      </c>
      <c r="I274" s="10" t="s">
        <v>163</v>
      </c>
      <c r="J274" s="10" t="s">
        <v>461</v>
      </c>
      <c r="K274" s="9" t="n">
        <v>46300</v>
      </c>
      <c r="L274" s="12" t="n">
        <f aca="true">IF($O274="","",$O274-TODAY())</f>
        <v>179</v>
      </c>
      <c r="M274" s="12" t="n">
        <f aca="true">IF(AND(TRIM($A274)="Finalized",$K274&lt;&gt;""),"",IF($D274="","",$D274+365-TODAY()))</f>
        <v>341</v>
      </c>
      <c r="N274" s="12" t="n">
        <f aca="true">IF(AND(TRIM($A274)="Finalized",$K274&lt;&gt;""),"",IF($D274="","",$D274+120-TODAY()))</f>
        <v>96</v>
      </c>
      <c r="O274" s="11" t="n">
        <f aca="false">IF(AND(TRIM($A274)="Finalized",$K274&lt;&gt;""),"",DATE(2027,4,13))</f>
        <v>46490</v>
      </c>
      <c r="P274" s="10" t="s">
        <v>114</v>
      </c>
      <c r="Q274" s="10" t="s">
        <v>115</v>
      </c>
      <c r="R274" s="10" t="s">
        <v>114</v>
      </c>
      <c r="S274" s="10" t="s">
        <v>116</v>
      </c>
      <c r="T274" s="10" t="s">
        <v>117</v>
      </c>
      <c r="U274" s="10" t="s">
        <v>116</v>
      </c>
      <c r="V274" s="10" t="s">
        <v>221</v>
      </c>
      <c r="W274" s="10" t="s">
        <v>119</v>
      </c>
      <c r="X274" s="10" t="s">
        <v>120</v>
      </c>
      <c r="Y274" s="10"/>
      <c r="Z274" s="10"/>
      <c r="AA274" s="10" t="s">
        <v>230</v>
      </c>
      <c r="AB274" s="8" t="n">
        <f aca="true">IF($F274="","",TODAY()-$F274)</f>
        <v>186</v>
      </c>
      <c r="AC274" s="10" t="s">
        <v>273</v>
      </c>
      <c r="AD274" s="10"/>
      <c r="AE274" s="10"/>
      <c r="AF274" s="10"/>
      <c r="AG274" s="10"/>
      <c r="AH274" s="10"/>
      <c r="AI274" s="10"/>
      <c r="AJ274" s="10" t="s">
        <v>123</v>
      </c>
      <c r="AK274" s="10" t="s">
        <v>124</v>
      </c>
      <c r="AL274" s="10"/>
      <c r="AM274" s="10"/>
      <c r="AN274" s="8"/>
      <c r="AO274" s="10" t="s">
        <v>125</v>
      </c>
      <c r="AP274" s="10" t="s">
        <v>126</v>
      </c>
      <c r="AQ274" s="11" t="n">
        <v>46134</v>
      </c>
      <c r="AR274" s="13"/>
      <c r="AS274" s="13"/>
      <c r="AT274" s="13"/>
      <c r="AU274" s="13"/>
      <c r="AV274" s="13"/>
      <c r="AW274" s="13"/>
      <c r="AX274" s="13"/>
      <c r="AY274" s="7" t="s">
        <v>159</v>
      </c>
      <c r="AZ274" s="7" t="s">
        <v>159</v>
      </c>
      <c r="BA274" s="7" t="s">
        <v>44</v>
      </c>
      <c r="BB274" s="7" t="s">
        <v>1279</v>
      </c>
      <c r="BC274" s="7"/>
      <c r="BD274" s="9" t="n">
        <v>46331</v>
      </c>
      <c r="BE274" s="7"/>
      <c r="BF274" s="14" t="str">
        <f aca="true">IF(TRIM($A274)="Finalized","Closed",IF($BD274="","No review date set",IF($BD274&lt;TODAY(),"OVERDUE",IF($BD274-TODAY()&lt;=7,"Due within 7 days","Scheduled"))))</f>
        <v>Scheduled</v>
      </c>
      <c r="BG274" s="14" t="n">
        <f aca="true">IF($K274="","",TODAY()-$K274)</f>
        <v>11</v>
      </c>
      <c r="BH274" s="15" t="str">
        <f aca="false">IFERROR(LEFT(IF($B274="","Notes, ","")&amp;IF($K274="","Latest Date Worked, ","")&amp;IF($AY274="","Last Action, ","")&amp;IF(AND(OR(TRIM($A274)="Denied",TRIM($A274)="Rejected"),$BA274=""),"Denial Reason, ","")&amp;IF(AND(TRIM($A274)="Denied",$BB274="",TRIM($BA274)&lt;&gt;"NO DENIAL"),"Denial Code, ","")&amp;IF(AND(TRIM($A274)&lt;&gt;"Finalized",$BD274=""),"Next Review Date, ","")&amp;IF(AND(TRIM($A274)&lt;&gt;"Finalized",$BE274=""),"Next Step, ","")&amp;IF(AND(TRIM($A274)="Finalized",$AV274="",$AR274="",$AT274="",$AX274="",$AW274=""),"CPT outcome, ",""),LEN(IF($B274="","Notes, ","")&amp;IF($K274="","Latest Date Worked, ","")&amp;IF($AY274="","Last Action, ","")&amp;IF(AND(OR(TRIM($A274)="Denied",TRIM($A274)="Rejected"),$BA274=""),"Denial Reason, ","")&amp;IF(AND(TRIM($A274)="Denied",$BB274="",TRIM($BA274)&lt;&gt;"NO DENIAL"),"Denial Code, ","")&amp;IF(AND(TRIM($A274)&lt;&gt;"Finalized",$BD274=""),"Next Review Date, ","")&amp;IF(AND(TRIM($A274)&lt;&gt;"Finalized",$BE274=""),"Next Step, ","")&amp;IF(AND(TRIM($A274)="Finalized",$AV274="",$AR274="",$AT274="",$AX274="",$AW274=""),"CPT outcome, ",""))-2),"")</f>
        <v>Next Step</v>
      </c>
      <c r="BI274" s="15" t="str">
        <f aca="false">IF($BB274="","",IFERROR(INDEX('Denial Codes'!$C:$C,MATCH(LEFT($BB274,FIND(" - ",$BB274&amp;" - ")+2)&amp;"*",'Denial Codes'!$A:$A,0)),""))</f>
        <v>Wrong payer / vendor</v>
      </c>
      <c r="BJ274" s="15" t="str">
        <f aca="false">IF($BA274="","",IFERROR(INDEX(Lists!$B:$B,MATCH(TRIM($BA274),Lists!$A:$A,0))&amp;"",""))</f>
        <v>Bill the correct payer, delegated vendor or capitated group/IPA (e.g. Optum Behavioral, Preferred Homecare).</v>
      </c>
    </row>
    <row r="275" customFormat="false" ht="15" hidden="false" customHeight="false" outlineLevel="0" collapsed="false">
      <c r="A275" s="7" t="s">
        <v>17</v>
      </c>
      <c r="B275" s="7" t="s">
        <v>1280</v>
      </c>
      <c r="C275" s="8" t="n">
        <v>556715025</v>
      </c>
      <c r="D275" s="9" t="n">
        <v>46136</v>
      </c>
      <c r="E275" s="10" t="s">
        <v>1281</v>
      </c>
      <c r="F275" s="11" t="n">
        <v>46128</v>
      </c>
      <c r="G275" s="10" t="s">
        <v>260</v>
      </c>
      <c r="H275" s="10" t="s">
        <v>260</v>
      </c>
      <c r="I275" s="10" t="s">
        <v>163</v>
      </c>
      <c r="J275" s="10" t="s">
        <v>1222</v>
      </c>
      <c r="K275" s="9" t="n">
        <v>46279</v>
      </c>
      <c r="L275" s="12" t="n">
        <f aca="true">IF($O275="","",$O275-TODAY())</f>
        <v>182</v>
      </c>
      <c r="M275" s="12" t="n">
        <f aca="true">IF(AND(TRIM($A275)="Finalized",$K275&lt;&gt;""),"",IF($D275="","",$D275+365-TODAY()))</f>
        <v>190</v>
      </c>
      <c r="N275" s="12" t="n">
        <f aca="true">IF(AND(TRIM($A275)="Finalized",$K275&lt;&gt;""),"",IF($D275="","",$D275+120-TODAY()))</f>
        <v>-55</v>
      </c>
      <c r="O275" s="11" t="n">
        <f aca="false">IF(AND(TRIM($A275)="Finalized",$K275&lt;&gt;""),"",DATE(2027,4,16))</f>
        <v>46493</v>
      </c>
      <c r="P275" s="10" t="s">
        <v>114</v>
      </c>
      <c r="Q275" s="10" t="s">
        <v>115</v>
      </c>
      <c r="R275" s="10" t="s">
        <v>114</v>
      </c>
      <c r="S275" s="10" t="s">
        <v>116</v>
      </c>
      <c r="T275" s="10" t="s">
        <v>117</v>
      </c>
      <c r="U275" s="10" t="s">
        <v>116</v>
      </c>
      <c r="V275" s="10" t="s">
        <v>221</v>
      </c>
      <c r="W275" s="10" t="s">
        <v>132</v>
      </c>
      <c r="X275" s="10"/>
      <c r="Y275" s="10"/>
      <c r="Z275" s="10"/>
      <c r="AA275" s="10" t="s">
        <v>197</v>
      </c>
      <c r="AB275" s="8" t="n">
        <f aca="true">IF($F275="","",TODAY()-$F275)</f>
        <v>183</v>
      </c>
      <c r="AC275" s="10" t="s">
        <v>545</v>
      </c>
      <c r="AD275" s="10"/>
      <c r="AE275" s="10"/>
      <c r="AF275" s="10"/>
      <c r="AG275" s="10"/>
      <c r="AH275" s="10"/>
      <c r="AI275" s="10"/>
      <c r="AJ275" s="10" t="s">
        <v>254</v>
      </c>
      <c r="AK275" s="10"/>
      <c r="AL275" s="10"/>
      <c r="AM275" s="10"/>
      <c r="AN275" s="8"/>
      <c r="AO275" s="10" t="s">
        <v>546</v>
      </c>
      <c r="AP275" s="10" t="s">
        <v>175</v>
      </c>
      <c r="AQ275" s="11" t="n">
        <v>46133</v>
      </c>
      <c r="AR275" s="13"/>
      <c r="AS275" s="13"/>
      <c r="AT275" s="13"/>
      <c r="AU275" s="13"/>
      <c r="AV275" s="13"/>
      <c r="AW275" s="13"/>
      <c r="AX275" s="13" t="s">
        <v>545</v>
      </c>
      <c r="AY275" s="7" t="s">
        <v>769</v>
      </c>
      <c r="AZ275" s="7"/>
      <c r="BA275" s="7" t="s">
        <v>34</v>
      </c>
      <c r="BB275" s="7"/>
      <c r="BC275" s="7" t="s">
        <v>1282</v>
      </c>
      <c r="BD275" s="9" t="n">
        <v>46309</v>
      </c>
      <c r="BE275" s="7"/>
      <c r="BF275" s="14" t="str">
        <f aca="true">IF(TRIM($A275)="Finalized","Closed",IF($BD275="","No review date set",IF($BD275&lt;TODAY(),"OVERDUE",IF($BD275-TODAY()&lt;=7,"Due within 7 days","Scheduled"))))</f>
        <v>OVERDUE</v>
      </c>
      <c r="BG275" s="14" t="n">
        <f aca="true">IF($K275="","",TODAY()-$K275)</f>
        <v>32</v>
      </c>
      <c r="BH275" s="15" t="str">
        <f aca="false">IFERROR(LEFT(IF($B275="","Notes, ","")&amp;IF($K275="","Latest Date Worked, ","")&amp;IF($AY275="","Last Action, ","")&amp;IF(AND(OR(TRIM($A275)="Denied",TRIM($A275)="Rejected"),$BA275=""),"Denial Reason, ","")&amp;IF(AND(TRIM($A275)="Denied",$BB275="",TRIM($BA275)&lt;&gt;"NO DENIAL"),"Denial Code, ","")&amp;IF(AND(TRIM($A275)&lt;&gt;"Finalized",$BD275=""),"Next Review Date, ","")&amp;IF(AND(TRIM($A275)&lt;&gt;"Finalized",$BE275=""),"Next Step, ","")&amp;IF(AND(TRIM($A275)="Finalized",$AV275="",$AR275="",$AT275="",$AX275="",$AW275=""),"CPT outcome, ",""),LEN(IF($B275="","Notes, ","")&amp;IF($K275="","Latest Date Worked, ","")&amp;IF($AY275="","Last Action, ","")&amp;IF(AND(OR(TRIM($A275)="Denied",TRIM($A275)="Rejected"),$BA275=""),"Denial Reason, ","")&amp;IF(AND(TRIM($A275)="Denied",$BB275="",TRIM($BA275)&lt;&gt;"NO DENIAL"),"Denial Code, ","")&amp;IF(AND(TRIM($A275)&lt;&gt;"Finalized",$BD275=""),"Next Review Date, ","")&amp;IF(AND(TRIM($A275)&lt;&gt;"Finalized",$BE275=""),"Next Step, ","")&amp;IF(AND(TRIM($A275)="Finalized",$AV275="",$AR275="",$AT275="",$AX275="",$AW275=""),"CPT outcome, ",""))-2),"")</f>
        <v>Denial Code, Next Step</v>
      </c>
      <c r="BI275" s="15" t="str">
        <f aca="false">IF($BB275="","",IFERROR(INDEX('Denial Codes'!$C:$C,MATCH(LEFT($BB275,FIND(" - ",$BB275&amp;" - ")+2)&amp;"*",'Denial Codes'!$A:$A,0)),""))</f>
        <v/>
      </c>
      <c r="BJ275" s="15" t="str">
        <f aca="false">IF($BA275="","",IFERROR(INDEX(Lists!$B:$B,MATCH(TRIM($BA275),Lists!$A:$A,0))&amp;"",""))</f>
        <v>Check the portal for an auth; request a retro-auth or file an appeal with the auth number, then resubmit.</v>
      </c>
    </row>
    <row r="276" customFormat="false" ht="15" hidden="false" customHeight="false" outlineLevel="0" collapsed="false">
      <c r="A276" s="7" t="s">
        <v>16</v>
      </c>
      <c r="B276" s="7" t="s">
        <v>1283</v>
      </c>
      <c r="C276" s="8" t="n">
        <v>556710044</v>
      </c>
      <c r="D276" s="9" t="n">
        <v>46136</v>
      </c>
      <c r="E276" s="10" t="s">
        <v>1284</v>
      </c>
      <c r="F276" s="11" t="n">
        <v>46132</v>
      </c>
      <c r="G276" s="10" t="s">
        <v>260</v>
      </c>
      <c r="H276" s="10" t="s">
        <v>260</v>
      </c>
      <c r="I276" s="10" t="s">
        <v>271</v>
      </c>
      <c r="J276" s="10" t="s">
        <v>1285</v>
      </c>
      <c r="K276" s="9" t="n">
        <v>46266</v>
      </c>
      <c r="L276" s="12" t="str">
        <f aca="true">IF($O276="","",$O276-TODAY())</f>
        <v/>
      </c>
      <c r="M276" s="12" t="str">
        <f aca="true">IF(AND(TRIM($A276)="Finalized",$K276&lt;&gt;""),"",IF($D276="","",$D276+365-TODAY()))</f>
        <v/>
      </c>
      <c r="N276" s="12" t="str">
        <f aca="true">IF(AND(TRIM($A276)="Finalized",$K276&lt;&gt;""),"",IF($D276="","",$D276+120-TODAY()))</f>
        <v/>
      </c>
      <c r="O276" s="11" t="str">
        <f aca="false">IF(AND(TRIM($A276)="Finalized",$K276&lt;&gt;""),"",DATE(2027,4,20))</f>
        <v/>
      </c>
      <c r="P276" s="10" t="s">
        <v>114</v>
      </c>
      <c r="Q276" s="10" t="s">
        <v>115</v>
      </c>
      <c r="R276" s="10" t="s">
        <v>114</v>
      </c>
      <c r="S276" s="10" t="s">
        <v>116</v>
      </c>
      <c r="T276" s="10" t="s">
        <v>117</v>
      </c>
      <c r="U276" s="10" t="s">
        <v>116</v>
      </c>
      <c r="V276" s="10" t="s">
        <v>221</v>
      </c>
      <c r="W276" s="10" t="s">
        <v>132</v>
      </c>
      <c r="X276" s="10" t="s">
        <v>436</v>
      </c>
      <c r="Y276" s="10"/>
      <c r="Z276" s="10"/>
      <c r="AA276" s="10" t="s">
        <v>197</v>
      </c>
      <c r="AB276" s="8" t="n">
        <f aca="true">IF($F276="","",TODAY()-$F276)</f>
        <v>179</v>
      </c>
      <c r="AC276" s="10" t="s">
        <v>246</v>
      </c>
      <c r="AD276" s="10"/>
      <c r="AE276" s="10"/>
      <c r="AF276" s="10"/>
      <c r="AG276" s="10"/>
      <c r="AH276" s="10"/>
      <c r="AI276" s="10"/>
      <c r="AJ276" s="10" t="s">
        <v>124</v>
      </c>
      <c r="AK276" s="10"/>
      <c r="AL276" s="10"/>
      <c r="AM276" s="10"/>
      <c r="AN276" s="8"/>
      <c r="AO276" s="10" t="s">
        <v>255</v>
      </c>
      <c r="AP276" s="10" t="s">
        <v>175</v>
      </c>
      <c r="AQ276" s="11" t="n">
        <v>46134</v>
      </c>
      <c r="AR276" s="13"/>
      <c r="AS276" s="13"/>
      <c r="AT276" s="13"/>
      <c r="AU276" s="13"/>
      <c r="AV276" s="13" t="s">
        <v>246</v>
      </c>
      <c r="AW276" s="13"/>
      <c r="AX276" s="13" t="s">
        <v>246</v>
      </c>
      <c r="AY276" s="7" t="s">
        <v>363</v>
      </c>
      <c r="AZ276" s="7" t="s">
        <v>159</v>
      </c>
      <c r="BA276" s="7" t="s">
        <v>38</v>
      </c>
      <c r="BB276" s="7" t="s">
        <v>320</v>
      </c>
      <c r="BC276" s="7"/>
      <c r="BD276" s="9"/>
      <c r="BE276" s="7"/>
      <c r="BF276" s="14" t="str">
        <f aca="true">IF(TRIM($A276)="Finalized","Closed",IF($BD276="","No review date set",IF($BD276&lt;TODAY(),"OVERDUE",IF($BD276-TODAY()&lt;=7,"Due within 7 days","Scheduled"))))</f>
        <v>Closed</v>
      </c>
      <c r="BG276" s="14" t="n">
        <f aca="true">IF($K276="","",TODAY()-$K276)</f>
        <v>45</v>
      </c>
      <c r="BH276" s="15" t="str">
        <f aca="false">IFERROR(LEFT(IF($B276="","Notes, ","")&amp;IF($K276="","Latest Date Worked, ","")&amp;IF($AY276="","Last Action, ","")&amp;IF(AND(OR(TRIM($A276)="Denied",TRIM($A276)="Rejected"),$BA276=""),"Denial Reason, ","")&amp;IF(AND(TRIM($A276)="Denied",$BB276="",TRIM($BA276)&lt;&gt;"NO DENIAL"),"Denial Code, ","")&amp;IF(AND(TRIM($A276)&lt;&gt;"Finalized",$BD276=""),"Next Review Date, ","")&amp;IF(AND(TRIM($A276)&lt;&gt;"Finalized",$BE276=""),"Next Step, ","")&amp;IF(AND(TRIM($A276)="Finalized",$AV276="",$AR276="",$AT276="",$AX276="",$AW276=""),"CPT outcome, ",""),LEN(IF($B276="","Notes, ","")&amp;IF($K276="","Latest Date Worked, ","")&amp;IF($AY276="","Last Action, ","")&amp;IF(AND(OR(TRIM($A276)="Denied",TRIM($A276)="Rejected"),$BA276=""),"Denial Reason, ","")&amp;IF(AND(TRIM($A276)="Denied",$BB276="",TRIM($BA276)&lt;&gt;"NO DENIAL"),"Denial Code, ","")&amp;IF(AND(TRIM($A276)&lt;&gt;"Finalized",$BD276=""),"Next Review Date, ","")&amp;IF(AND(TRIM($A276)&lt;&gt;"Finalized",$BE276=""),"Next Step, ","")&amp;IF(AND(TRIM($A276)="Finalized",$AV276="",$AR276="",$AT276="",$AX276="",$AW276=""),"CPT outcome, ",""))-2),"")</f>
        <v/>
      </c>
      <c r="BI276" s="15" t="str">
        <f aca="false">IF($BB276="","",IFERROR(INDEX('Denial Codes'!$C:$C,MATCH(LEFT($BB276,FIND(" - ",$BB276&amp;" - ")+2)&amp;"*",'Denial Codes'!$A:$A,0)),""))</f>
        <v>Modifier issue</v>
      </c>
      <c r="BJ276" s="15" t="str">
        <f aca="false">IF($BA276="","",IFERROR(INDEX(Lists!$B:$B,MATCH(TRIM($BA276),Lists!$A:$A,0))&amp;"",""))</f>
        <v>Correct or add the modifier (e.g. NU/RR, KX, RT/LT, 25) and resubmit.</v>
      </c>
    </row>
    <row r="277" customFormat="false" ht="15" hidden="false" customHeight="false" outlineLevel="0" collapsed="false">
      <c r="A277" s="7" t="s">
        <v>17</v>
      </c>
      <c r="B277" s="7" t="s">
        <v>1286</v>
      </c>
      <c r="C277" s="8" t="n">
        <v>556808178</v>
      </c>
      <c r="D277" s="9" t="n">
        <v>46281</v>
      </c>
      <c r="E277" s="10" t="s">
        <v>1281</v>
      </c>
      <c r="F277" s="11" t="n">
        <v>46132</v>
      </c>
      <c r="G277" s="10" t="s">
        <v>112</v>
      </c>
      <c r="H277" s="10" t="s">
        <v>112</v>
      </c>
      <c r="I277" s="10" t="s">
        <v>163</v>
      </c>
      <c r="J277" s="10" t="s">
        <v>228</v>
      </c>
      <c r="K277" s="9" t="n">
        <v>46283</v>
      </c>
      <c r="L277" s="12" t="n">
        <f aca="true">IF($O277="","",$O277-TODAY())</f>
        <v>186</v>
      </c>
      <c r="M277" s="12" t="n">
        <f aca="true">IF(AND(TRIM($A277)="Finalized",$K277&lt;&gt;""),"",IF($D277="","",$D277+365-TODAY()))</f>
        <v>335</v>
      </c>
      <c r="N277" s="12" t="n">
        <f aca="true">IF(AND(TRIM($A277)="Finalized",$K277&lt;&gt;""),"",IF($D277="","",$D277+120-TODAY()))</f>
        <v>90</v>
      </c>
      <c r="O277" s="11" t="n">
        <f aca="false">IF(AND(TRIM($A277)="Finalized",$K277&lt;&gt;""),"",DATE(2027,4,20))</f>
        <v>46497</v>
      </c>
      <c r="P277" s="10" t="s">
        <v>114</v>
      </c>
      <c r="Q277" s="10" t="s">
        <v>115</v>
      </c>
      <c r="R277" s="10" t="s">
        <v>114</v>
      </c>
      <c r="S277" s="10" t="s">
        <v>116</v>
      </c>
      <c r="T277" s="10" t="s">
        <v>117</v>
      </c>
      <c r="U277" s="10" t="s">
        <v>116</v>
      </c>
      <c r="V277" s="10" t="s">
        <v>221</v>
      </c>
      <c r="W277" s="10" t="s">
        <v>119</v>
      </c>
      <c r="X277" s="10" t="s">
        <v>229</v>
      </c>
      <c r="Y277" s="10"/>
      <c r="Z277" s="10"/>
      <c r="AA277" s="10" t="s">
        <v>230</v>
      </c>
      <c r="AB277" s="8" t="n">
        <f aca="true">IF($F277="","",TODAY()-$F277)</f>
        <v>179</v>
      </c>
      <c r="AC277" s="10" t="s">
        <v>122</v>
      </c>
      <c r="AD277" s="10"/>
      <c r="AE277" s="10"/>
      <c r="AF277" s="10"/>
      <c r="AG277" s="10"/>
      <c r="AH277" s="10"/>
      <c r="AI277" s="10"/>
      <c r="AJ277" s="10" t="s">
        <v>123</v>
      </c>
      <c r="AK277" s="10" t="s">
        <v>139</v>
      </c>
      <c r="AL277" s="10"/>
      <c r="AM277" s="10"/>
      <c r="AN277" s="8"/>
      <c r="AO277" s="10" t="s">
        <v>125</v>
      </c>
      <c r="AP277" s="10" t="s">
        <v>126</v>
      </c>
      <c r="AQ277" s="11" t="n">
        <v>46134</v>
      </c>
      <c r="AR277" s="13"/>
      <c r="AS277" s="13"/>
      <c r="AT277" s="13"/>
      <c r="AU277" s="13"/>
      <c r="AV277" s="13" t="s">
        <v>122</v>
      </c>
      <c r="AW277" s="13"/>
      <c r="AX277" s="13" t="s">
        <v>122</v>
      </c>
      <c r="AY277" s="7" t="s">
        <v>159</v>
      </c>
      <c r="AZ277" s="7"/>
      <c r="BA277" s="7" t="s">
        <v>45</v>
      </c>
      <c r="BB277" s="7"/>
      <c r="BC277" s="7"/>
      <c r="BD277" s="9" t="n">
        <v>46313</v>
      </c>
      <c r="BE277" s="7"/>
      <c r="BF277" s="14" t="str">
        <f aca="true">IF(TRIM($A277)="Finalized","Closed",IF($BD277="","No review date set",IF($BD277&lt;TODAY(),"OVERDUE",IF($BD277-TODAY()&lt;=7,"Due within 7 days","Scheduled"))))</f>
        <v>Due within 7 days</v>
      </c>
      <c r="BG277" s="14" t="n">
        <f aca="true">IF($K277="","",TODAY()-$K277)</f>
        <v>28</v>
      </c>
      <c r="BH277" s="15" t="str">
        <f aca="false">IFERROR(LEFT(IF($B277="","Notes, ","")&amp;IF($K277="","Latest Date Worked, ","")&amp;IF($AY277="","Last Action, ","")&amp;IF(AND(OR(TRIM($A277)="Denied",TRIM($A277)="Rejected"),$BA277=""),"Denial Reason, ","")&amp;IF(AND(TRIM($A277)="Denied",$BB277="",TRIM($BA277)&lt;&gt;"NO DENIAL"),"Denial Code, ","")&amp;IF(AND(TRIM($A277)&lt;&gt;"Finalized",$BD277=""),"Next Review Date, ","")&amp;IF(AND(TRIM($A277)&lt;&gt;"Finalized",$BE277=""),"Next Step, ","")&amp;IF(AND(TRIM($A277)="Finalized",$AV277="",$AR277="",$AT277="",$AX277="",$AW277=""),"CPT outcome, ",""),LEN(IF($B277="","Notes, ","")&amp;IF($K277="","Latest Date Worked, ","")&amp;IF($AY277="","Last Action, ","")&amp;IF(AND(OR(TRIM($A277)="Denied",TRIM($A277)="Rejected"),$BA277=""),"Denial Reason, ","")&amp;IF(AND(TRIM($A277)="Denied",$BB277="",TRIM($BA277)&lt;&gt;"NO DENIAL"),"Denial Code, ","")&amp;IF(AND(TRIM($A277)&lt;&gt;"Finalized",$BD277=""),"Next Review Date, ","")&amp;IF(AND(TRIM($A277)&lt;&gt;"Finalized",$BE277=""),"Next Step, ","")&amp;IF(AND(TRIM($A277)="Finalized",$AV277="",$AR277="",$AT277="",$AX277="",$AW277=""),"CPT outcome, ",""))-2),"")</f>
        <v>Denial Code, Next Step</v>
      </c>
      <c r="BI277" s="15" t="str">
        <f aca="false">IF($BB277="","",IFERROR(INDEX('Denial Codes'!$C:$C,MATCH(LEFT($BB277,FIND(" - ",$BB277&amp;" - ")+2)&amp;"*",'Denial Codes'!$A:$A,0)),""))</f>
        <v/>
      </c>
      <c r="BJ277" s="15" t="str">
        <f aca="false">IF($BA277="","",IFERROR(INDEX(Lists!$B:$B,MATCH(TRIM($BA277),Lists!$A:$A,0))&amp;"",""))</f>
        <v>Get the other insurance and primary EOB, update COB with the payer and bill primary first.</v>
      </c>
    </row>
    <row r="278" customFormat="false" ht="15" hidden="false" customHeight="false" outlineLevel="0" collapsed="false">
      <c r="A278" s="7" t="s">
        <v>17</v>
      </c>
      <c r="B278" s="7" t="s">
        <v>1287</v>
      </c>
      <c r="C278" s="8" t="n">
        <v>572266830</v>
      </c>
      <c r="D278" s="9" t="n">
        <v>46199</v>
      </c>
      <c r="E278" s="10" t="s">
        <v>1288</v>
      </c>
      <c r="F278" s="11" t="n">
        <v>46132</v>
      </c>
      <c r="G278" s="10" t="s">
        <v>112</v>
      </c>
      <c r="H278" s="10" t="s">
        <v>112</v>
      </c>
      <c r="I278" s="10" t="s">
        <v>1289</v>
      </c>
      <c r="J278" s="10" t="s">
        <v>261</v>
      </c>
      <c r="K278" s="9" t="n">
        <v>46283</v>
      </c>
      <c r="L278" s="12" t="n">
        <f aca="true">IF($O278="","",$O278-TODAY())</f>
        <v>186</v>
      </c>
      <c r="M278" s="12" t="n">
        <f aca="true">IF(AND(TRIM($A278)="Finalized",$K278&lt;&gt;""),"",IF($D278="","",$D278+365-TODAY()))</f>
        <v>253</v>
      </c>
      <c r="N278" s="12" t="n">
        <f aca="true">IF(AND(TRIM($A278)="Finalized",$K278&lt;&gt;""),"",IF($D278="","",$D278+120-TODAY()))</f>
        <v>8</v>
      </c>
      <c r="O278" s="11" t="n">
        <f aca="false">IF(AND(TRIM($A278)="Finalized",$K278&lt;&gt;""),"",DATE(2027,4,20))</f>
        <v>46497</v>
      </c>
      <c r="P278" s="10" t="s">
        <v>114</v>
      </c>
      <c r="Q278" s="10" t="s">
        <v>115</v>
      </c>
      <c r="R278" s="10" t="s">
        <v>114</v>
      </c>
      <c r="S278" s="10" t="s">
        <v>116</v>
      </c>
      <c r="T278" s="10" t="s">
        <v>117</v>
      </c>
      <c r="U278" s="10" t="s">
        <v>116</v>
      </c>
      <c r="V278" s="10" t="s">
        <v>221</v>
      </c>
      <c r="W278" s="10" t="s">
        <v>119</v>
      </c>
      <c r="X278" s="10" t="s">
        <v>120</v>
      </c>
      <c r="Y278" s="10"/>
      <c r="Z278" s="10"/>
      <c r="AA278" s="10" t="s">
        <v>230</v>
      </c>
      <c r="AB278" s="8" t="n">
        <f aca="true">IF($F278="","",TODAY()-$F278)</f>
        <v>179</v>
      </c>
      <c r="AC278" s="10" t="s">
        <v>122</v>
      </c>
      <c r="AD278" s="10"/>
      <c r="AE278" s="10"/>
      <c r="AF278" s="10"/>
      <c r="AG278" s="10"/>
      <c r="AH278" s="10"/>
      <c r="AI278" s="10"/>
      <c r="AJ278" s="10" t="s">
        <v>123</v>
      </c>
      <c r="AK278" s="10"/>
      <c r="AL278" s="10"/>
      <c r="AM278" s="10"/>
      <c r="AN278" s="8"/>
      <c r="AO278" s="10" t="s">
        <v>274</v>
      </c>
      <c r="AP278" s="10" t="s">
        <v>275</v>
      </c>
      <c r="AQ278" s="11" t="n">
        <v>46198</v>
      </c>
      <c r="AR278" s="13"/>
      <c r="AS278" s="13"/>
      <c r="AT278" s="13"/>
      <c r="AU278" s="13"/>
      <c r="AV278" s="13"/>
      <c r="AW278" s="13"/>
      <c r="AX278" s="13"/>
      <c r="AY278" s="7" t="s">
        <v>159</v>
      </c>
      <c r="AZ278" s="7"/>
      <c r="BA278" s="7" t="s">
        <v>46</v>
      </c>
      <c r="BB278" s="7"/>
      <c r="BC278" s="7"/>
      <c r="BD278" s="9" t="n">
        <v>46313</v>
      </c>
      <c r="BE278" s="7"/>
      <c r="BF278" s="14" t="str">
        <f aca="true">IF(TRIM($A278)="Finalized","Closed",IF($BD278="","No review date set",IF($BD278&lt;TODAY(),"OVERDUE",IF($BD278-TODAY()&lt;=7,"Due within 7 days","Scheduled"))))</f>
        <v>Due within 7 days</v>
      </c>
      <c r="BG278" s="14" t="n">
        <f aca="true">IF($K278="","",TODAY()-$K278)</f>
        <v>28</v>
      </c>
      <c r="BH278" s="15" t="str">
        <f aca="false">IFERROR(LEFT(IF($B278="","Notes, ","")&amp;IF($K278="","Latest Date Worked, ","")&amp;IF($AY278="","Last Action, ","")&amp;IF(AND(OR(TRIM($A278)="Denied",TRIM($A278)="Rejected"),$BA278=""),"Denial Reason, ","")&amp;IF(AND(TRIM($A278)="Denied",$BB278="",TRIM($BA278)&lt;&gt;"NO DENIAL"),"Denial Code, ","")&amp;IF(AND(TRIM($A278)&lt;&gt;"Finalized",$BD278=""),"Next Review Date, ","")&amp;IF(AND(TRIM($A278)&lt;&gt;"Finalized",$BE278=""),"Next Step, ","")&amp;IF(AND(TRIM($A278)="Finalized",$AV278="",$AR278="",$AT278="",$AX278="",$AW278=""),"CPT outcome, ",""),LEN(IF($B278="","Notes, ","")&amp;IF($K278="","Latest Date Worked, ","")&amp;IF($AY278="","Last Action, ","")&amp;IF(AND(OR(TRIM($A278)="Denied",TRIM($A278)="Rejected"),$BA278=""),"Denial Reason, ","")&amp;IF(AND(TRIM($A278)="Denied",$BB278="",TRIM($BA278)&lt;&gt;"NO DENIAL"),"Denial Code, ","")&amp;IF(AND(TRIM($A278)&lt;&gt;"Finalized",$BD278=""),"Next Review Date, ","")&amp;IF(AND(TRIM($A278)&lt;&gt;"Finalized",$BE278=""),"Next Step, ","")&amp;IF(AND(TRIM($A278)="Finalized",$AV278="",$AR278="",$AT278="",$AX278="",$AW278=""),"CPT outcome, ",""))-2),"")</f>
        <v>Denial Code, Next Step</v>
      </c>
      <c r="BI278" s="15" t="str">
        <f aca="false">IF($BB278="","",IFERROR(INDEX('Denial Codes'!$C:$C,MATCH(LEFT($BB278,FIND(" - ",$BB278&amp;" - ")+2)&amp;"*",'Denial Codes'!$A:$A,0)),""))</f>
        <v/>
      </c>
      <c r="BJ278" s="15" t="str">
        <f aca="false">IF($BA278="","",IFERROR(INDEX(Lists!$B:$B,MATCH(TRIM($BA278),Lists!$A:$A,0))&amp;"",""))</f>
        <v>Verify eligibility; correct the member ID/MBI, name or DOB and resubmit.</v>
      </c>
    </row>
    <row r="279" customFormat="false" ht="15" hidden="false" customHeight="false" outlineLevel="0" collapsed="false">
      <c r="A279" s="7" t="s">
        <v>19</v>
      </c>
      <c r="B279" s="7" t="s">
        <v>1290</v>
      </c>
      <c r="C279" s="8" t="n">
        <v>558642115</v>
      </c>
      <c r="D279" s="9" t="n">
        <v>46170</v>
      </c>
      <c r="E279" s="10" t="s">
        <v>1291</v>
      </c>
      <c r="F279" s="11" t="n">
        <v>46133</v>
      </c>
      <c r="G279" s="10" t="s">
        <v>180</v>
      </c>
      <c r="H279" s="10" t="s">
        <v>260</v>
      </c>
      <c r="I279" s="10" t="s">
        <v>180</v>
      </c>
      <c r="J279" s="10" t="s">
        <v>638</v>
      </c>
      <c r="K279" s="9" t="n">
        <v>46277</v>
      </c>
      <c r="L279" s="12" t="n">
        <f aca="true">IF($O279="","",$O279-TODAY())</f>
        <v>187</v>
      </c>
      <c r="M279" s="12" t="n">
        <f aca="true">IF(AND(TRIM($A279)="Finalized",$K279&lt;&gt;""),"",IF($D279="","",$D279+365-TODAY()))</f>
        <v>224</v>
      </c>
      <c r="N279" s="12" t="n">
        <f aca="true">IF(AND(TRIM($A279)="Finalized",$K279&lt;&gt;""),"",IF($D279="","",$D279+120-TODAY()))</f>
        <v>-21</v>
      </c>
      <c r="O279" s="11" t="n">
        <f aca="false">IF(AND(TRIM($A279)="Finalized",$K279&lt;&gt;""),"",DATE(2027,4,21))</f>
        <v>46498</v>
      </c>
      <c r="P279" s="10" t="s">
        <v>114</v>
      </c>
      <c r="Q279" s="10" t="s">
        <v>115</v>
      </c>
      <c r="R279" s="10" t="s">
        <v>114</v>
      </c>
      <c r="S279" s="10" t="s">
        <v>116</v>
      </c>
      <c r="T279" s="10" t="s">
        <v>117</v>
      </c>
      <c r="U279" s="10" t="s">
        <v>116</v>
      </c>
      <c r="V279" s="10" t="s">
        <v>221</v>
      </c>
      <c r="W279" s="10" t="s">
        <v>196</v>
      </c>
      <c r="X279" s="10"/>
      <c r="Y279" s="10"/>
      <c r="Z279" s="10"/>
      <c r="AA279" s="10" t="s">
        <v>197</v>
      </c>
      <c r="AB279" s="8" t="n">
        <f aca="true">IF($F279="","",TODAY()-$F279)</f>
        <v>178</v>
      </c>
      <c r="AC279" s="10" t="s">
        <v>198</v>
      </c>
      <c r="AD279" s="10" t="s">
        <v>222</v>
      </c>
      <c r="AE279" s="10" t="s">
        <v>487</v>
      </c>
      <c r="AF279" s="10"/>
      <c r="AG279" s="10"/>
      <c r="AH279" s="10"/>
      <c r="AI279" s="10"/>
      <c r="AJ279" s="10" t="s">
        <v>414</v>
      </c>
      <c r="AK279" s="10" t="s">
        <v>415</v>
      </c>
      <c r="AL279" s="10" t="s">
        <v>350</v>
      </c>
      <c r="AM279" s="10"/>
      <c r="AN279" s="8" t="n">
        <v>561714739</v>
      </c>
      <c r="AO279" s="10" t="s">
        <v>201</v>
      </c>
      <c r="AP279" s="10" t="s">
        <v>202</v>
      </c>
      <c r="AQ279" s="11" t="n">
        <v>46141</v>
      </c>
      <c r="AR279" s="13"/>
      <c r="AS279" s="13"/>
      <c r="AT279" s="13"/>
      <c r="AU279" s="13"/>
      <c r="AV279" s="13" t="s">
        <v>1045</v>
      </c>
      <c r="AW279" s="13"/>
      <c r="AX279" s="13" t="s">
        <v>1045</v>
      </c>
      <c r="AY279" s="7" t="s">
        <v>159</v>
      </c>
      <c r="AZ279" s="7"/>
      <c r="BA279" s="7"/>
      <c r="BB279" s="7"/>
      <c r="BC279" s="7"/>
      <c r="BD279" s="9" t="n">
        <v>46307</v>
      </c>
      <c r="BE279" s="7"/>
      <c r="BF279" s="14" t="str">
        <f aca="true">IF(TRIM($A279)="Finalized","Closed",IF($BD279="","No review date set",IF($BD279&lt;TODAY(),"OVERDUE",IF($BD279-TODAY()&lt;=7,"Due within 7 days","Scheduled"))))</f>
        <v>OVERDUE</v>
      </c>
      <c r="BG279" s="14" t="n">
        <f aca="true">IF($K279="","",TODAY()-$K279)</f>
        <v>34</v>
      </c>
      <c r="BH279" s="15" t="str">
        <f aca="false">IFERROR(LEFT(IF($B279="","Notes, ","")&amp;IF($K279="","Latest Date Worked, ","")&amp;IF($AY279="","Last Action, ","")&amp;IF(AND(OR(TRIM($A279)="Denied",TRIM($A279)="Rejected"),$BA279=""),"Denial Reason, ","")&amp;IF(AND(TRIM($A279)="Denied",$BB279="",TRIM($BA279)&lt;&gt;"NO DENIAL"),"Denial Code, ","")&amp;IF(AND(TRIM($A279)&lt;&gt;"Finalized",$BD279=""),"Next Review Date, ","")&amp;IF(AND(TRIM($A279)&lt;&gt;"Finalized",$BE279=""),"Next Step, ","")&amp;IF(AND(TRIM($A279)="Finalized",$AV279="",$AR279="",$AT279="",$AX279="",$AW279=""),"CPT outcome, ",""),LEN(IF($B279="","Notes, ","")&amp;IF($K279="","Latest Date Worked, ","")&amp;IF($AY279="","Last Action, ","")&amp;IF(AND(OR(TRIM($A279)="Denied",TRIM($A279)="Rejected"),$BA279=""),"Denial Reason, ","")&amp;IF(AND(TRIM($A279)="Denied",$BB279="",TRIM($BA279)&lt;&gt;"NO DENIAL"),"Denial Code, ","")&amp;IF(AND(TRIM($A279)&lt;&gt;"Finalized",$BD279=""),"Next Review Date, ","")&amp;IF(AND(TRIM($A279)&lt;&gt;"Finalized",$BE279=""),"Next Step, ","")&amp;IF(AND(TRIM($A279)="Finalized",$AV279="",$AR279="",$AT279="",$AX279="",$AW279=""),"CPT outcome, ",""))-2),"")</f>
        <v>Next Step</v>
      </c>
      <c r="BI279" s="15" t="str">
        <f aca="false">IF($BB279="","",IFERROR(INDEX('Denial Codes'!$C:$C,MATCH(LEFT($BB279,FIND(" - ",$BB279&amp;" - ")+2)&amp;"*",'Denial Codes'!$A:$A,0)),""))</f>
        <v/>
      </c>
      <c r="BJ279" s="15" t="str">
        <f aca="false">IF($BA279="","",IFERROR(INDEX(Lists!$B:$B,MATCH(TRIM($BA279),Lists!$A:$A,0))&amp;"",""))</f>
        <v/>
      </c>
    </row>
    <row r="280" customFormat="false" ht="15" hidden="false" customHeight="false" outlineLevel="0" collapsed="false">
      <c r="A280" s="7" t="s">
        <v>19</v>
      </c>
      <c r="B280" s="7" t="s">
        <v>1292</v>
      </c>
      <c r="C280" s="8" t="n">
        <v>556872696</v>
      </c>
      <c r="D280" s="9"/>
      <c r="E280" s="10" t="s">
        <v>1293</v>
      </c>
      <c r="F280" s="11" t="n">
        <v>46133</v>
      </c>
      <c r="G280" s="10" t="s">
        <v>1294</v>
      </c>
      <c r="H280" s="10" t="s">
        <v>1295</v>
      </c>
      <c r="I280" s="10" t="s">
        <v>1294</v>
      </c>
      <c r="J280" s="10" t="s">
        <v>400</v>
      </c>
      <c r="K280" s="9"/>
      <c r="L280" s="12" t="n">
        <f aca="true">IF($O280="","",$O280-TODAY())</f>
        <v>187</v>
      </c>
      <c r="M280" s="12" t="str">
        <f aca="true">IF(AND(TRIM($A280)="Finalized",$K280&lt;&gt;""),"",IF($D280="","",$D280+365-TODAY()))</f>
        <v/>
      </c>
      <c r="N280" s="12" t="str">
        <f aca="true">IF(AND(TRIM($A280)="Finalized",$K280&lt;&gt;""),"",IF($D280="","",$D280+120-TODAY()))</f>
        <v/>
      </c>
      <c r="O280" s="11" t="n">
        <f aca="false">IF(AND(TRIM($A280)="Finalized",$K280&lt;&gt;""),"",DATE(2027,4,21))</f>
        <v>46498</v>
      </c>
      <c r="P280" s="10" t="s">
        <v>114</v>
      </c>
      <c r="Q280" s="10" t="s">
        <v>115</v>
      </c>
      <c r="R280" s="10" t="s">
        <v>114</v>
      </c>
      <c r="S280" s="10" t="s">
        <v>116</v>
      </c>
      <c r="T280" s="10" t="s">
        <v>117</v>
      </c>
      <c r="U280" s="10" t="s">
        <v>116</v>
      </c>
      <c r="V280" s="10" t="s">
        <v>221</v>
      </c>
      <c r="W280" s="10" t="s">
        <v>183</v>
      </c>
      <c r="X280" s="10"/>
      <c r="Y280" s="10"/>
      <c r="Z280" s="10"/>
      <c r="AA280" s="10" t="s">
        <v>197</v>
      </c>
      <c r="AB280" s="8" t="n">
        <f aca="true">IF($F280="","",TODAY()-$F280)</f>
        <v>178</v>
      </c>
      <c r="AC280" s="10" t="s">
        <v>185</v>
      </c>
      <c r="AD280" s="10" t="s">
        <v>184</v>
      </c>
      <c r="AE280" s="10"/>
      <c r="AF280" s="10"/>
      <c r="AG280" s="10"/>
      <c r="AH280" s="10"/>
      <c r="AI280" s="10"/>
      <c r="AJ280" s="10" t="s">
        <v>340</v>
      </c>
      <c r="AK280" s="10"/>
      <c r="AL280" s="10"/>
      <c r="AM280" s="10"/>
      <c r="AN280" s="8" t="n">
        <v>561534353</v>
      </c>
      <c r="AO280" s="10" t="s">
        <v>344</v>
      </c>
      <c r="AP280" s="10" t="s">
        <v>308</v>
      </c>
      <c r="AQ280" s="11" t="n">
        <v>46153</v>
      </c>
      <c r="AR280" s="13"/>
      <c r="AS280" s="13"/>
      <c r="AT280" s="13"/>
      <c r="AU280" s="13"/>
      <c r="AV280" s="13" t="s">
        <v>189</v>
      </c>
      <c r="AW280" s="13"/>
      <c r="AX280" s="13" t="s">
        <v>189</v>
      </c>
      <c r="AY280" s="7" t="s">
        <v>159</v>
      </c>
      <c r="AZ280" s="7"/>
      <c r="BA280" s="7"/>
      <c r="BB280" s="7"/>
      <c r="BC280" s="7"/>
      <c r="BD280" s="9"/>
      <c r="BE280" s="7"/>
      <c r="BF280" s="14" t="str">
        <f aca="true">IF(TRIM($A280)="Finalized","Closed",IF($BD280="","No review date set",IF($BD280&lt;TODAY(),"OVERDUE",IF($BD280-TODAY()&lt;=7,"Due within 7 days","Scheduled"))))</f>
        <v>No review date set</v>
      </c>
      <c r="BG280" s="14" t="str">
        <f aca="true">IF($K280="","",TODAY()-$K280)</f>
        <v/>
      </c>
      <c r="BH280" s="15" t="str">
        <f aca="false">IFERROR(LEFT(IF($B280="","Notes, ","")&amp;IF($K280="","Latest Date Worked, ","")&amp;IF($AY280="","Last Action, ","")&amp;IF(AND(OR(TRIM($A280)="Denied",TRIM($A280)="Rejected"),$BA280=""),"Denial Reason, ","")&amp;IF(AND(TRIM($A280)="Denied",$BB280="",TRIM($BA280)&lt;&gt;"NO DENIAL"),"Denial Code, ","")&amp;IF(AND(TRIM($A280)&lt;&gt;"Finalized",$BD280=""),"Next Review Date, ","")&amp;IF(AND(TRIM($A280)&lt;&gt;"Finalized",$BE280=""),"Next Step, ","")&amp;IF(AND(TRIM($A280)="Finalized",$AV280="",$AR280="",$AT280="",$AX280="",$AW280=""),"CPT outcome, ",""),LEN(IF($B280="","Notes, ","")&amp;IF($K280="","Latest Date Worked, ","")&amp;IF($AY280="","Last Action, ","")&amp;IF(AND(OR(TRIM($A280)="Denied",TRIM($A280)="Rejected"),$BA280=""),"Denial Reason, ","")&amp;IF(AND(TRIM($A280)="Denied",$BB280="",TRIM($BA280)&lt;&gt;"NO DENIAL"),"Denial Code, ","")&amp;IF(AND(TRIM($A280)&lt;&gt;"Finalized",$BD280=""),"Next Review Date, ","")&amp;IF(AND(TRIM($A280)&lt;&gt;"Finalized",$BE280=""),"Next Step, ","")&amp;IF(AND(TRIM($A280)="Finalized",$AV280="",$AR280="",$AT280="",$AX280="",$AW280=""),"CPT outcome, ",""))-2),"")</f>
        <v>Latest Date Worked, Next Review Date, Next Step</v>
      </c>
      <c r="BI280" s="15" t="str">
        <f aca="false">IF($BB280="","",IFERROR(INDEX('Denial Codes'!$C:$C,MATCH(LEFT($BB280,FIND(" - ",$BB280&amp;" - ")+2)&amp;"*",'Denial Codes'!$A:$A,0)),""))</f>
        <v/>
      </c>
      <c r="BJ280" s="15" t="str">
        <f aca="false">IF($BA280="","",IFERROR(INDEX(Lists!$B:$B,MATCH(TRIM($BA280),Lists!$A:$A,0))&amp;"",""))</f>
        <v/>
      </c>
    </row>
    <row r="281" customFormat="false" ht="15" hidden="false" customHeight="false" outlineLevel="0" collapsed="false">
      <c r="A281" s="7" t="s">
        <v>16</v>
      </c>
      <c r="B281" s="7" t="s">
        <v>1290</v>
      </c>
      <c r="C281" s="8" t="n">
        <v>557577339</v>
      </c>
      <c r="D281" s="9" t="n">
        <v>46155</v>
      </c>
      <c r="E281" s="10" t="s">
        <v>1296</v>
      </c>
      <c r="F281" s="11" t="n">
        <v>46134</v>
      </c>
      <c r="G281" s="10" t="s">
        <v>163</v>
      </c>
      <c r="H281" s="10" t="s">
        <v>260</v>
      </c>
      <c r="I281" s="10" t="s">
        <v>163</v>
      </c>
      <c r="J281" s="10" t="s">
        <v>194</v>
      </c>
      <c r="K281" s="9" t="n">
        <v>46277</v>
      </c>
      <c r="L281" s="12" t="str">
        <f aca="true">IF($O281="","",$O281-TODAY())</f>
        <v/>
      </c>
      <c r="M281" s="12" t="str">
        <f aca="true">IF(AND(TRIM($A281)="Finalized",$K281&lt;&gt;""),"",IF($D281="","",$D281+365-TODAY()))</f>
        <v/>
      </c>
      <c r="N281" s="12" t="str">
        <f aca="true">IF(AND(TRIM($A281)="Finalized",$K281&lt;&gt;""),"",IF($D281="","",$D281+120-TODAY()))</f>
        <v/>
      </c>
      <c r="O281" s="11" t="str">
        <f aca="false">IF(AND(TRIM($A281)="Finalized",$K281&lt;&gt;""),"",DATE(2027,4,22))</f>
        <v/>
      </c>
      <c r="P281" s="10" t="s">
        <v>114</v>
      </c>
      <c r="Q281" s="10" t="s">
        <v>115</v>
      </c>
      <c r="R281" s="10" t="s">
        <v>114</v>
      </c>
      <c r="S281" s="10" t="s">
        <v>116</v>
      </c>
      <c r="T281" s="10" t="s">
        <v>117</v>
      </c>
      <c r="U281" s="10" t="s">
        <v>116</v>
      </c>
      <c r="V281" s="10" t="s">
        <v>221</v>
      </c>
      <c r="W281" s="10" t="s">
        <v>196</v>
      </c>
      <c r="X281" s="10"/>
      <c r="Y281" s="10"/>
      <c r="Z281" s="10"/>
      <c r="AA281" s="10" t="s">
        <v>197</v>
      </c>
      <c r="AB281" s="8" t="n">
        <f aca="true">IF($F281="","",TODAY()-$F281)</f>
        <v>177</v>
      </c>
      <c r="AC281" s="10" t="s">
        <v>198</v>
      </c>
      <c r="AD281" s="10"/>
      <c r="AE281" s="10"/>
      <c r="AF281" s="10"/>
      <c r="AG281" s="10"/>
      <c r="AH281" s="10"/>
      <c r="AI281" s="10"/>
      <c r="AJ281" s="10" t="s">
        <v>139</v>
      </c>
      <c r="AK281" s="10" t="s">
        <v>580</v>
      </c>
      <c r="AL281" s="10" t="s">
        <v>1297</v>
      </c>
      <c r="AM281" s="10"/>
      <c r="AN281" s="8" t="n">
        <v>560552425</v>
      </c>
      <c r="AO281" s="10" t="s">
        <v>255</v>
      </c>
      <c r="AP281" s="10" t="s">
        <v>268</v>
      </c>
      <c r="AQ281" s="11" t="n">
        <v>46141</v>
      </c>
      <c r="AR281" s="13"/>
      <c r="AS281" s="13"/>
      <c r="AT281" s="13"/>
      <c r="AU281" s="13"/>
      <c r="AV281" s="13" t="s">
        <v>198</v>
      </c>
      <c r="AW281" s="13"/>
      <c r="AX281" s="13" t="s">
        <v>198</v>
      </c>
      <c r="AY281" s="7" t="s">
        <v>363</v>
      </c>
      <c r="AZ281" s="7" t="s">
        <v>159</v>
      </c>
      <c r="BA281" s="7" t="s">
        <v>54</v>
      </c>
      <c r="BB281" s="7"/>
      <c r="BC281" s="7"/>
      <c r="BD281" s="9"/>
      <c r="BE281" s="7"/>
      <c r="BF281" s="14" t="str">
        <f aca="true">IF(TRIM($A281)="Finalized","Closed",IF($BD281="","No review date set",IF($BD281&lt;TODAY(),"OVERDUE",IF($BD281-TODAY()&lt;=7,"Due within 7 days","Scheduled"))))</f>
        <v>Closed</v>
      </c>
      <c r="BG281" s="14" t="n">
        <f aca="true">IF($K281="","",TODAY()-$K281)</f>
        <v>34</v>
      </c>
      <c r="BH281" s="15" t="str">
        <f aca="false">IFERROR(LEFT(IF($B281="","Notes, ","")&amp;IF($K281="","Latest Date Worked, ","")&amp;IF($AY281="","Last Action, ","")&amp;IF(AND(OR(TRIM($A281)="Denied",TRIM($A281)="Rejected"),$BA281=""),"Denial Reason, ","")&amp;IF(AND(TRIM($A281)="Denied",$BB281="",TRIM($BA281)&lt;&gt;"NO DENIAL"),"Denial Code, ","")&amp;IF(AND(TRIM($A281)&lt;&gt;"Finalized",$BD281=""),"Next Review Date, ","")&amp;IF(AND(TRIM($A281)&lt;&gt;"Finalized",$BE281=""),"Next Step, ","")&amp;IF(AND(TRIM($A281)="Finalized",$AV281="",$AR281="",$AT281="",$AX281="",$AW281=""),"CPT outcome, ",""),LEN(IF($B281="","Notes, ","")&amp;IF($K281="","Latest Date Worked, ","")&amp;IF($AY281="","Last Action, ","")&amp;IF(AND(OR(TRIM($A281)="Denied",TRIM($A281)="Rejected"),$BA281=""),"Denial Reason, ","")&amp;IF(AND(TRIM($A281)="Denied",$BB281="",TRIM($BA281)&lt;&gt;"NO DENIAL"),"Denial Code, ","")&amp;IF(AND(TRIM($A281)&lt;&gt;"Finalized",$BD281=""),"Next Review Date, ","")&amp;IF(AND(TRIM($A281)&lt;&gt;"Finalized",$BE281=""),"Next Step, ","")&amp;IF(AND(TRIM($A281)="Finalized",$AV281="",$AR281="",$AT281="",$AX281="",$AW281=""),"CPT outcome, ",""))-2),"")</f>
        <v/>
      </c>
      <c r="BI281" s="15" t="str">
        <f aca="false">IF($BB281="","",IFERROR(INDEX('Denial Codes'!$C:$C,MATCH(LEFT($BB281,FIND(" - ",$BB281&amp;" - ")+2)&amp;"*",'Denial Codes'!$A:$A,0)),""))</f>
        <v/>
      </c>
      <c r="BJ281" s="15" t="str">
        <f aca="false">IF($BA281="","",IFERROR(INDEX(Lists!$B:$B,MATCH(TRIM($BA281),Lists!$A:$A,0))&amp;"",""))</f>
        <v/>
      </c>
    </row>
    <row r="282" customFormat="false" ht="15" hidden="false" customHeight="false" outlineLevel="0" collapsed="false">
      <c r="A282" s="7" t="s">
        <v>17</v>
      </c>
      <c r="B282" s="7" t="s">
        <v>1298</v>
      </c>
      <c r="C282" s="8" t="n">
        <v>571616270</v>
      </c>
      <c r="D282" s="9" t="n">
        <v>46293</v>
      </c>
      <c r="E282" s="10" t="s">
        <v>1299</v>
      </c>
      <c r="F282" s="11" t="n">
        <v>46135</v>
      </c>
      <c r="G282" s="10" t="s">
        <v>271</v>
      </c>
      <c r="H282" s="10" t="s">
        <v>260</v>
      </c>
      <c r="I282" s="10" t="s">
        <v>271</v>
      </c>
      <c r="J282" s="10" t="s">
        <v>244</v>
      </c>
      <c r="K282" s="9" t="n">
        <v>46278</v>
      </c>
      <c r="L282" s="12" t="n">
        <f aca="true">IF($O282="","",$O282-TODAY())</f>
        <v>189</v>
      </c>
      <c r="M282" s="12" t="n">
        <f aca="true">IF(AND(TRIM($A282)="Finalized",$K282&lt;&gt;""),"",IF($D282="","",$D282+365-TODAY()))</f>
        <v>347</v>
      </c>
      <c r="N282" s="12" t="n">
        <f aca="true">IF(AND(TRIM($A282)="Finalized",$K282&lt;&gt;""),"",IF($D282="","",$D282+120-TODAY()))</f>
        <v>102</v>
      </c>
      <c r="O282" s="11" t="n">
        <f aca="false">IF(AND(TRIM($A282)="Finalized",$K282&lt;&gt;""),"",DATE(2027,4,23))</f>
        <v>46500</v>
      </c>
      <c r="P282" s="10" t="s">
        <v>114</v>
      </c>
      <c r="Q282" s="10" t="s">
        <v>115</v>
      </c>
      <c r="R282" s="10" t="s">
        <v>114</v>
      </c>
      <c r="S282" s="10" t="s">
        <v>116</v>
      </c>
      <c r="T282" s="10" t="s">
        <v>117</v>
      </c>
      <c r="U282" s="10" t="s">
        <v>116</v>
      </c>
      <c r="V282" s="10" t="s">
        <v>221</v>
      </c>
      <c r="W282" s="10" t="s">
        <v>132</v>
      </c>
      <c r="X282" s="10"/>
      <c r="Y282" s="10"/>
      <c r="Z282" s="10"/>
      <c r="AA282" s="10" t="s">
        <v>197</v>
      </c>
      <c r="AB282" s="8" t="n">
        <f aca="true">IF($F282="","",TODAY()-$F282)</f>
        <v>176</v>
      </c>
      <c r="AC282" s="10" t="s">
        <v>246</v>
      </c>
      <c r="AD282" s="10"/>
      <c r="AE282" s="10"/>
      <c r="AF282" s="10"/>
      <c r="AG282" s="10"/>
      <c r="AH282" s="10"/>
      <c r="AI282" s="10"/>
      <c r="AJ282" s="10" t="s">
        <v>859</v>
      </c>
      <c r="AK282" s="10" t="s">
        <v>751</v>
      </c>
      <c r="AL282" s="10" t="s">
        <v>1300</v>
      </c>
      <c r="AM282" s="10"/>
      <c r="AN282" s="8" t="n">
        <v>573776042</v>
      </c>
      <c r="AO282" s="10" t="s">
        <v>546</v>
      </c>
      <c r="AP282" s="10" t="s">
        <v>175</v>
      </c>
      <c r="AQ282" s="11" t="n">
        <v>46140</v>
      </c>
      <c r="AR282" s="13"/>
      <c r="AS282" s="13"/>
      <c r="AT282" s="13"/>
      <c r="AU282" s="13"/>
      <c r="AV282" s="13" t="s">
        <v>246</v>
      </c>
      <c r="AW282" s="13"/>
      <c r="AX282" s="13" t="s">
        <v>246</v>
      </c>
      <c r="AY282" s="7" t="s">
        <v>159</v>
      </c>
      <c r="AZ282" s="7"/>
      <c r="BA282" s="7" t="s">
        <v>46</v>
      </c>
      <c r="BB282" s="7"/>
      <c r="BC282" s="7"/>
      <c r="BD282" s="9" t="n">
        <v>46308</v>
      </c>
      <c r="BE282" s="7"/>
      <c r="BF282" s="14" t="str">
        <f aca="true">IF(TRIM($A282)="Finalized","Closed",IF($BD282="","No review date set",IF($BD282&lt;TODAY(),"OVERDUE",IF($BD282-TODAY()&lt;=7,"Due within 7 days","Scheduled"))))</f>
        <v>OVERDUE</v>
      </c>
      <c r="BG282" s="14" t="n">
        <f aca="true">IF($K282="","",TODAY()-$K282)</f>
        <v>33</v>
      </c>
      <c r="BH282" s="15" t="str">
        <f aca="false">IFERROR(LEFT(IF($B282="","Notes, ","")&amp;IF($K282="","Latest Date Worked, ","")&amp;IF($AY282="","Last Action, ","")&amp;IF(AND(OR(TRIM($A282)="Denied",TRIM($A282)="Rejected"),$BA282=""),"Denial Reason, ","")&amp;IF(AND(TRIM($A282)="Denied",$BB282="",TRIM($BA282)&lt;&gt;"NO DENIAL"),"Denial Code, ","")&amp;IF(AND(TRIM($A282)&lt;&gt;"Finalized",$BD282=""),"Next Review Date, ","")&amp;IF(AND(TRIM($A282)&lt;&gt;"Finalized",$BE282=""),"Next Step, ","")&amp;IF(AND(TRIM($A282)="Finalized",$AV282="",$AR282="",$AT282="",$AX282="",$AW282=""),"CPT outcome, ",""),LEN(IF($B282="","Notes, ","")&amp;IF($K282="","Latest Date Worked, ","")&amp;IF($AY282="","Last Action, ","")&amp;IF(AND(OR(TRIM($A282)="Denied",TRIM($A282)="Rejected"),$BA282=""),"Denial Reason, ","")&amp;IF(AND(TRIM($A282)="Denied",$BB282="",TRIM($BA282)&lt;&gt;"NO DENIAL"),"Denial Code, ","")&amp;IF(AND(TRIM($A282)&lt;&gt;"Finalized",$BD282=""),"Next Review Date, ","")&amp;IF(AND(TRIM($A282)&lt;&gt;"Finalized",$BE282=""),"Next Step, ","")&amp;IF(AND(TRIM($A282)="Finalized",$AV282="",$AR282="",$AT282="",$AX282="",$AW282=""),"CPT outcome, ",""))-2),"")</f>
        <v>Denial Code, Next Step</v>
      </c>
      <c r="BI282" s="15" t="str">
        <f aca="false">IF($BB282="","",IFERROR(INDEX('Denial Codes'!$C:$C,MATCH(LEFT($BB282,FIND(" - ",$BB282&amp;" - ")+2)&amp;"*",'Denial Codes'!$A:$A,0)),""))</f>
        <v/>
      </c>
      <c r="BJ282" s="15" t="str">
        <f aca="false">IF($BA282="","",IFERROR(INDEX(Lists!$B:$B,MATCH(TRIM($BA282),Lists!$A:$A,0))&amp;"",""))</f>
        <v>Verify eligibility; correct the member ID/MBI, name or DOB and resubmit.</v>
      </c>
    </row>
    <row r="283" customFormat="false" ht="15" hidden="false" customHeight="false" outlineLevel="0" collapsed="false">
      <c r="A283" s="7" t="s">
        <v>17</v>
      </c>
      <c r="B283" s="7" t="s">
        <v>1298</v>
      </c>
      <c r="C283" s="8" t="n">
        <v>571616337</v>
      </c>
      <c r="D283" s="9" t="n">
        <v>46293</v>
      </c>
      <c r="E283" s="10" t="s">
        <v>1299</v>
      </c>
      <c r="F283" s="11" t="n">
        <v>46139</v>
      </c>
      <c r="G283" s="10" t="s">
        <v>271</v>
      </c>
      <c r="H283" s="10" t="s">
        <v>112</v>
      </c>
      <c r="I283" s="10" t="s">
        <v>271</v>
      </c>
      <c r="J283" s="10" t="s">
        <v>272</v>
      </c>
      <c r="K283" s="9" t="n">
        <v>46278</v>
      </c>
      <c r="L283" s="12" t="n">
        <f aca="true">IF($O283="","",$O283-TODAY())</f>
        <v>193</v>
      </c>
      <c r="M283" s="12" t="n">
        <f aca="true">IF(AND(TRIM($A283)="Finalized",$K283&lt;&gt;""),"",IF($D283="","",$D283+365-TODAY()))</f>
        <v>347</v>
      </c>
      <c r="N283" s="12" t="n">
        <f aca="true">IF(AND(TRIM($A283)="Finalized",$K283&lt;&gt;""),"",IF($D283="","",$D283+120-TODAY()))</f>
        <v>102</v>
      </c>
      <c r="O283" s="11" t="n">
        <f aca="false">IF(AND(TRIM($A283)="Finalized",$K283&lt;&gt;""),"",DATE(2027,4,27))</f>
        <v>46504</v>
      </c>
      <c r="P283" s="10" t="s">
        <v>114</v>
      </c>
      <c r="Q283" s="10" t="s">
        <v>115</v>
      </c>
      <c r="R283" s="10" t="s">
        <v>114</v>
      </c>
      <c r="S283" s="10" t="s">
        <v>116</v>
      </c>
      <c r="T283" s="10" t="s">
        <v>117</v>
      </c>
      <c r="U283" s="10" t="s">
        <v>116</v>
      </c>
      <c r="V283" s="10" t="s">
        <v>221</v>
      </c>
      <c r="W283" s="10" t="s">
        <v>119</v>
      </c>
      <c r="X283" s="10" t="s">
        <v>120</v>
      </c>
      <c r="Y283" s="10"/>
      <c r="Z283" s="10"/>
      <c r="AA283" s="10" t="s">
        <v>121</v>
      </c>
      <c r="AB283" s="8" t="n">
        <f aca="true">IF($F283="","",TODAY()-$F283)</f>
        <v>172</v>
      </c>
      <c r="AC283" s="10" t="s">
        <v>273</v>
      </c>
      <c r="AD283" s="10"/>
      <c r="AE283" s="10"/>
      <c r="AF283" s="10"/>
      <c r="AG283" s="10"/>
      <c r="AH283" s="10"/>
      <c r="AI283" s="10"/>
      <c r="AJ283" s="10" t="s">
        <v>123</v>
      </c>
      <c r="AK283" s="10"/>
      <c r="AL283" s="10"/>
      <c r="AM283" s="10"/>
      <c r="AN283" s="8" t="n">
        <v>573775998</v>
      </c>
      <c r="AO283" s="10" t="s">
        <v>274</v>
      </c>
      <c r="AP283" s="10" t="s">
        <v>275</v>
      </c>
      <c r="AQ283" s="11" t="n">
        <v>46140</v>
      </c>
      <c r="AR283" s="13"/>
      <c r="AS283" s="13"/>
      <c r="AT283" s="13"/>
      <c r="AU283" s="13"/>
      <c r="AV283" s="13" t="s">
        <v>273</v>
      </c>
      <c r="AW283" s="13"/>
      <c r="AX283" s="13" t="s">
        <v>273</v>
      </c>
      <c r="AY283" s="7" t="s">
        <v>159</v>
      </c>
      <c r="AZ283" s="7"/>
      <c r="BA283" s="7" t="s">
        <v>46</v>
      </c>
      <c r="BB283" s="7"/>
      <c r="BC283" s="7"/>
      <c r="BD283" s="9" t="n">
        <v>46308</v>
      </c>
      <c r="BE283" s="7"/>
      <c r="BF283" s="14" t="str">
        <f aca="true">IF(TRIM($A283)="Finalized","Closed",IF($BD283="","No review date set",IF($BD283&lt;TODAY(),"OVERDUE",IF($BD283-TODAY()&lt;=7,"Due within 7 days","Scheduled"))))</f>
        <v>OVERDUE</v>
      </c>
      <c r="BG283" s="14" t="n">
        <f aca="true">IF($K283="","",TODAY()-$K283)</f>
        <v>33</v>
      </c>
      <c r="BH283" s="15" t="str">
        <f aca="false">IFERROR(LEFT(IF($B283="","Notes, ","")&amp;IF($K283="","Latest Date Worked, ","")&amp;IF($AY283="","Last Action, ","")&amp;IF(AND(OR(TRIM($A283)="Denied",TRIM($A283)="Rejected"),$BA283=""),"Denial Reason, ","")&amp;IF(AND(TRIM($A283)="Denied",$BB283="",TRIM($BA283)&lt;&gt;"NO DENIAL"),"Denial Code, ","")&amp;IF(AND(TRIM($A283)&lt;&gt;"Finalized",$BD283=""),"Next Review Date, ","")&amp;IF(AND(TRIM($A283)&lt;&gt;"Finalized",$BE283=""),"Next Step, ","")&amp;IF(AND(TRIM($A283)="Finalized",$AV283="",$AR283="",$AT283="",$AX283="",$AW283=""),"CPT outcome, ",""),LEN(IF($B283="","Notes, ","")&amp;IF($K283="","Latest Date Worked, ","")&amp;IF($AY283="","Last Action, ","")&amp;IF(AND(OR(TRIM($A283)="Denied",TRIM($A283)="Rejected"),$BA283=""),"Denial Reason, ","")&amp;IF(AND(TRIM($A283)="Denied",$BB283="",TRIM($BA283)&lt;&gt;"NO DENIAL"),"Denial Code, ","")&amp;IF(AND(TRIM($A283)&lt;&gt;"Finalized",$BD283=""),"Next Review Date, ","")&amp;IF(AND(TRIM($A283)&lt;&gt;"Finalized",$BE283=""),"Next Step, ","")&amp;IF(AND(TRIM($A283)="Finalized",$AV283="",$AR283="",$AT283="",$AX283="",$AW283=""),"CPT outcome, ",""))-2),"")</f>
        <v>Denial Code, Next Step</v>
      </c>
      <c r="BI283" s="15" t="str">
        <f aca="false">IF($BB283="","",IFERROR(INDEX('Denial Codes'!$C:$C,MATCH(LEFT($BB283,FIND(" - ",$BB283&amp;" - ")+2)&amp;"*",'Denial Codes'!$A:$A,0)),""))</f>
        <v/>
      </c>
      <c r="BJ283" s="15" t="str">
        <f aca="false">IF($BA283="","",IFERROR(INDEX(Lists!$B:$B,MATCH(TRIM($BA283),Lists!$A:$A,0))&amp;"",""))</f>
        <v>Verify eligibility; correct the member ID/MBI, name or DOB and resubmit.</v>
      </c>
    </row>
    <row r="284" customFormat="false" ht="15" hidden="false" customHeight="false" outlineLevel="0" collapsed="false">
      <c r="A284" s="7" t="s">
        <v>17</v>
      </c>
      <c r="B284" s="7" t="s">
        <v>1226</v>
      </c>
      <c r="C284" s="8" t="n">
        <v>571585850</v>
      </c>
      <c r="D284" s="9" t="n">
        <v>46293</v>
      </c>
      <c r="E284" s="10" t="s">
        <v>1301</v>
      </c>
      <c r="F284" s="11" t="n">
        <v>46140</v>
      </c>
      <c r="G284" s="10" t="s">
        <v>1302</v>
      </c>
      <c r="H284" s="10" t="s">
        <v>260</v>
      </c>
      <c r="I284" s="10" t="s">
        <v>1302</v>
      </c>
      <c r="J284" s="10" t="s">
        <v>1303</v>
      </c>
      <c r="K284" s="9" t="n">
        <v>46277</v>
      </c>
      <c r="L284" s="12" t="n">
        <f aca="true">IF($O284="","",$O284-TODAY())</f>
        <v>194</v>
      </c>
      <c r="M284" s="12" t="n">
        <f aca="true">IF(AND(TRIM($A284)="Finalized",$K284&lt;&gt;""),"",IF($D284="","",$D284+365-TODAY()))</f>
        <v>347</v>
      </c>
      <c r="N284" s="12" t="n">
        <f aca="true">IF(AND(TRIM($A284)="Finalized",$K284&lt;&gt;""),"",IF($D284="","",$D284+120-TODAY()))</f>
        <v>102</v>
      </c>
      <c r="O284" s="11" t="n">
        <f aca="false">IF(AND(TRIM($A284)="Finalized",$K284&lt;&gt;""),"",DATE(2027,4,28))</f>
        <v>46505</v>
      </c>
      <c r="P284" s="10" t="s">
        <v>114</v>
      </c>
      <c r="Q284" s="10" t="s">
        <v>115</v>
      </c>
      <c r="R284" s="10" t="s">
        <v>114</v>
      </c>
      <c r="S284" s="10" t="s">
        <v>116</v>
      </c>
      <c r="T284" s="10" t="s">
        <v>117</v>
      </c>
      <c r="U284" s="10" t="s">
        <v>116</v>
      </c>
      <c r="V284" s="10" t="s">
        <v>221</v>
      </c>
      <c r="W284" s="10" t="s">
        <v>196</v>
      </c>
      <c r="X284" s="10"/>
      <c r="Y284" s="10"/>
      <c r="Z284" s="10"/>
      <c r="AA284" s="10" t="s">
        <v>197</v>
      </c>
      <c r="AB284" s="8" t="n">
        <f aca="true">IF($F284="","",TODAY()-$F284)</f>
        <v>171</v>
      </c>
      <c r="AC284" s="10" t="s">
        <v>1304</v>
      </c>
      <c r="AD284" s="10" t="s">
        <v>487</v>
      </c>
      <c r="AE284" s="10" t="s">
        <v>198</v>
      </c>
      <c r="AF284" s="10"/>
      <c r="AG284" s="10"/>
      <c r="AH284" s="10"/>
      <c r="AI284" s="10"/>
      <c r="AJ284" s="10" t="s">
        <v>1305</v>
      </c>
      <c r="AK284" s="10"/>
      <c r="AL284" s="10"/>
      <c r="AM284" s="10"/>
      <c r="AN284" s="8" t="n">
        <v>573776031</v>
      </c>
      <c r="AO284" s="10" t="s">
        <v>201</v>
      </c>
      <c r="AP284" s="10" t="s">
        <v>202</v>
      </c>
      <c r="AQ284" s="11" t="n">
        <v>46147</v>
      </c>
      <c r="AR284" s="13"/>
      <c r="AS284" s="13"/>
      <c r="AT284" s="13"/>
      <c r="AU284" s="13"/>
      <c r="AV284" s="13" t="s">
        <v>1306</v>
      </c>
      <c r="AW284" s="13"/>
      <c r="AX284" s="13" t="s">
        <v>1306</v>
      </c>
      <c r="AY284" s="7" t="s">
        <v>159</v>
      </c>
      <c r="AZ284" s="7"/>
      <c r="BA284" s="7" t="s">
        <v>48</v>
      </c>
      <c r="BB284" s="7" t="s">
        <v>1269</v>
      </c>
      <c r="BC284" s="7"/>
      <c r="BD284" s="9" t="n">
        <v>46307</v>
      </c>
      <c r="BE284" s="7"/>
      <c r="BF284" s="14" t="str">
        <f aca="true">IF(TRIM($A284)="Finalized","Closed",IF($BD284="","No review date set",IF($BD284&lt;TODAY(),"OVERDUE",IF($BD284-TODAY()&lt;=7,"Due within 7 days","Scheduled"))))</f>
        <v>OVERDUE</v>
      </c>
      <c r="BG284" s="14" t="n">
        <f aca="true">IF($K284="","",TODAY()-$K284)</f>
        <v>34</v>
      </c>
      <c r="BH284" s="15" t="str">
        <f aca="false">IFERROR(LEFT(IF($B284="","Notes, ","")&amp;IF($K284="","Latest Date Worked, ","")&amp;IF($AY284="","Last Action, ","")&amp;IF(AND(OR(TRIM($A284)="Denied",TRIM($A284)="Rejected"),$BA284=""),"Denial Reason, ","")&amp;IF(AND(TRIM($A284)="Denied",$BB284="",TRIM($BA284)&lt;&gt;"NO DENIAL"),"Denial Code, ","")&amp;IF(AND(TRIM($A284)&lt;&gt;"Finalized",$BD284=""),"Next Review Date, ","")&amp;IF(AND(TRIM($A284)&lt;&gt;"Finalized",$BE284=""),"Next Step, ","")&amp;IF(AND(TRIM($A284)="Finalized",$AV284="",$AR284="",$AT284="",$AX284="",$AW284=""),"CPT outcome, ",""),LEN(IF($B284="","Notes, ","")&amp;IF($K284="","Latest Date Worked, ","")&amp;IF($AY284="","Last Action, ","")&amp;IF(AND(OR(TRIM($A284)="Denied",TRIM($A284)="Rejected"),$BA284=""),"Denial Reason, ","")&amp;IF(AND(TRIM($A284)="Denied",$BB284="",TRIM($BA284)&lt;&gt;"NO DENIAL"),"Denial Code, ","")&amp;IF(AND(TRIM($A284)&lt;&gt;"Finalized",$BD284=""),"Next Review Date, ","")&amp;IF(AND(TRIM($A284)&lt;&gt;"Finalized",$BE284=""),"Next Step, ","")&amp;IF(AND(TRIM($A284)="Finalized",$AV284="",$AR284="",$AT284="",$AX284="",$AW284=""),"CPT outcome, ",""))-2),"")</f>
        <v>Next Step</v>
      </c>
      <c r="BI284" s="15" t="str">
        <f aca="false">IF($BB284="","",IFERROR(INDEX('Denial Codes'!$C:$C,MATCH(LEFT($BB284,FIND(" - ",$BB284&amp;" - ")+2)&amp;"*",'Denial Codes'!$A:$A,0)),""))</f>
        <v>Referral / referring provider</v>
      </c>
      <c r="BJ284" s="15" t="str">
        <f aca="false">IF($BA284="","",IFERROR(INDEX(Lists!$B:$B,MATCH(TRIM($BA284),Lists!$A:$A,0))&amp;"",""))</f>
        <v>Get a valid referral or correct the referring provider, then resubmit.</v>
      </c>
    </row>
    <row r="285" customFormat="false" ht="15" hidden="false" customHeight="false" outlineLevel="0" collapsed="false">
      <c r="A285" s="7" t="s">
        <v>17</v>
      </c>
      <c r="B285" s="7" t="s">
        <v>1226</v>
      </c>
      <c r="C285" s="8" t="n">
        <v>571585903</v>
      </c>
      <c r="D285" s="9" t="n">
        <v>46293</v>
      </c>
      <c r="E285" s="10" t="s">
        <v>1307</v>
      </c>
      <c r="F285" s="11" t="n">
        <v>46141</v>
      </c>
      <c r="G285" s="10" t="s">
        <v>163</v>
      </c>
      <c r="H285" s="10" t="s">
        <v>260</v>
      </c>
      <c r="I285" s="10" t="s">
        <v>163</v>
      </c>
      <c r="J285" s="10" t="s">
        <v>194</v>
      </c>
      <c r="K285" s="9" t="n">
        <v>46277</v>
      </c>
      <c r="L285" s="12" t="n">
        <f aca="true">IF($O285="","",$O285-TODAY())</f>
        <v>195</v>
      </c>
      <c r="M285" s="12" t="n">
        <f aca="true">IF(AND(TRIM($A285)="Finalized",$K285&lt;&gt;""),"",IF($D285="","",$D285+365-TODAY()))</f>
        <v>347</v>
      </c>
      <c r="N285" s="12" t="n">
        <f aca="true">IF(AND(TRIM($A285)="Finalized",$K285&lt;&gt;""),"",IF($D285="","",$D285+120-TODAY()))</f>
        <v>102</v>
      </c>
      <c r="O285" s="11" t="n">
        <f aca="false">IF(AND(TRIM($A285)="Finalized",$K285&lt;&gt;""),"",DATE(2027,4,29))</f>
        <v>46506</v>
      </c>
      <c r="P285" s="10" t="s">
        <v>114</v>
      </c>
      <c r="Q285" s="10" t="s">
        <v>115</v>
      </c>
      <c r="R285" s="10" t="s">
        <v>114</v>
      </c>
      <c r="S285" s="10" t="s">
        <v>116</v>
      </c>
      <c r="T285" s="10" t="s">
        <v>117</v>
      </c>
      <c r="U285" s="10" t="s">
        <v>116</v>
      </c>
      <c r="V285" s="10" t="s">
        <v>221</v>
      </c>
      <c r="W285" s="10" t="s">
        <v>196</v>
      </c>
      <c r="X285" s="10"/>
      <c r="Y285" s="10"/>
      <c r="Z285" s="10"/>
      <c r="AA285" s="10" t="s">
        <v>197</v>
      </c>
      <c r="AB285" s="8" t="n">
        <f aca="true">IF($F285="","",TODAY()-$F285)</f>
        <v>170</v>
      </c>
      <c r="AC285" s="10" t="s">
        <v>198</v>
      </c>
      <c r="AD285" s="10"/>
      <c r="AE285" s="10"/>
      <c r="AF285" s="10"/>
      <c r="AG285" s="10"/>
      <c r="AH285" s="10"/>
      <c r="AI285" s="10"/>
      <c r="AJ285" s="10" t="s">
        <v>375</v>
      </c>
      <c r="AK285" s="10"/>
      <c r="AL285" s="10"/>
      <c r="AM285" s="10"/>
      <c r="AN285" s="8" t="n">
        <v>573776026</v>
      </c>
      <c r="AO285" s="10" t="s">
        <v>255</v>
      </c>
      <c r="AP285" s="10" t="s">
        <v>268</v>
      </c>
      <c r="AQ285" s="11" t="n">
        <v>46147</v>
      </c>
      <c r="AR285" s="13"/>
      <c r="AS285" s="13"/>
      <c r="AT285" s="13"/>
      <c r="AU285" s="13"/>
      <c r="AV285" s="13" t="s">
        <v>198</v>
      </c>
      <c r="AW285" s="13"/>
      <c r="AX285" s="13" t="s">
        <v>198</v>
      </c>
      <c r="AY285" s="7" t="s">
        <v>159</v>
      </c>
      <c r="AZ285" s="7"/>
      <c r="BA285" s="7" t="s">
        <v>48</v>
      </c>
      <c r="BB285" s="7" t="s">
        <v>1269</v>
      </c>
      <c r="BC285" s="7"/>
      <c r="BD285" s="9" t="n">
        <v>46307</v>
      </c>
      <c r="BE285" s="7"/>
      <c r="BF285" s="14" t="str">
        <f aca="true">IF(TRIM($A285)="Finalized","Closed",IF($BD285="","No review date set",IF($BD285&lt;TODAY(),"OVERDUE",IF($BD285-TODAY()&lt;=7,"Due within 7 days","Scheduled"))))</f>
        <v>OVERDUE</v>
      </c>
      <c r="BG285" s="14" t="n">
        <f aca="true">IF($K285="","",TODAY()-$K285)</f>
        <v>34</v>
      </c>
      <c r="BH285" s="15" t="str">
        <f aca="false">IFERROR(LEFT(IF($B285="","Notes, ","")&amp;IF($K285="","Latest Date Worked, ","")&amp;IF($AY285="","Last Action, ","")&amp;IF(AND(OR(TRIM($A285)="Denied",TRIM($A285)="Rejected"),$BA285=""),"Denial Reason, ","")&amp;IF(AND(TRIM($A285)="Denied",$BB285="",TRIM($BA285)&lt;&gt;"NO DENIAL"),"Denial Code, ","")&amp;IF(AND(TRIM($A285)&lt;&gt;"Finalized",$BD285=""),"Next Review Date, ","")&amp;IF(AND(TRIM($A285)&lt;&gt;"Finalized",$BE285=""),"Next Step, ","")&amp;IF(AND(TRIM($A285)="Finalized",$AV285="",$AR285="",$AT285="",$AX285="",$AW285=""),"CPT outcome, ",""),LEN(IF($B285="","Notes, ","")&amp;IF($K285="","Latest Date Worked, ","")&amp;IF($AY285="","Last Action, ","")&amp;IF(AND(OR(TRIM($A285)="Denied",TRIM($A285)="Rejected"),$BA285=""),"Denial Reason, ","")&amp;IF(AND(TRIM($A285)="Denied",$BB285="",TRIM($BA285)&lt;&gt;"NO DENIAL"),"Denial Code, ","")&amp;IF(AND(TRIM($A285)&lt;&gt;"Finalized",$BD285=""),"Next Review Date, ","")&amp;IF(AND(TRIM($A285)&lt;&gt;"Finalized",$BE285=""),"Next Step, ","")&amp;IF(AND(TRIM($A285)="Finalized",$AV285="",$AR285="",$AT285="",$AX285="",$AW285=""),"CPT outcome, ",""))-2),"")</f>
        <v>Next Step</v>
      </c>
      <c r="BI285" s="15" t="str">
        <f aca="false">IF($BB285="","",IFERROR(INDEX('Denial Codes'!$C:$C,MATCH(LEFT($BB285,FIND(" - ",$BB285&amp;" - ")+2)&amp;"*",'Denial Codes'!$A:$A,0)),""))</f>
        <v>Referral / referring provider</v>
      </c>
      <c r="BJ285" s="15" t="str">
        <f aca="false">IF($BA285="","",IFERROR(INDEX(Lists!$B:$B,MATCH(TRIM($BA285),Lists!$A:$A,0))&amp;"",""))</f>
        <v>Get a valid referral or correct the referring provider, then resubmit.</v>
      </c>
    </row>
    <row r="286" customFormat="false" ht="15" hidden="false" customHeight="false" outlineLevel="0" collapsed="false">
      <c r="A286" s="7" t="s">
        <v>16</v>
      </c>
      <c r="B286" s="7" t="s">
        <v>1308</v>
      </c>
      <c r="C286" s="8" t="n">
        <v>558247000</v>
      </c>
      <c r="D286" s="9" t="n">
        <v>46154</v>
      </c>
      <c r="E286" s="10" t="s">
        <v>1309</v>
      </c>
      <c r="F286" s="11" t="n">
        <v>46141</v>
      </c>
      <c r="G286" s="10" t="s">
        <v>260</v>
      </c>
      <c r="H286" s="10" t="s">
        <v>260</v>
      </c>
      <c r="I286" s="10" t="s">
        <v>163</v>
      </c>
      <c r="J286" s="10" t="s">
        <v>602</v>
      </c>
      <c r="K286" s="9" t="n">
        <v>46277</v>
      </c>
      <c r="L286" s="12" t="str">
        <f aca="true">IF($O286="","",$O286-TODAY())</f>
        <v/>
      </c>
      <c r="M286" s="12" t="str">
        <f aca="true">IF(AND(TRIM($A286)="Finalized",$K286&lt;&gt;""),"",IF($D286="","",$D286+365-TODAY()))</f>
        <v/>
      </c>
      <c r="N286" s="12" t="str">
        <f aca="true">IF(AND(TRIM($A286)="Finalized",$K286&lt;&gt;""),"",IF($D286="","",$D286+120-TODAY()))</f>
        <v/>
      </c>
      <c r="O286" s="11" t="str">
        <f aca="false">IF(AND(TRIM($A286)="Finalized",$K286&lt;&gt;""),"",DATE(2027,4,29))</f>
        <v/>
      </c>
      <c r="P286" s="10" t="s">
        <v>114</v>
      </c>
      <c r="Q286" s="10" t="s">
        <v>115</v>
      </c>
      <c r="R286" s="10" t="s">
        <v>114</v>
      </c>
      <c r="S286" s="10" t="s">
        <v>116</v>
      </c>
      <c r="T286" s="10" t="s">
        <v>117</v>
      </c>
      <c r="U286" s="10" t="s">
        <v>116</v>
      </c>
      <c r="V286" s="10" t="s">
        <v>221</v>
      </c>
      <c r="W286" s="10" t="s">
        <v>196</v>
      </c>
      <c r="X286" s="10"/>
      <c r="Y286" s="10"/>
      <c r="Z286" s="10"/>
      <c r="AA286" s="10" t="s">
        <v>197</v>
      </c>
      <c r="AB286" s="8" t="n">
        <f aca="true">IF($F286="","",TODAY()-$F286)</f>
        <v>170</v>
      </c>
      <c r="AC286" s="10" t="s">
        <v>487</v>
      </c>
      <c r="AD286" s="10" t="s">
        <v>198</v>
      </c>
      <c r="AE286" s="10"/>
      <c r="AF286" s="10"/>
      <c r="AG286" s="10"/>
      <c r="AH286" s="10"/>
      <c r="AI286" s="10"/>
      <c r="AJ286" s="10" t="s">
        <v>375</v>
      </c>
      <c r="AK286" s="10"/>
      <c r="AL286" s="10"/>
      <c r="AM286" s="10"/>
      <c r="AN286" s="8"/>
      <c r="AO286" s="10" t="s">
        <v>255</v>
      </c>
      <c r="AP286" s="10" t="s">
        <v>268</v>
      </c>
      <c r="AQ286" s="11" t="n">
        <v>46147</v>
      </c>
      <c r="AR286" s="13"/>
      <c r="AS286" s="13"/>
      <c r="AT286" s="13"/>
      <c r="AU286" s="13"/>
      <c r="AV286" s="13" t="s">
        <v>1310</v>
      </c>
      <c r="AW286" s="13"/>
      <c r="AX286" s="13" t="s">
        <v>1310</v>
      </c>
      <c r="AY286" s="7" t="s">
        <v>363</v>
      </c>
      <c r="AZ286" s="7" t="s">
        <v>159</v>
      </c>
      <c r="BA286" s="7" t="s">
        <v>48</v>
      </c>
      <c r="BB286" s="7" t="s">
        <v>1269</v>
      </c>
      <c r="BC286" s="7"/>
      <c r="BD286" s="9"/>
      <c r="BE286" s="7"/>
      <c r="BF286" s="14" t="str">
        <f aca="true">IF(TRIM($A286)="Finalized","Closed",IF($BD286="","No review date set",IF($BD286&lt;TODAY(),"OVERDUE",IF($BD286-TODAY()&lt;=7,"Due within 7 days","Scheduled"))))</f>
        <v>Closed</v>
      </c>
      <c r="BG286" s="14" t="n">
        <f aca="true">IF($K286="","",TODAY()-$K286)</f>
        <v>34</v>
      </c>
      <c r="BH286" s="15" t="str">
        <f aca="false">IFERROR(LEFT(IF($B286="","Notes, ","")&amp;IF($K286="","Latest Date Worked, ","")&amp;IF($AY286="","Last Action, ","")&amp;IF(AND(OR(TRIM($A286)="Denied",TRIM($A286)="Rejected"),$BA286=""),"Denial Reason, ","")&amp;IF(AND(TRIM($A286)="Denied",$BB286="",TRIM($BA286)&lt;&gt;"NO DENIAL"),"Denial Code, ","")&amp;IF(AND(TRIM($A286)&lt;&gt;"Finalized",$BD286=""),"Next Review Date, ","")&amp;IF(AND(TRIM($A286)&lt;&gt;"Finalized",$BE286=""),"Next Step, ","")&amp;IF(AND(TRIM($A286)="Finalized",$AV286="",$AR286="",$AT286="",$AX286="",$AW286=""),"CPT outcome, ",""),LEN(IF($B286="","Notes, ","")&amp;IF($K286="","Latest Date Worked, ","")&amp;IF($AY286="","Last Action, ","")&amp;IF(AND(OR(TRIM($A286)="Denied",TRIM($A286)="Rejected"),$BA286=""),"Denial Reason, ","")&amp;IF(AND(TRIM($A286)="Denied",$BB286="",TRIM($BA286)&lt;&gt;"NO DENIAL"),"Denial Code, ","")&amp;IF(AND(TRIM($A286)&lt;&gt;"Finalized",$BD286=""),"Next Review Date, ","")&amp;IF(AND(TRIM($A286)&lt;&gt;"Finalized",$BE286=""),"Next Step, ","")&amp;IF(AND(TRIM($A286)="Finalized",$AV286="",$AR286="",$AT286="",$AX286="",$AW286=""),"CPT outcome, ",""))-2),"")</f>
        <v/>
      </c>
      <c r="BI286" s="15" t="str">
        <f aca="false">IF($BB286="","",IFERROR(INDEX('Denial Codes'!$C:$C,MATCH(LEFT($BB286,FIND(" - ",$BB286&amp;" - ")+2)&amp;"*",'Denial Codes'!$A:$A,0)),""))</f>
        <v>Referral / referring provider</v>
      </c>
      <c r="BJ286" s="15" t="str">
        <f aca="false">IF($BA286="","",IFERROR(INDEX(Lists!$B:$B,MATCH(TRIM($BA286),Lists!$A:$A,0))&amp;"",""))</f>
        <v>Get a valid referral or correct the referring provider, then resubmit.</v>
      </c>
    </row>
    <row r="287" customFormat="false" ht="15" hidden="false" customHeight="false" outlineLevel="0" collapsed="false">
      <c r="A287" s="7" t="s">
        <v>19</v>
      </c>
      <c r="B287" s="7" t="s">
        <v>1311</v>
      </c>
      <c r="C287" s="8" t="n">
        <v>557798679</v>
      </c>
      <c r="D287" s="9" t="n">
        <v>46202</v>
      </c>
      <c r="E287" s="10" t="s">
        <v>1312</v>
      </c>
      <c r="F287" s="11" t="n">
        <v>46142</v>
      </c>
      <c r="G287" s="10" t="s">
        <v>145</v>
      </c>
      <c r="H287" s="10" t="s">
        <v>112</v>
      </c>
      <c r="I287" s="10" t="s">
        <v>145</v>
      </c>
      <c r="J287" s="10" t="s">
        <v>1242</v>
      </c>
      <c r="K287" s="9" t="n">
        <v>46284</v>
      </c>
      <c r="L287" s="12" t="n">
        <f aca="true">IF($O287="","",$O287-TODAY())</f>
        <v>196</v>
      </c>
      <c r="M287" s="12" t="n">
        <f aca="true">IF(AND(TRIM($A287)="Finalized",$K287&lt;&gt;""),"",IF($D287="","",$D287+365-TODAY()))</f>
        <v>256</v>
      </c>
      <c r="N287" s="12" t="n">
        <f aca="true">IF(AND(TRIM($A287)="Finalized",$K287&lt;&gt;""),"",IF($D287="","",$D287+120-TODAY()))</f>
        <v>11</v>
      </c>
      <c r="O287" s="11" t="n">
        <f aca="false">IF(AND(TRIM($A287)="Finalized",$K287&lt;&gt;""),"",DATE(2027,4,30))</f>
        <v>46507</v>
      </c>
      <c r="P287" s="10" t="s">
        <v>114</v>
      </c>
      <c r="Q287" s="10" t="s">
        <v>115</v>
      </c>
      <c r="R287" s="10" t="s">
        <v>114</v>
      </c>
      <c r="S287" s="10" t="s">
        <v>116</v>
      </c>
      <c r="T287" s="10" t="s">
        <v>117</v>
      </c>
      <c r="U287" s="10" t="s">
        <v>116</v>
      </c>
      <c r="V287" s="10" t="s">
        <v>221</v>
      </c>
      <c r="W287" s="10" t="s">
        <v>119</v>
      </c>
      <c r="X287" s="10" t="s">
        <v>304</v>
      </c>
      <c r="Y287" s="10"/>
      <c r="Z287" s="10"/>
      <c r="AA287" s="10" t="s">
        <v>197</v>
      </c>
      <c r="AB287" s="8" t="n">
        <f aca="true">IF($F287="","",TODAY()-$F287)</f>
        <v>169</v>
      </c>
      <c r="AC287" s="10" t="s">
        <v>584</v>
      </c>
      <c r="AD287" s="10"/>
      <c r="AE287" s="10"/>
      <c r="AF287" s="10"/>
      <c r="AG287" s="10"/>
      <c r="AH287" s="10"/>
      <c r="AI287" s="10"/>
      <c r="AJ287" s="10" t="s">
        <v>139</v>
      </c>
      <c r="AK287" s="10" t="s">
        <v>306</v>
      </c>
      <c r="AL287" s="10"/>
      <c r="AM287" s="10"/>
      <c r="AN287" s="8" t="n">
        <v>564922714</v>
      </c>
      <c r="AO287" s="10" t="s">
        <v>274</v>
      </c>
      <c r="AP287" s="10" t="s">
        <v>275</v>
      </c>
      <c r="AQ287" s="11" t="n">
        <v>46153</v>
      </c>
      <c r="AR287" s="13"/>
      <c r="AS287" s="13"/>
      <c r="AT287" s="13"/>
      <c r="AU287" s="13"/>
      <c r="AV287" s="13" t="s">
        <v>584</v>
      </c>
      <c r="AW287" s="13"/>
      <c r="AX287" s="13" t="s">
        <v>584</v>
      </c>
      <c r="AY287" s="7" t="s">
        <v>159</v>
      </c>
      <c r="AZ287" s="7"/>
      <c r="BA287" s="7" t="s">
        <v>47</v>
      </c>
      <c r="BB287" s="7"/>
      <c r="BC287" s="7"/>
      <c r="BD287" s="9" t="n">
        <v>46314</v>
      </c>
      <c r="BE287" s="7"/>
      <c r="BF287" s="14" t="str">
        <f aca="true">IF(TRIM($A287)="Finalized","Closed",IF($BD287="","No review date set",IF($BD287&lt;TODAY(),"OVERDUE",IF($BD287-TODAY()&lt;=7,"Due within 7 days","Scheduled"))))</f>
        <v>Due within 7 days</v>
      </c>
      <c r="BG287" s="14" t="n">
        <f aca="true">IF($K287="","",TODAY()-$K287)</f>
        <v>27</v>
      </c>
      <c r="BH287" s="15" t="str">
        <f aca="false">IFERROR(LEFT(IF($B287="","Notes, ","")&amp;IF($K287="","Latest Date Worked, ","")&amp;IF($AY287="","Last Action, ","")&amp;IF(AND(OR(TRIM($A287)="Denied",TRIM($A287)="Rejected"),$BA287=""),"Denial Reason, ","")&amp;IF(AND(TRIM($A287)="Denied",$BB287="",TRIM($BA287)&lt;&gt;"NO DENIAL"),"Denial Code, ","")&amp;IF(AND(TRIM($A287)&lt;&gt;"Finalized",$BD287=""),"Next Review Date, ","")&amp;IF(AND(TRIM($A287)&lt;&gt;"Finalized",$BE287=""),"Next Step, ","")&amp;IF(AND(TRIM($A287)="Finalized",$AV287="",$AR287="",$AT287="",$AX287="",$AW287=""),"CPT outcome, ",""),LEN(IF($B287="","Notes, ","")&amp;IF($K287="","Latest Date Worked, ","")&amp;IF($AY287="","Last Action, ","")&amp;IF(AND(OR(TRIM($A287)="Denied",TRIM($A287)="Rejected"),$BA287=""),"Denial Reason, ","")&amp;IF(AND(TRIM($A287)="Denied",$BB287="",TRIM($BA287)&lt;&gt;"NO DENIAL"),"Denial Code, ","")&amp;IF(AND(TRIM($A287)&lt;&gt;"Finalized",$BD287=""),"Next Review Date, ","")&amp;IF(AND(TRIM($A287)&lt;&gt;"Finalized",$BE287=""),"Next Step, ","")&amp;IF(AND(TRIM($A287)="Finalized",$AV287="",$AR287="",$AT287="",$AX287="",$AW287=""),"CPT outcome, ",""))-2),"")</f>
        <v>Next Step</v>
      </c>
      <c r="BI287" s="15" t="str">
        <f aca="false">IF($BB287="","",IFERROR(INDEX('Denial Codes'!$C:$C,MATCH(LEFT($BB287,FIND(" - ",$BB287&amp;" - ")+2)&amp;"*",'Denial Codes'!$A:$A,0)),""))</f>
        <v/>
      </c>
      <c r="BJ287" s="15" t="str">
        <f aca="false">IF($BA287="","",IFERROR(INDEX(Lists!$B:$B,MATCH(TRIM($BA287),Lists!$A:$A,0))&amp;"",""))</f>
        <v>Check provider enrollment, NPI/TIN and network status; appeal once credentialing is confirmed.</v>
      </c>
    </row>
    <row r="288" customFormat="false" ht="15" hidden="false" customHeight="false" outlineLevel="0" collapsed="false">
      <c r="A288" s="7" t="s">
        <v>16</v>
      </c>
      <c r="B288" s="7" t="s">
        <v>1313</v>
      </c>
      <c r="C288" s="8" t="n">
        <v>558809263</v>
      </c>
      <c r="D288" s="9" t="n">
        <v>46157</v>
      </c>
      <c r="E288" s="10" t="s">
        <v>1314</v>
      </c>
      <c r="F288" s="11" t="n">
        <v>46143</v>
      </c>
      <c r="G288" s="10" t="s">
        <v>260</v>
      </c>
      <c r="H288" s="10" t="s">
        <v>260</v>
      </c>
      <c r="I288" s="10" t="s">
        <v>271</v>
      </c>
      <c r="J288" s="10" t="s">
        <v>1315</v>
      </c>
      <c r="K288" s="9" t="n">
        <v>46246</v>
      </c>
      <c r="L288" s="12" t="str">
        <f aca="true">IF($O288="","",$O288-TODAY())</f>
        <v/>
      </c>
      <c r="M288" s="12" t="str">
        <f aca="true">IF(AND(TRIM($A288)="Finalized",$K288&lt;&gt;""),"",IF($D288="","",$D288+365-TODAY()))</f>
        <v/>
      </c>
      <c r="N288" s="12" t="str">
        <f aca="true">IF(AND(TRIM($A288)="Finalized",$K288&lt;&gt;""),"",IF($D288="","",$D288+120-TODAY()))</f>
        <v/>
      </c>
      <c r="O288" s="11" t="str">
        <f aca="false">IF(AND(TRIM($A288)="Finalized",$K288&lt;&gt;""),"",DATE(2027,5,1))</f>
        <v/>
      </c>
      <c r="P288" s="10" t="s">
        <v>114</v>
      </c>
      <c r="Q288" s="10" t="s">
        <v>115</v>
      </c>
      <c r="R288" s="10" t="s">
        <v>114</v>
      </c>
      <c r="S288" s="10" t="s">
        <v>116</v>
      </c>
      <c r="T288" s="10" t="s">
        <v>117</v>
      </c>
      <c r="U288" s="10" t="s">
        <v>116</v>
      </c>
      <c r="V288" s="10" t="s">
        <v>266</v>
      </c>
      <c r="W288" s="10" t="s">
        <v>132</v>
      </c>
      <c r="X288" s="10" t="s">
        <v>621</v>
      </c>
      <c r="Y288" s="10"/>
      <c r="Z288" s="10"/>
      <c r="AA288" s="10" t="s">
        <v>197</v>
      </c>
      <c r="AB288" s="8" t="n">
        <f aca="true">IF($F288="","",TODAY()-$F288)</f>
        <v>168</v>
      </c>
      <c r="AC288" s="10" t="s">
        <v>246</v>
      </c>
      <c r="AD288" s="10"/>
      <c r="AE288" s="10"/>
      <c r="AF288" s="10"/>
      <c r="AG288" s="10"/>
      <c r="AH288" s="10"/>
      <c r="AI288" s="10"/>
      <c r="AJ288" s="10" t="s">
        <v>124</v>
      </c>
      <c r="AK288" s="10"/>
      <c r="AL288" s="10"/>
      <c r="AM288" s="10"/>
      <c r="AN288" s="8"/>
      <c r="AO288" s="10" t="s">
        <v>187</v>
      </c>
      <c r="AP288" s="10" t="s">
        <v>175</v>
      </c>
      <c r="AQ288" s="11" t="n">
        <v>46155</v>
      </c>
      <c r="AR288" s="13"/>
      <c r="AS288" s="13"/>
      <c r="AT288" s="13"/>
      <c r="AU288" s="13"/>
      <c r="AV288" s="13" t="s">
        <v>246</v>
      </c>
      <c r="AW288" s="13"/>
      <c r="AX288" s="13" t="s">
        <v>246</v>
      </c>
      <c r="AY288" s="7" t="s">
        <v>363</v>
      </c>
      <c r="AZ288" s="7" t="s">
        <v>159</v>
      </c>
      <c r="BA288" s="7" t="s">
        <v>38</v>
      </c>
      <c r="BB288" s="7" t="s">
        <v>320</v>
      </c>
      <c r="BC288" s="7"/>
      <c r="BD288" s="9"/>
      <c r="BE288" s="7"/>
      <c r="BF288" s="14" t="str">
        <f aca="true">IF(TRIM($A288)="Finalized","Closed",IF($BD288="","No review date set",IF($BD288&lt;TODAY(),"OVERDUE",IF($BD288-TODAY()&lt;=7,"Due within 7 days","Scheduled"))))</f>
        <v>Closed</v>
      </c>
      <c r="BG288" s="14" t="n">
        <f aca="true">IF($K288="","",TODAY()-$K288)</f>
        <v>65</v>
      </c>
      <c r="BH288" s="15" t="str">
        <f aca="false">IFERROR(LEFT(IF($B288="","Notes, ","")&amp;IF($K288="","Latest Date Worked, ","")&amp;IF($AY288="","Last Action, ","")&amp;IF(AND(OR(TRIM($A288)="Denied",TRIM($A288)="Rejected"),$BA288=""),"Denial Reason, ","")&amp;IF(AND(TRIM($A288)="Denied",$BB288="",TRIM($BA288)&lt;&gt;"NO DENIAL"),"Denial Code, ","")&amp;IF(AND(TRIM($A288)&lt;&gt;"Finalized",$BD288=""),"Next Review Date, ","")&amp;IF(AND(TRIM($A288)&lt;&gt;"Finalized",$BE288=""),"Next Step, ","")&amp;IF(AND(TRIM($A288)="Finalized",$AV288="",$AR288="",$AT288="",$AX288="",$AW288=""),"CPT outcome, ",""),LEN(IF($B288="","Notes, ","")&amp;IF($K288="","Latest Date Worked, ","")&amp;IF($AY288="","Last Action, ","")&amp;IF(AND(OR(TRIM($A288)="Denied",TRIM($A288)="Rejected"),$BA288=""),"Denial Reason, ","")&amp;IF(AND(TRIM($A288)="Denied",$BB288="",TRIM($BA288)&lt;&gt;"NO DENIAL"),"Denial Code, ","")&amp;IF(AND(TRIM($A288)&lt;&gt;"Finalized",$BD288=""),"Next Review Date, ","")&amp;IF(AND(TRIM($A288)&lt;&gt;"Finalized",$BE288=""),"Next Step, ","")&amp;IF(AND(TRIM($A288)="Finalized",$AV288="",$AR288="",$AT288="",$AX288="",$AW288=""),"CPT outcome, ",""))-2),"")</f>
        <v/>
      </c>
      <c r="BI288" s="15" t="str">
        <f aca="false">IF($BB288="","",IFERROR(INDEX('Denial Codes'!$C:$C,MATCH(LEFT($BB288,FIND(" - ",$BB288&amp;" - ")+2)&amp;"*",'Denial Codes'!$A:$A,0)),""))</f>
        <v>Modifier issue</v>
      </c>
      <c r="BJ288" s="15" t="str">
        <f aca="false">IF($BA288="","",IFERROR(INDEX(Lists!$B:$B,MATCH(TRIM($BA288),Lists!$A:$A,0))&amp;"",""))</f>
        <v>Correct or add the modifier (e.g. NU/RR, KX, RT/LT, 25) and resubmit.</v>
      </c>
    </row>
    <row r="289" customFormat="false" ht="15" hidden="false" customHeight="false" outlineLevel="0" collapsed="false">
      <c r="A289" s="7" t="s">
        <v>16</v>
      </c>
      <c r="B289" s="7" t="s">
        <v>1316</v>
      </c>
      <c r="C289" s="8" t="n">
        <v>558264075</v>
      </c>
      <c r="D289" s="9" t="n">
        <v>46190</v>
      </c>
      <c r="E289" s="10" t="s">
        <v>1317</v>
      </c>
      <c r="F289" s="11" t="n">
        <v>46146</v>
      </c>
      <c r="G289" s="10" t="s">
        <v>260</v>
      </c>
      <c r="H289" s="10" t="s">
        <v>260</v>
      </c>
      <c r="I289" s="10" t="s">
        <v>271</v>
      </c>
      <c r="J289" s="10" t="s">
        <v>456</v>
      </c>
      <c r="K289" s="9" t="n">
        <v>46252</v>
      </c>
      <c r="L289" s="12" t="str">
        <f aca="true">IF($O289="","",$O289-TODAY())</f>
        <v/>
      </c>
      <c r="M289" s="12" t="str">
        <f aca="true">IF(AND(TRIM($A289)="Finalized",$K289&lt;&gt;""),"",IF($D289="","",$D289+365-TODAY()))</f>
        <v/>
      </c>
      <c r="N289" s="12" t="str">
        <f aca="true">IF(AND(TRIM($A289)="Finalized",$K289&lt;&gt;""),"",IF($D289="","",$D289+120-TODAY()))</f>
        <v/>
      </c>
      <c r="O289" s="11" t="str">
        <f aca="false">IF(AND(TRIM($A289)="Finalized",$K289&lt;&gt;""),"",DATE(2027,5,4))</f>
        <v/>
      </c>
      <c r="P289" s="10" t="s">
        <v>114</v>
      </c>
      <c r="Q289" s="10" t="s">
        <v>115</v>
      </c>
      <c r="R289" s="10" t="s">
        <v>114</v>
      </c>
      <c r="S289" s="10" t="s">
        <v>116</v>
      </c>
      <c r="T289" s="10" t="s">
        <v>117</v>
      </c>
      <c r="U289" s="10" t="s">
        <v>116</v>
      </c>
      <c r="V289" s="10" t="s">
        <v>266</v>
      </c>
      <c r="W289" s="10" t="s">
        <v>183</v>
      </c>
      <c r="X289" s="10"/>
      <c r="Y289" s="10"/>
      <c r="Z289" s="10"/>
      <c r="AA289" s="10" t="s">
        <v>430</v>
      </c>
      <c r="AB289" s="8" t="n">
        <f aca="true">IF($F289="","",TODAY()-$F289)</f>
        <v>165</v>
      </c>
      <c r="AC289" s="10" t="s">
        <v>184</v>
      </c>
      <c r="AD289" s="10" t="s">
        <v>185</v>
      </c>
      <c r="AE289" s="10"/>
      <c r="AF289" s="10"/>
      <c r="AG289" s="10"/>
      <c r="AH289" s="10"/>
      <c r="AI289" s="10"/>
      <c r="AJ289" s="10" t="s">
        <v>212</v>
      </c>
      <c r="AK289" s="10"/>
      <c r="AL289" s="10"/>
      <c r="AM289" s="10"/>
      <c r="AN289" s="8"/>
      <c r="AO289" s="10" t="s">
        <v>344</v>
      </c>
      <c r="AP289" s="10" t="s">
        <v>308</v>
      </c>
      <c r="AQ289" s="11" t="n">
        <v>46182</v>
      </c>
      <c r="AR289" s="13"/>
      <c r="AS289" s="13"/>
      <c r="AT289" s="13"/>
      <c r="AU289" s="13"/>
      <c r="AV289" s="13" t="s">
        <v>507</v>
      </c>
      <c r="AW289" s="13"/>
      <c r="AX289" s="13" t="s">
        <v>507</v>
      </c>
      <c r="AY289" s="7" t="s">
        <v>363</v>
      </c>
      <c r="AZ289" s="7" t="s">
        <v>159</v>
      </c>
      <c r="BA289" s="7" t="s">
        <v>46</v>
      </c>
      <c r="BB289" s="7" t="s">
        <v>1318</v>
      </c>
      <c r="BC289" s="7"/>
      <c r="BD289" s="9"/>
      <c r="BE289" s="7"/>
      <c r="BF289" s="14" t="str">
        <f aca="true">IF(TRIM($A289)="Finalized","Closed",IF($BD289="","No review date set",IF($BD289&lt;TODAY(),"OVERDUE",IF($BD289-TODAY()&lt;=7,"Due within 7 days","Scheduled"))))</f>
        <v>Closed</v>
      </c>
      <c r="BG289" s="14" t="n">
        <f aca="true">IF($K289="","",TODAY()-$K289)</f>
        <v>59</v>
      </c>
      <c r="BH289" s="15" t="str">
        <f aca="false">IFERROR(LEFT(IF($B289="","Notes, ","")&amp;IF($K289="","Latest Date Worked, ","")&amp;IF($AY289="","Last Action, ","")&amp;IF(AND(OR(TRIM($A289)="Denied",TRIM($A289)="Rejected"),$BA289=""),"Denial Reason, ","")&amp;IF(AND(TRIM($A289)="Denied",$BB289="",TRIM($BA289)&lt;&gt;"NO DENIAL"),"Denial Code, ","")&amp;IF(AND(TRIM($A289)&lt;&gt;"Finalized",$BD289=""),"Next Review Date, ","")&amp;IF(AND(TRIM($A289)&lt;&gt;"Finalized",$BE289=""),"Next Step, ","")&amp;IF(AND(TRIM($A289)="Finalized",$AV289="",$AR289="",$AT289="",$AX289="",$AW289=""),"CPT outcome, ",""),LEN(IF($B289="","Notes, ","")&amp;IF($K289="","Latest Date Worked, ","")&amp;IF($AY289="","Last Action, ","")&amp;IF(AND(OR(TRIM($A289)="Denied",TRIM($A289)="Rejected"),$BA289=""),"Denial Reason, ","")&amp;IF(AND(TRIM($A289)="Denied",$BB289="",TRIM($BA289)&lt;&gt;"NO DENIAL"),"Denial Code, ","")&amp;IF(AND(TRIM($A289)&lt;&gt;"Finalized",$BD289=""),"Next Review Date, ","")&amp;IF(AND(TRIM($A289)&lt;&gt;"Finalized",$BE289=""),"Next Step, ","")&amp;IF(AND(TRIM($A289)="Finalized",$AV289="",$AR289="",$AT289="",$AX289="",$AW289=""),"CPT outcome, ",""))-2),"")</f>
        <v/>
      </c>
      <c r="BI289" s="15" t="str">
        <f aca="false">IF($BB289="","",IFERROR(INDEX('Denial Codes'!$C:$C,MATCH(LEFT($BB289,FIND(" - ",$BB289&amp;" - ")+2)&amp;"*",'Denial Codes'!$A:$A,0)),""))</f>
        <v>Eligibility / member ID</v>
      </c>
      <c r="BJ289" s="15" t="str">
        <f aca="false">IF($BA289="","",IFERROR(INDEX(Lists!$B:$B,MATCH(TRIM($BA289),Lists!$A:$A,0))&amp;"",""))</f>
        <v>Verify eligibility; correct the member ID/MBI, name or DOB and resubmit.</v>
      </c>
    </row>
    <row r="290" customFormat="false" ht="15" hidden="false" customHeight="false" outlineLevel="0" collapsed="false">
      <c r="A290" s="7" t="s">
        <v>21</v>
      </c>
      <c r="B290" s="7" t="s">
        <v>1319</v>
      </c>
      <c r="C290" s="8" t="n">
        <v>569308141</v>
      </c>
      <c r="D290" s="9" t="n">
        <v>46161</v>
      </c>
      <c r="E290" s="10" t="s">
        <v>1206</v>
      </c>
      <c r="F290" s="11" t="n">
        <v>46146</v>
      </c>
      <c r="G290" s="10" t="s">
        <v>260</v>
      </c>
      <c r="H290" s="10" t="s">
        <v>260</v>
      </c>
      <c r="I290" s="10" t="s">
        <v>163</v>
      </c>
      <c r="J290" s="10" t="s">
        <v>250</v>
      </c>
      <c r="K290" s="9" t="n">
        <v>46311</v>
      </c>
      <c r="L290" s="12" t="n">
        <f aca="true">IF($O290="","",$O290-TODAY())</f>
        <v>200</v>
      </c>
      <c r="M290" s="12" t="n">
        <f aca="true">IF(AND(TRIM($A290)="Finalized",$K290&lt;&gt;""),"",IF($D290="","",$D290+365-TODAY()))</f>
        <v>215</v>
      </c>
      <c r="N290" s="12" t="n">
        <f aca="true">IF(AND(TRIM($A290)="Finalized",$K290&lt;&gt;""),"",IF($D290="","",$D290+120-TODAY()))</f>
        <v>-30</v>
      </c>
      <c r="O290" s="11" t="n">
        <f aca="false">IF(AND(TRIM($A290)="Finalized",$K290&lt;&gt;""),"",DATE(2027,5,4))</f>
        <v>46511</v>
      </c>
      <c r="P290" s="10" t="s">
        <v>114</v>
      </c>
      <c r="Q290" s="10" t="s">
        <v>115</v>
      </c>
      <c r="R290" s="10" t="s">
        <v>114</v>
      </c>
      <c r="S290" s="10" t="s">
        <v>116</v>
      </c>
      <c r="T290" s="10" t="s">
        <v>117</v>
      </c>
      <c r="U290" s="10" t="s">
        <v>116</v>
      </c>
      <c r="V290" s="10" t="s">
        <v>266</v>
      </c>
      <c r="W290" s="10" t="s">
        <v>132</v>
      </c>
      <c r="X290" s="10"/>
      <c r="Y290" s="10"/>
      <c r="Z290" s="10"/>
      <c r="AA290" s="10" t="s">
        <v>197</v>
      </c>
      <c r="AB290" s="8" t="n">
        <f aca="true">IF($F290="","",TODAY()-$F290)</f>
        <v>165</v>
      </c>
      <c r="AC290" s="10" t="s">
        <v>251</v>
      </c>
      <c r="AD290" s="10"/>
      <c r="AE290" s="10"/>
      <c r="AF290" s="10"/>
      <c r="AG290" s="10"/>
      <c r="AH290" s="10"/>
      <c r="AI290" s="10"/>
      <c r="AJ290" s="10" t="s">
        <v>1320</v>
      </c>
      <c r="AK290" s="10" t="s">
        <v>1321</v>
      </c>
      <c r="AL290" s="10" t="s">
        <v>254</v>
      </c>
      <c r="AM290" s="10" t="s">
        <v>1232</v>
      </c>
      <c r="AN290" s="8"/>
      <c r="AO290" s="10" t="s">
        <v>1049</v>
      </c>
      <c r="AP290" s="10" t="s">
        <v>327</v>
      </c>
      <c r="AQ290" s="11" t="n">
        <v>46155</v>
      </c>
      <c r="AR290" s="13"/>
      <c r="AS290" s="13"/>
      <c r="AT290" s="13"/>
      <c r="AU290" s="13"/>
      <c r="AV290" s="13" t="s">
        <v>251</v>
      </c>
      <c r="AW290" s="13"/>
      <c r="AX290" s="13" t="s">
        <v>251</v>
      </c>
      <c r="AY290" s="7" t="s">
        <v>159</v>
      </c>
      <c r="AZ290" s="7" t="s">
        <v>159</v>
      </c>
      <c r="BA290" s="7" t="s">
        <v>46</v>
      </c>
      <c r="BB290" s="7" t="s">
        <v>1318</v>
      </c>
      <c r="BC290" s="7"/>
      <c r="BD290" s="9" t="n">
        <v>46314</v>
      </c>
      <c r="BE290" s="7" t="s">
        <v>1322</v>
      </c>
      <c r="BF290" s="14" t="str">
        <f aca="true">IF(TRIM($A290)="Finalized","Closed",IF($BD290="","No review date set",IF($BD290&lt;TODAY(),"OVERDUE",IF($BD290-TODAY()&lt;=7,"Due within 7 days","Scheduled"))))</f>
        <v>Due within 7 days</v>
      </c>
      <c r="BG290" s="14" t="n">
        <f aca="true">IF($K290="","",TODAY()-$K290)</f>
        <v>0</v>
      </c>
      <c r="BH290" s="15" t="str">
        <f aca="false">IFERROR(LEFT(IF($B290="","Notes, ","")&amp;IF($K290="","Latest Date Worked, ","")&amp;IF($AY290="","Last Action, ","")&amp;IF(AND(OR(TRIM($A290)="Denied",TRIM($A290)="Rejected"),$BA290=""),"Denial Reason, ","")&amp;IF(AND(TRIM($A290)="Denied",$BB290="",TRIM($BA290)&lt;&gt;"NO DENIAL"),"Denial Code, ","")&amp;IF(AND(TRIM($A290)&lt;&gt;"Finalized",$BD290=""),"Next Review Date, ","")&amp;IF(AND(TRIM($A290)&lt;&gt;"Finalized",$BE290=""),"Next Step, ","")&amp;IF(AND(TRIM($A290)="Finalized",$AV290="",$AR290="",$AT290="",$AX290="",$AW290=""),"CPT outcome, ",""),LEN(IF($B290="","Notes, ","")&amp;IF($K290="","Latest Date Worked, ","")&amp;IF($AY290="","Last Action, ","")&amp;IF(AND(OR(TRIM($A290)="Denied",TRIM($A290)="Rejected"),$BA290=""),"Denial Reason, ","")&amp;IF(AND(TRIM($A290)="Denied",$BB290="",TRIM($BA290)&lt;&gt;"NO DENIAL"),"Denial Code, ","")&amp;IF(AND(TRIM($A290)&lt;&gt;"Finalized",$BD290=""),"Next Review Date, ","")&amp;IF(AND(TRIM($A290)&lt;&gt;"Finalized",$BE290=""),"Next Step, ","")&amp;IF(AND(TRIM($A290)="Finalized",$AV290="",$AR290="",$AT290="",$AX290="",$AW290=""),"CPT outcome, ",""))-2),"")</f>
        <v/>
      </c>
      <c r="BI290" s="15" t="str">
        <f aca="false">IF($BB290="","",IFERROR(INDEX('Denial Codes'!$C:$C,MATCH(LEFT($BB290,FIND(" - ",$BB290&amp;" - ")+2)&amp;"*",'Denial Codes'!$A:$A,0)),""))</f>
        <v>Eligibility / member ID</v>
      </c>
      <c r="BJ290" s="15" t="str">
        <f aca="false">IF($BA290="","",IFERROR(INDEX(Lists!$B:$B,MATCH(TRIM($BA290),Lists!$A:$A,0))&amp;"",""))</f>
        <v>Verify eligibility; correct the member ID/MBI, name or DOB and resubmit.</v>
      </c>
    </row>
    <row r="291" customFormat="false" ht="15" hidden="false" customHeight="false" outlineLevel="0" collapsed="false">
      <c r="A291" s="7" t="s">
        <v>19</v>
      </c>
      <c r="B291" s="7" t="s">
        <v>1148</v>
      </c>
      <c r="C291" s="8" t="n">
        <v>558264882</v>
      </c>
      <c r="D291" s="9" t="n">
        <v>46196</v>
      </c>
      <c r="E291" s="10" t="s">
        <v>1323</v>
      </c>
      <c r="F291" s="11" t="n">
        <v>46147</v>
      </c>
      <c r="G291" s="10" t="s">
        <v>163</v>
      </c>
      <c r="H291" s="10" t="s">
        <v>260</v>
      </c>
      <c r="I291" s="10" t="s">
        <v>163</v>
      </c>
      <c r="J291" s="10" t="s">
        <v>400</v>
      </c>
      <c r="K291" s="9" t="n">
        <v>46227</v>
      </c>
      <c r="L291" s="12" t="n">
        <f aca="true">IF($O291="","",$O291-TODAY())</f>
        <v>201</v>
      </c>
      <c r="M291" s="12" t="n">
        <f aca="true">IF(AND(TRIM($A291)="Finalized",$K291&lt;&gt;""),"",IF($D291="","",$D291+365-TODAY()))</f>
        <v>250</v>
      </c>
      <c r="N291" s="12" t="n">
        <f aca="true">IF(AND(TRIM($A291)="Finalized",$K291&lt;&gt;""),"",IF($D291="","",$D291+120-TODAY()))</f>
        <v>5</v>
      </c>
      <c r="O291" s="11" t="n">
        <f aca="false">IF(AND(TRIM($A291)="Finalized",$K291&lt;&gt;""),"",DATE(2027,5,5))</f>
        <v>46512</v>
      </c>
      <c r="P291" s="10" t="s">
        <v>114</v>
      </c>
      <c r="Q291" s="10" t="s">
        <v>115</v>
      </c>
      <c r="R291" s="10" t="s">
        <v>114</v>
      </c>
      <c r="S291" s="10" t="s">
        <v>116</v>
      </c>
      <c r="T291" s="10" t="s">
        <v>117</v>
      </c>
      <c r="U291" s="10" t="s">
        <v>116</v>
      </c>
      <c r="V291" s="10" t="s">
        <v>266</v>
      </c>
      <c r="W291" s="10" t="s">
        <v>183</v>
      </c>
      <c r="X291" s="10"/>
      <c r="Y291" s="10"/>
      <c r="Z291" s="10"/>
      <c r="AA291" s="10" t="s">
        <v>197</v>
      </c>
      <c r="AB291" s="8" t="n">
        <f aca="true">IF($F291="","",TODAY()-$F291)</f>
        <v>164</v>
      </c>
      <c r="AC291" s="10" t="s">
        <v>185</v>
      </c>
      <c r="AD291" s="10" t="s">
        <v>184</v>
      </c>
      <c r="AE291" s="10"/>
      <c r="AF291" s="10"/>
      <c r="AG291" s="10"/>
      <c r="AH291" s="10"/>
      <c r="AI291" s="10"/>
      <c r="AJ291" s="10" t="s">
        <v>340</v>
      </c>
      <c r="AK291" s="10"/>
      <c r="AL291" s="10"/>
      <c r="AM291" s="10"/>
      <c r="AN291" s="8" t="n">
        <v>564131166</v>
      </c>
      <c r="AO291" s="10" t="s">
        <v>344</v>
      </c>
      <c r="AP291" s="10" t="s">
        <v>308</v>
      </c>
      <c r="AQ291" s="11" t="n">
        <v>46182</v>
      </c>
      <c r="AR291" s="13"/>
      <c r="AS291" s="13"/>
      <c r="AT291" s="13"/>
      <c r="AU291" s="13"/>
      <c r="AV291" s="13" t="s">
        <v>189</v>
      </c>
      <c r="AW291" s="13"/>
      <c r="AX291" s="13" t="s">
        <v>189</v>
      </c>
      <c r="AY291" s="7" t="s">
        <v>233</v>
      </c>
      <c r="AZ291" s="7"/>
      <c r="BA291" s="7"/>
      <c r="BB291" s="7"/>
      <c r="BC291" s="7"/>
      <c r="BD291" s="9" t="n">
        <v>46258</v>
      </c>
      <c r="BE291" s="7" t="s">
        <v>527</v>
      </c>
      <c r="BF291" s="14" t="str">
        <f aca="true">IF(TRIM($A291)="Finalized","Closed",IF($BD291="","No review date set",IF($BD291&lt;TODAY(),"OVERDUE",IF($BD291-TODAY()&lt;=7,"Due within 7 days","Scheduled"))))</f>
        <v>OVERDUE</v>
      </c>
      <c r="BG291" s="14" t="n">
        <f aca="true">IF($K291="","",TODAY()-$K291)</f>
        <v>84</v>
      </c>
      <c r="BH291" s="15" t="str">
        <f aca="false">IFERROR(LEFT(IF($B291="","Notes, ","")&amp;IF($K291="","Latest Date Worked, ","")&amp;IF($AY291="","Last Action, ","")&amp;IF(AND(OR(TRIM($A291)="Denied",TRIM($A291)="Rejected"),$BA291=""),"Denial Reason, ","")&amp;IF(AND(TRIM($A291)="Denied",$BB291="",TRIM($BA291)&lt;&gt;"NO DENIAL"),"Denial Code, ","")&amp;IF(AND(TRIM($A291)&lt;&gt;"Finalized",$BD291=""),"Next Review Date, ","")&amp;IF(AND(TRIM($A291)&lt;&gt;"Finalized",$BE291=""),"Next Step, ","")&amp;IF(AND(TRIM($A291)="Finalized",$AV291="",$AR291="",$AT291="",$AX291="",$AW291=""),"CPT outcome, ",""),LEN(IF($B291="","Notes, ","")&amp;IF($K291="","Latest Date Worked, ","")&amp;IF($AY291="","Last Action, ","")&amp;IF(AND(OR(TRIM($A291)="Denied",TRIM($A291)="Rejected"),$BA291=""),"Denial Reason, ","")&amp;IF(AND(TRIM($A291)="Denied",$BB291="",TRIM($BA291)&lt;&gt;"NO DENIAL"),"Denial Code, ","")&amp;IF(AND(TRIM($A291)&lt;&gt;"Finalized",$BD291=""),"Next Review Date, ","")&amp;IF(AND(TRIM($A291)&lt;&gt;"Finalized",$BE291=""),"Next Step, ","")&amp;IF(AND(TRIM($A291)="Finalized",$AV291="",$AR291="",$AT291="",$AX291="",$AW291=""),"CPT outcome, ",""))-2),"")</f>
        <v/>
      </c>
      <c r="BI291" s="15" t="str">
        <f aca="false">IF($BB291="","",IFERROR(INDEX('Denial Codes'!$C:$C,MATCH(LEFT($BB291,FIND(" - ",$BB291&amp;" - ")+2)&amp;"*",'Denial Codes'!$A:$A,0)),""))</f>
        <v/>
      </c>
      <c r="BJ291" s="15" t="str">
        <f aca="false">IF($BA291="","",IFERROR(INDEX(Lists!$B:$B,MATCH(TRIM($BA291),Lists!$A:$A,0))&amp;"",""))</f>
        <v/>
      </c>
    </row>
    <row r="292" customFormat="false" ht="15" hidden="false" customHeight="false" outlineLevel="0" collapsed="false">
      <c r="A292" s="7" t="s">
        <v>17</v>
      </c>
      <c r="B292" s="7" t="s">
        <v>1324</v>
      </c>
      <c r="C292" s="8" t="n">
        <v>569306039</v>
      </c>
      <c r="D292" s="9" t="n">
        <v>46260</v>
      </c>
      <c r="E292" s="10" t="s">
        <v>1325</v>
      </c>
      <c r="F292" s="11" t="n">
        <v>46147</v>
      </c>
      <c r="G292" s="10" t="s">
        <v>112</v>
      </c>
      <c r="H292" s="10" t="s">
        <v>112</v>
      </c>
      <c r="I292" s="10" t="s">
        <v>163</v>
      </c>
      <c r="J292" s="10" t="s">
        <v>1132</v>
      </c>
      <c r="K292" s="9" t="n">
        <v>46254</v>
      </c>
      <c r="L292" s="12" t="n">
        <f aca="true">IF($O292="","",$O292-TODAY())</f>
        <v>201</v>
      </c>
      <c r="M292" s="12" t="n">
        <f aca="true">IF(AND(TRIM($A292)="Finalized",$K292&lt;&gt;""),"",IF($D292="","",$D292+365-TODAY()))</f>
        <v>314</v>
      </c>
      <c r="N292" s="12" t="n">
        <f aca="true">IF(AND(TRIM($A292)="Finalized",$K292&lt;&gt;""),"",IF($D292="","",$D292+120-TODAY()))</f>
        <v>69</v>
      </c>
      <c r="O292" s="11" t="n">
        <f aca="false">IF(AND(TRIM($A292)="Finalized",$K292&lt;&gt;""),"",DATE(2027,5,5))</f>
        <v>46512</v>
      </c>
      <c r="P292" s="10" t="s">
        <v>114</v>
      </c>
      <c r="Q292" s="10" t="s">
        <v>115</v>
      </c>
      <c r="R292" s="10" t="s">
        <v>114</v>
      </c>
      <c r="S292" s="10" t="s">
        <v>116</v>
      </c>
      <c r="T292" s="10" t="s">
        <v>117</v>
      </c>
      <c r="U292" s="10" t="s">
        <v>116</v>
      </c>
      <c r="V292" s="10" t="s">
        <v>266</v>
      </c>
      <c r="W292" s="10" t="s">
        <v>119</v>
      </c>
      <c r="X292" s="10" t="s">
        <v>304</v>
      </c>
      <c r="Y292" s="10"/>
      <c r="Z292" s="10"/>
      <c r="AA292" s="10" t="s">
        <v>197</v>
      </c>
      <c r="AB292" s="8" t="n">
        <f aca="true">IF($F292="","",TODAY()-$F292)</f>
        <v>164</v>
      </c>
      <c r="AC292" s="10" t="s">
        <v>1133</v>
      </c>
      <c r="AD292" s="10"/>
      <c r="AE292" s="10"/>
      <c r="AF292" s="10"/>
      <c r="AG292" s="10"/>
      <c r="AH292" s="10"/>
      <c r="AI292" s="10"/>
      <c r="AJ292" s="10" t="s">
        <v>312</v>
      </c>
      <c r="AK292" s="10"/>
      <c r="AL292" s="10"/>
      <c r="AM292" s="10"/>
      <c r="AN292" s="8"/>
      <c r="AO292" s="10" t="s">
        <v>1326</v>
      </c>
      <c r="AP292" s="10" t="s">
        <v>1327</v>
      </c>
      <c r="AQ292" s="11" t="n">
        <v>46155</v>
      </c>
      <c r="AR292" s="13"/>
      <c r="AS292" s="13"/>
      <c r="AT292" s="13"/>
      <c r="AU292" s="13"/>
      <c r="AV292" s="13"/>
      <c r="AW292" s="13"/>
      <c r="AX292" s="13"/>
      <c r="AY292" s="7" t="s">
        <v>159</v>
      </c>
      <c r="AZ292" s="7"/>
      <c r="BA292" s="7" t="s">
        <v>46</v>
      </c>
      <c r="BB292" s="7"/>
      <c r="BC292" s="7"/>
      <c r="BD292" s="9" t="n">
        <v>46285</v>
      </c>
      <c r="BE292" s="7"/>
      <c r="BF292" s="14" t="str">
        <f aca="true">IF(TRIM($A292)="Finalized","Closed",IF($BD292="","No review date set",IF($BD292&lt;TODAY(),"OVERDUE",IF($BD292-TODAY()&lt;=7,"Due within 7 days","Scheduled"))))</f>
        <v>OVERDUE</v>
      </c>
      <c r="BG292" s="14" t="n">
        <f aca="true">IF($K292="","",TODAY()-$K292)</f>
        <v>57</v>
      </c>
      <c r="BH292" s="15" t="str">
        <f aca="false">IFERROR(LEFT(IF($B292="","Notes, ","")&amp;IF($K292="","Latest Date Worked, ","")&amp;IF($AY292="","Last Action, ","")&amp;IF(AND(OR(TRIM($A292)="Denied",TRIM($A292)="Rejected"),$BA292=""),"Denial Reason, ","")&amp;IF(AND(TRIM($A292)="Denied",$BB292="",TRIM($BA292)&lt;&gt;"NO DENIAL"),"Denial Code, ","")&amp;IF(AND(TRIM($A292)&lt;&gt;"Finalized",$BD292=""),"Next Review Date, ","")&amp;IF(AND(TRIM($A292)&lt;&gt;"Finalized",$BE292=""),"Next Step, ","")&amp;IF(AND(TRIM($A292)="Finalized",$AV292="",$AR292="",$AT292="",$AX292="",$AW292=""),"CPT outcome, ",""),LEN(IF($B292="","Notes, ","")&amp;IF($K292="","Latest Date Worked, ","")&amp;IF($AY292="","Last Action, ","")&amp;IF(AND(OR(TRIM($A292)="Denied",TRIM($A292)="Rejected"),$BA292=""),"Denial Reason, ","")&amp;IF(AND(TRIM($A292)="Denied",$BB292="",TRIM($BA292)&lt;&gt;"NO DENIAL"),"Denial Code, ","")&amp;IF(AND(TRIM($A292)&lt;&gt;"Finalized",$BD292=""),"Next Review Date, ","")&amp;IF(AND(TRIM($A292)&lt;&gt;"Finalized",$BE292=""),"Next Step, ","")&amp;IF(AND(TRIM($A292)="Finalized",$AV292="",$AR292="",$AT292="",$AX292="",$AW292=""),"CPT outcome, ",""))-2),"")</f>
        <v>Denial Code, Next Step</v>
      </c>
      <c r="BI292" s="15" t="str">
        <f aca="false">IF($BB292="","",IFERROR(INDEX('Denial Codes'!$C:$C,MATCH(LEFT($BB292,FIND(" - ",$BB292&amp;" - ")+2)&amp;"*",'Denial Codes'!$A:$A,0)),""))</f>
        <v/>
      </c>
      <c r="BJ292" s="15" t="str">
        <f aca="false">IF($BA292="","",IFERROR(INDEX(Lists!$B:$B,MATCH(TRIM($BA292),Lists!$A:$A,0))&amp;"",""))</f>
        <v>Verify eligibility; correct the member ID/MBI, name or DOB and resubmit.</v>
      </c>
    </row>
    <row r="293" customFormat="false" ht="15" hidden="false" customHeight="false" outlineLevel="0" collapsed="false">
      <c r="A293" s="7" t="s">
        <v>17</v>
      </c>
      <c r="B293" s="7" t="s">
        <v>264</v>
      </c>
      <c r="C293" s="8" t="n">
        <v>569482322</v>
      </c>
      <c r="D293" s="9" t="n">
        <v>46273</v>
      </c>
      <c r="E293" s="10" t="s">
        <v>1328</v>
      </c>
      <c r="F293" s="11" t="n">
        <v>46147</v>
      </c>
      <c r="G293" s="10" t="s">
        <v>227</v>
      </c>
      <c r="H293" s="10" t="s">
        <v>260</v>
      </c>
      <c r="I293" s="10" t="s">
        <v>227</v>
      </c>
      <c r="J293" s="10" t="s">
        <v>1267</v>
      </c>
      <c r="K293" s="9" t="n">
        <v>46257</v>
      </c>
      <c r="L293" s="12" t="n">
        <f aca="true">IF($O293="","",$O293-TODAY())</f>
        <v>201</v>
      </c>
      <c r="M293" s="12" t="n">
        <f aca="true">IF(AND(TRIM($A293)="Finalized",$K293&lt;&gt;""),"",IF($D293="","",$D293+365-TODAY()))</f>
        <v>327</v>
      </c>
      <c r="N293" s="12" t="n">
        <f aca="true">IF(AND(TRIM($A293)="Finalized",$K293&lt;&gt;""),"",IF($D293="","",$D293+120-TODAY()))</f>
        <v>82</v>
      </c>
      <c r="O293" s="11" t="n">
        <f aca="false">IF(AND(TRIM($A293)="Finalized",$K293&lt;&gt;""),"",DATE(2027,5,5))</f>
        <v>46512</v>
      </c>
      <c r="P293" s="10" t="s">
        <v>114</v>
      </c>
      <c r="Q293" s="10" t="s">
        <v>115</v>
      </c>
      <c r="R293" s="10" t="s">
        <v>114</v>
      </c>
      <c r="S293" s="10" t="s">
        <v>116</v>
      </c>
      <c r="T293" s="10" t="s">
        <v>117</v>
      </c>
      <c r="U293" s="10" t="s">
        <v>116</v>
      </c>
      <c r="V293" s="10" t="s">
        <v>266</v>
      </c>
      <c r="W293" s="10" t="s">
        <v>196</v>
      </c>
      <c r="X293" s="10"/>
      <c r="Y293" s="10"/>
      <c r="Z293" s="10"/>
      <c r="AA293" s="10" t="s">
        <v>197</v>
      </c>
      <c r="AB293" s="8" t="n">
        <f aca="true">IF($F293="","",TODAY()-$F293)</f>
        <v>164</v>
      </c>
      <c r="AC293" s="10" t="s">
        <v>222</v>
      </c>
      <c r="AD293" s="10" t="s">
        <v>198</v>
      </c>
      <c r="AE293" s="10" t="s">
        <v>487</v>
      </c>
      <c r="AF293" s="10"/>
      <c r="AG293" s="10"/>
      <c r="AH293" s="10"/>
      <c r="AI293" s="10"/>
      <c r="AJ293" s="10" t="s">
        <v>350</v>
      </c>
      <c r="AK293" s="10" t="s">
        <v>415</v>
      </c>
      <c r="AL293" s="10" t="s">
        <v>414</v>
      </c>
      <c r="AM293" s="10"/>
      <c r="AN293" s="8" t="n">
        <v>571815831</v>
      </c>
      <c r="AO293" s="10" t="s">
        <v>201</v>
      </c>
      <c r="AP293" s="10" t="s">
        <v>202</v>
      </c>
      <c r="AQ293" s="11" t="n">
        <v>46164</v>
      </c>
      <c r="AR293" s="13"/>
      <c r="AS293" s="13"/>
      <c r="AT293" s="13"/>
      <c r="AU293" s="13"/>
      <c r="AV293" s="13" t="s">
        <v>1268</v>
      </c>
      <c r="AW293" s="13"/>
      <c r="AX293" s="13" t="s">
        <v>1268</v>
      </c>
      <c r="AY293" s="7" t="s">
        <v>159</v>
      </c>
      <c r="AZ293" s="7"/>
      <c r="BA293" s="7" t="s">
        <v>48</v>
      </c>
      <c r="BB293" s="7"/>
      <c r="BC293" s="7"/>
      <c r="BD293" s="9" t="n">
        <v>46288</v>
      </c>
      <c r="BE293" s="7"/>
      <c r="BF293" s="14" t="str">
        <f aca="true">IF(TRIM($A293)="Finalized","Closed",IF($BD293="","No review date set",IF($BD293&lt;TODAY(),"OVERDUE",IF($BD293-TODAY()&lt;=7,"Due within 7 days","Scheduled"))))</f>
        <v>OVERDUE</v>
      </c>
      <c r="BG293" s="14" t="n">
        <f aca="true">IF($K293="","",TODAY()-$K293)</f>
        <v>54</v>
      </c>
      <c r="BH293" s="15" t="str">
        <f aca="false">IFERROR(LEFT(IF($B293="","Notes, ","")&amp;IF($K293="","Latest Date Worked, ","")&amp;IF($AY293="","Last Action, ","")&amp;IF(AND(OR(TRIM($A293)="Denied",TRIM($A293)="Rejected"),$BA293=""),"Denial Reason, ","")&amp;IF(AND(TRIM($A293)="Denied",$BB293="",TRIM($BA293)&lt;&gt;"NO DENIAL"),"Denial Code, ","")&amp;IF(AND(TRIM($A293)&lt;&gt;"Finalized",$BD293=""),"Next Review Date, ","")&amp;IF(AND(TRIM($A293)&lt;&gt;"Finalized",$BE293=""),"Next Step, ","")&amp;IF(AND(TRIM($A293)="Finalized",$AV293="",$AR293="",$AT293="",$AX293="",$AW293=""),"CPT outcome, ",""),LEN(IF($B293="","Notes, ","")&amp;IF($K293="","Latest Date Worked, ","")&amp;IF($AY293="","Last Action, ","")&amp;IF(AND(OR(TRIM($A293)="Denied",TRIM($A293)="Rejected"),$BA293=""),"Denial Reason, ","")&amp;IF(AND(TRIM($A293)="Denied",$BB293="",TRIM($BA293)&lt;&gt;"NO DENIAL"),"Denial Code, ","")&amp;IF(AND(TRIM($A293)&lt;&gt;"Finalized",$BD293=""),"Next Review Date, ","")&amp;IF(AND(TRIM($A293)&lt;&gt;"Finalized",$BE293=""),"Next Step, ","")&amp;IF(AND(TRIM($A293)="Finalized",$AV293="",$AR293="",$AT293="",$AX293="",$AW293=""),"CPT outcome, ",""))-2),"")</f>
        <v>Denial Code, Next Step</v>
      </c>
      <c r="BI293" s="15" t="str">
        <f aca="false">IF($BB293="","",IFERROR(INDEX('Denial Codes'!$C:$C,MATCH(LEFT($BB293,FIND(" - ",$BB293&amp;" - ")+2)&amp;"*",'Denial Codes'!$A:$A,0)),""))</f>
        <v/>
      </c>
      <c r="BJ293" s="15" t="str">
        <f aca="false">IF($BA293="","",IFERROR(INDEX(Lists!$B:$B,MATCH(TRIM($BA293),Lists!$A:$A,0))&amp;"",""))</f>
        <v>Get a valid referral or correct the referring provider, then resubmit.</v>
      </c>
    </row>
    <row r="294" customFormat="false" ht="15" hidden="false" customHeight="false" outlineLevel="0" collapsed="false">
      <c r="A294" s="7" t="s">
        <v>20</v>
      </c>
      <c r="B294" s="7" t="s">
        <v>1329</v>
      </c>
      <c r="C294" s="8" t="n">
        <v>559009959</v>
      </c>
      <c r="D294" s="9" t="n">
        <v>46249</v>
      </c>
      <c r="E294" s="10" t="s">
        <v>1330</v>
      </c>
      <c r="F294" s="11" t="n">
        <v>46147</v>
      </c>
      <c r="G294" s="10" t="s">
        <v>112</v>
      </c>
      <c r="H294" s="10" t="s">
        <v>112</v>
      </c>
      <c r="I294" s="10" t="s">
        <v>129</v>
      </c>
      <c r="J294" s="10" t="s">
        <v>272</v>
      </c>
      <c r="K294" s="9"/>
      <c r="L294" s="12" t="n">
        <f aca="true">IF($O294="","",$O294-TODAY())</f>
        <v>201</v>
      </c>
      <c r="M294" s="12" t="n">
        <f aca="true">IF(AND(TRIM($A294)="Finalized",$K294&lt;&gt;""),"",IF($D294="","",$D294+365-TODAY()))</f>
        <v>303</v>
      </c>
      <c r="N294" s="12" t="n">
        <f aca="true">IF(AND(TRIM($A294)="Finalized",$K294&lt;&gt;""),"",IF($D294="","",$D294+120-TODAY()))</f>
        <v>58</v>
      </c>
      <c r="O294" s="11" t="n">
        <f aca="false">IF(AND(TRIM($A294)="Finalized",$K294&lt;&gt;""),"",DATE(2027,5,5))</f>
        <v>46512</v>
      </c>
      <c r="P294" s="10" t="s">
        <v>114</v>
      </c>
      <c r="Q294" s="10" t="s">
        <v>115</v>
      </c>
      <c r="R294" s="10" t="s">
        <v>114</v>
      </c>
      <c r="S294" s="10" t="s">
        <v>116</v>
      </c>
      <c r="T294" s="10" t="s">
        <v>117</v>
      </c>
      <c r="U294" s="10" t="s">
        <v>116</v>
      </c>
      <c r="V294" s="10" t="s">
        <v>266</v>
      </c>
      <c r="W294" s="10" t="s">
        <v>119</v>
      </c>
      <c r="X294" s="10" t="s">
        <v>120</v>
      </c>
      <c r="Y294" s="10"/>
      <c r="Z294" s="10"/>
      <c r="AA294" s="10" t="s">
        <v>121</v>
      </c>
      <c r="AB294" s="8" t="n">
        <f aca="true">IF($F294="","",TODAY()-$F294)</f>
        <v>164</v>
      </c>
      <c r="AC294" s="10" t="s">
        <v>273</v>
      </c>
      <c r="AD294" s="10"/>
      <c r="AE294" s="10"/>
      <c r="AF294" s="10"/>
      <c r="AG294" s="10"/>
      <c r="AH294" s="10"/>
      <c r="AI294" s="10"/>
      <c r="AJ294" s="10" t="s">
        <v>123</v>
      </c>
      <c r="AK294" s="10" t="s">
        <v>1331</v>
      </c>
      <c r="AL294" s="10"/>
      <c r="AM294" s="10"/>
      <c r="AN294" s="8"/>
      <c r="AO294" s="10" t="s">
        <v>125</v>
      </c>
      <c r="AP294" s="10" t="s">
        <v>126</v>
      </c>
      <c r="AQ294" s="11" t="n">
        <v>46155</v>
      </c>
      <c r="AR294" s="13"/>
      <c r="AS294" s="13"/>
      <c r="AT294" s="13"/>
      <c r="AU294" s="13"/>
      <c r="AV294" s="13" t="s">
        <v>273</v>
      </c>
      <c r="AW294" s="13"/>
      <c r="AX294" s="13" t="s">
        <v>273</v>
      </c>
      <c r="AY294" s="7" t="s">
        <v>233</v>
      </c>
      <c r="AZ294" s="7"/>
      <c r="BA294" s="7"/>
      <c r="BB294" s="7"/>
      <c r="BC294" s="7"/>
      <c r="BD294" s="9"/>
      <c r="BE294" s="7" t="s">
        <v>527</v>
      </c>
      <c r="BF294" s="14" t="str">
        <f aca="true">IF(TRIM($A294)="Finalized","Closed",IF($BD294="","No review date set",IF($BD294&lt;TODAY(),"OVERDUE",IF($BD294-TODAY()&lt;=7,"Due within 7 days","Scheduled"))))</f>
        <v>No review date set</v>
      </c>
      <c r="BG294" s="14" t="str">
        <f aca="true">IF($K294="","",TODAY()-$K294)</f>
        <v/>
      </c>
      <c r="BH294" s="15" t="str">
        <f aca="false">IFERROR(LEFT(IF($B294="","Notes, ","")&amp;IF($K294="","Latest Date Worked, ","")&amp;IF($AY294="","Last Action, ","")&amp;IF(AND(OR(TRIM($A294)="Denied",TRIM($A294)="Rejected"),$BA294=""),"Denial Reason, ","")&amp;IF(AND(TRIM($A294)="Denied",$BB294="",TRIM($BA294)&lt;&gt;"NO DENIAL"),"Denial Code, ","")&amp;IF(AND(TRIM($A294)&lt;&gt;"Finalized",$BD294=""),"Next Review Date, ","")&amp;IF(AND(TRIM($A294)&lt;&gt;"Finalized",$BE294=""),"Next Step, ","")&amp;IF(AND(TRIM($A294)="Finalized",$AV294="",$AR294="",$AT294="",$AX294="",$AW294=""),"CPT outcome, ",""),LEN(IF($B294="","Notes, ","")&amp;IF($K294="","Latest Date Worked, ","")&amp;IF($AY294="","Last Action, ","")&amp;IF(AND(OR(TRIM($A294)="Denied",TRIM($A294)="Rejected"),$BA294=""),"Denial Reason, ","")&amp;IF(AND(TRIM($A294)="Denied",$BB294="",TRIM($BA294)&lt;&gt;"NO DENIAL"),"Denial Code, ","")&amp;IF(AND(TRIM($A294)&lt;&gt;"Finalized",$BD294=""),"Next Review Date, ","")&amp;IF(AND(TRIM($A294)&lt;&gt;"Finalized",$BE294=""),"Next Step, ","")&amp;IF(AND(TRIM($A294)="Finalized",$AV294="",$AR294="",$AT294="",$AX294="",$AW294=""),"CPT outcome, ",""))-2),"")</f>
        <v>Latest Date Worked, Next Review Date</v>
      </c>
      <c r="BI294" s="15" t="str">
        <f aca="false">IF($BB294="","",IFERROR(INDEX('Denial Codes'!$C:$C,MATCH(LEFT($BB294,FIND(" - ",$BB294&amp;" - ")+2)&amp;"*",'Denial Codes'!$A:$A,0)),""))</f>
        <v/>
      </c>
      <c r="BJ294" s="15" t="str">
        <f aca="false">IF($BA294="","",IFERROR(INDEX(Lists!$B:$B,MATCH(TRIM($BA294),Lists!$A:$A,0))&amp;"",""))</f>
        <v/>
      </c>
    </row>
    <row r="295" customFormat="false" ht="15" hidden="false" customHeight="false" outlineLevel="0" collapsed="false">
      <c r="A295" s="7" t="s">
        <v>16</v>
      </c>
      <c r="B295" s="7" t="s">
        <v>1332</v>
      </c>
      <c r="C295" s="8" t="n">
        <v>558588714</v>
      </c>
      <c r="D295" s="9" t="n">
        <v>46190</v>
      </c>
      <c r="E295" s="10" t="s">
        <v>1333</v>
      </c>
      <c r="F295" s="11" t="n">
        <v>46150</v>
      </c>
      <c r="G295" s="10" t="s">
        <v>260</v>
      </c>
      <c r="H295" s="10" t="s">
        <v>260</v>
      </c>
      <c r="I295" s="10" t="s">
        <v>1163</v>
      </c>
      <c r="J295" s="10" t="s">
        <v>424</v>
      </c>
      <c r="K295" s="9" t="n">
        <v>46252</v>
      </c>
      <c r="L295" s="12" t="str">
        <f aca="true">IF($O295="","",$O295-TODAY())</f>
        <v/>
      </c>
      <c r="M295" s="12" t="str">
        <f aca="true">IF(AND(TRIM($A295)="Finalized",$K295&lt;&gt;""),"",IF($D295="","",$D295+365-TODAY()))</f>
        <v/>
      </c>
      <c r="N295" s="12" t="str">
        <f aca="true">IF(AND(TRIM($A295)="Finalized",$K295&lt;&gt;""),"",IF($D295="","",$D295+120-TODAY()))</f>
        <v/>
      </c>
      <c r="O295" s="11" t="str">
        <f aca="false">IF(AND(TRIM($A295)="Finalized",$K295&lt;&gt;""),"",DATE(2027,5,8))</f>
        <v/>
      </c>
      <c r="P295" s="10" t="s">
        <v>114</v>
      </c>
      <c r="Q295" s="10" t="s">
        <v>115</v>
      </c>
      <c r="R295" s="10" t="s">
        <v>114</v>
      </c>
      <c r="S295" s="10" t="s">
        <v>116</v>
      </c>
      <c r="T295" s="10" t="s">
        <v>117</v>
      </c>
      <c r="U295" s="10" t="s">
        <v>116</v>
      </c>
      <c r="V295" s="10" t="s">
        <v>266</v>
      </c>
      <c r="W295" s="10" t="s">
        <v>183</v>
      </c>
      <c r="X295" s="10"/>
      <c r="Y295" s="10"/>
      <c r="Z295" s="10"/>
      <c r="AA295" s="10" t="s">
        <v>197</v>
      </c>
      <c r="AB295" s="8" t="n">
        <f aca="true">IF($F295="","",TODAY()-$F295)</f>
        <v>161</v>
      </c>
      <c r="AC295" s="10" t="s">
        <v>211</v>
      </c>
      <c r="AD295" s="10" t="s">
        <v>184</v>
      </c>
      <c r="AE295" s="10"/>
      <c r="AF295" s="10"/>
      <c r="AG295" s="10"/>
      <c r="AH295" s="10"/>
      <c r="AI295" s="10"/>
      <c r="AJ295" s="10" t="s">
        <v>403</v>
      </c>
      <c r="AK295" s="10"/>
      <c r="AL295" s="10"/>
      <c r="AM295" s="10"/>
      <c r="AN295" s="8"/>
      <c r="AO295" s="10" t="s">
        <v>201</v>
      </c>
      <c r="AP295" s="10" t="s">
        <v>202</v>
      </c>
      <c r="AQ295" s="11" t="n">
        <v>46182</v>
      </c>
      <c r="AR295" s="13"/>
      <c r="AS295" s="13"/>
      <c r="AT295" s="13"/>
      <c r="AU295" s="13"/>
      <c r="AV295" s="13" t="s">
        <v>214</v>
      </c>
      <c r="AW295" s="13"/>
      <c r="AX295" s="13" t="s">
        <v>214</v>
      </c>
      <c r="AY295" s="7" t="s">
        <v>363</v>
      </c>
      <c r="AZ295" s="7" t="s">
        <v>159</v>
      </c>
      <c r="BA295" s="7" t="s">
        <v>46</v>
      </c>
      <c r="BB295" s="7" t="s">
        <v>1318</v>
      </c>
      <c r="BC295" s="7"/>
      <c r="BD295" s="9"/>
      <c r="BE295" s="7"/>
      <c r="BF295" s="14" t="str">
        <f aca="true">IF(TRIM($A295)="Finalized","Closed",IF($BD295="","No review date set",IF($BD295&lt;TODAY(),"OVERDUE",IF($BD295-TODAY()&lt;=7,"Due within 7 days","Scheduled"))))</f>
        <v>Closed</v>
      </c>
      <c r="BG295" s="14" t="n">
        <f aca="true">IF($K295="","",TODAY()-$K295)</f>
        <v>59</v>
      </c>
      <c r="BH295" s="15" t="str">
        <f aca="false">IFERROR(LEFT(IF($B295="","Notes, ","")&amp;IF($K295="","Latest Date Worked, ","")&amp;IF($AY295="","Last Action, ","")&amp;IF(AND(OR(TRIM($A295)="Denied",TRIM($A295)="Rejected"),$BA295=""),"Denial Reason, ","")&amp;IF(AND(TRIM($A295)="Denied",$BB295="",TRIM($BA295)&lt;&gt;"NO DENIAL"),"Denial Code, ","")&amp;IF(AND(TRIM($A295)&lt;&gt;"Finalized",$BD295=""),"Next Review Date, ","")&amp;IF(AND(TRIM($A295)&lt;&gt;"Finalized",$BE295=""),"Next Step, ","")&amp;IF(AND(TRIM($A295)="Finalized",$AV295="",$AR295="",$AT295="",$AX295="",$AW295=""),"CPT outcome, ",""),LEN(IF($B295="","Notes, ","")&amp;IF($K295="","Latest Date Worked, ","")&amp;IF($AY295="","Last Action, ","")&amp;IF(AND(OR(TRIM($A295)="Denied",TRIM($A295)="Rejected"),$BA295=""),"Denial Reason, ","")&amp;IF(AND(TRIM($A295)="Denied",$BB295="",TRIM($BA295)&lt;&gt;"NO DENIAL"),"Denial Code, ","")&amp;IF(AND(TRIM($A295)&lt;&gt;"Finalized",$BD295=""),"Next Review Date, ","")&amp;IF(AND(TRIM($A295)&lt;&gt;"Finalized",$BE295=""),"Next Step, ","")&amp;IF(AND(TRIM($A295)="Finalized",$AV295="",$AR295="",$AT295="",$AX295="",$AW295=""),"CPT outcome, ",""))-2),"")</f>
        <v/>
      </c>
      <c r="BI295" s="15" t="str">
        <f aca="false">IF($BB295="","",IFERROR(INDEX('Denial Codes'!$C:$C,MATCH(LEFT($BB295,FIND(" - ",$BB295&amp;" - ")+2)&amp;"*",'Denial Codes'!$A:$A,0)),""))</f>
        <v>Eligibility / member ID</v>
      </c>
      <c r="BJ295" s="15" t="str">
        <f aca="false">IF($BA295="","",IFERROR(INDEX(Lists!$B:$B,MATCH(TRIM($BA295),Lists!$A:$A,0))&amp;"",""))</f>
        <v>Verify eligibility; correct the member ID/MBI, name or DOB and resubmit.</v>
      </c>
    </row>
    <row r="296" customFormat="false" ht="15" hidden="false" customHeight="false" outlineLevel="0" collapsed="false">
      <c r="A296" s="7" t="s">
        <v>17</v>
      </c>
      <c r="B296" s="7" t="s">
        <v>1334</v>
      </c>
      <c r="C296" s="8" t="n">
        <v>569307969</v>
      </c>
      <c r="D296" s="9" t="n">
        <v>46269</v>
      </c>
      <c r="E296" s="10" t="s">
        <v>1206</v>
      </c>
      <c r="F296" s="11" t="n">
        <v>46150</v>
      </c>
      <c r="G296" s="10" t="s">
        <v>163</v>
      </c>
      <c r="H296" s="10" t="s">
        <v>112</v>
      </c>
      <c r="I296" s="10" t="s">
        <v>163</v>
      </c>
      <c r="J296" s="10" t="s">
        <v>842</v>
      </c>
      <c r="K296" s="9" t="n">
        <v>46254</v>
      </c>
      <c r="L296" s="12" t="n">
        <f aca="true">IF($O296="","",$O296-TODAY())</f>
        <v>204</v>
      </c>
      <c r="M296" s="12" t="n">
        <f aca="true">IF(AND(TRIM($A296)="Finalized",$K296&lt;&gt;""),"",IF($D296="","",$D296+365-TODAY()))</f>
        <v>323</v>
      </c>
      <c r="N296" s="12" t="n">
        <f aca="true">IF(AND(TRIM($A296)="Finalized",$K296&lt;&gt;""),"",IF($D296="","",$D296+120-TODAY()))</f>
        <v>78</v>
      </c>
      <c r="O296" s="11" t="n">
        <f aca="false">IF(AND(TRIM($A296)="Finalized",$K296&lt;&gt;""),"",DATE(2027,5,8))</f>
        <v>46515</v>
      </c>
      <c r="P296" s="10" t="s">
        <v>114</v>
      </c>
      <c r="Q296" s="10" t="s">
        <v>115</v>
      </c>
      <c r="R296" s="10" t="s">
        <v>114</v>
      </c>
      <c r="S296" s="10" t="s">
        <v>116</v>
      </c>
      <c r="T296" s="10" t="s">
        <v>117</v>
      </c>
      <c r="U296" s="10" t="s">
        <v>116</v>
      </c>
      <c r="V296" s="10" t="s">
        <v>266</v>
      </c>
      <c r="W296" s="10" t="s">
        <v>119</v>
      </c>
      <c r="X296" s="10" t="s">
        <v>229</v>
      </c>
      <c r="Y296" s="10"/>
      <c r="Z296" s="10"/>
      <c r="AA296" s="10" t="s">
        <v>793</v>
      </c>
      <c r="AB296" s="8" t="n">
        <f aca="true">IF($F296="","",TODAY()-$F296)</f>
        <v>161</v>
      </c>
      <c r="AC296" s="10" t="s">
        <v>122</v>
      </c>
      <c r="AD296" s="10"/>
      <c r="AE296" s="10"/>
      <c r="AF296" s="10"/>
      <c r="AG296" s="10"/>
      <c r="AH296" s="10"/>
      <c r="AI296" s="10"/>
      <c r="AJ296" s="10" t="s">
        <v>123</v>
      </c>
      <c r="AK296" s="10" t="s">
        <v>254</v>
      </c>
      <c r="AL296" s="10" t="s">
        <v>1232</v>
      </c>
      <c r="AM296" s="10"/>
      <c r="AN296" s="8" t="n">
        <v>571729036</v>
      </c>
      <c r="AO296" s="10" t="s">
        <v>1210</v>
      </c>
      <c r="AP296" s="10" t="s">
        <v>1211</v>
      </c>
      <c r="AQ296" s="11" t="n">
        <v>46183</v>
      </c>
      <c r="AR296" s="13"/>
      <c r="AS296" s="13"/>
      <c r="AT296" s="13"/>
      <c r="AU296" s="13"/>
      <c r="AV296" s="13" t="s">
        <v>122</v>
      </c>
      <c r="AW296" s="13"/>
      <c r="AX296" s="13" t="s">
        <v>122</v>
      </c>
      <c r="AY296" s="7" t="s">
        <v>159</v>
      </c>
      <c r="AZ296" s="7"/>
      <c r="BA296" s="7" t="s">
        <v>46</v>
      </c>
      <c r="BB296" s="7"/>
      <c r="BC296" s="7"/>
      <c r="BD296" s="9" t="n">
        <v>46285</v>
      </c>
      <c r="BE296" s="7"/>
      <c r="BF296" s="14" t="str">
        <f aca="true">IF(TRIM($A296)="Finalized","Closed",IF($BD296="","No review date set",IF($BD296&lt;TODAY(),"OVERDUE",IF($BD296-TODAY()&lt;=7,"Due within 7 days","Scheduled"))))</f>
        <v>OVERDUE</v>
      </c>
      <c r="BG296" s="14" t="n">
        <f aca="true">IF($K296="","",TODAY()-$K296)</f>
        <v>57</v>
      </c>
      <c r="BH296" s="15" t="str">
        <f aca="false">IFERROR(LEFT(IF($B296="","Notes, ","")&amp;IF($K296="","Latest Date Worked, ","")&amp;IF($AY296="","Last Action, ","")&amp;IF(AND(OR(TRIM($A296)="Denied",TRIM($A296)="Rejected"),$BA296=""),"Denial Reason, ","")&amp;IF(AND(TRIM($A296)="Denied",$BB296="",TRIM($BA296)&lt;&gt;"NO DENIAL"),"Denial Code, ","")&amp;IF(AND(TRIM($A296)&lt;&gt;"Finalized",$BD296=""),"Next Review Date, ","")&amp;IF(AND(TRIM($A296)&lt;&gt;"Finalized",$BE296=""),"Next Step, ","")&amp;IF(AND(TRIM($A296)="Finalized",$AV296="",$AR296="",$AT296="",$AX296="",$AW296=""),"CPT outcome, ",""),LEN(IF($B296="","Notes, ","")&amp;IF($K296="","Latest Date Worked, ","")&amp;IF($AY296="","Last Action, ","")&amp;IF(AND(OR(TRIM($A296)="Denied",TRIM($A296)="Rejected"),$BA296=""),"Denial Reason, ","")&amp;IF(AND(TRIM($A296)="Denied",$BB296="",TRIM($BA296)&lt;&gt;"NO DENIAL"),"Denial Code, ","")&amp;IF(AND(TRIM($A296)&lt;&gt;"Finalized",$BD296=""),"Next Review Date, ","")&amp;IF(AND(TRIM($A296)&lt;&gt;"Finalized",$BE296=""),"Next Step, ","")&amp;IF(AND(TRIM($A296)="Finalized",$AV296="",$AR296="",$AT296="",$AX296="",$AW296=""),"CPT outcome, ",""))-2),"")</f>
        <v>Denial Code, Next Step</v>
      </c>
      <c r="BI296" s="15" t="str">
        <f aca="false">IF($BB296="","",IFERROR(INDEX('Denial Codes'!$C:$C,MATCH(LEFT($BB296,FIND(" - ",$BB296&amp;" - ")+2)&amp;"*",'Denial Codes'!$A:$A,0)),""))</f>
        <v/>
      </c>
      <c r="BJ296" s="15" t="str">
        <f aca="false">IF($BA296="","",IFERROR(INDEX(Lists!$B:$B,MATCH(TRIM($BA296),Lists!$A:$A,0))&amp;"",""))</f>
        <v>Verify eligibility; correct the member ID/MBI, name or DOB and resubmit.</v>
      </c>
    </row>
    <row r="297" customFormat="false" ht="15" hidden="false" customHeight="false" outlineLevel="0" collapsed="false">
      <c r="A297" s="7" t="s">
        <v>20</v>
      </c>
      <c r="B297" s="7" t="s">
        <v>1148</v>
      </c>
      <c r="C297" s="8" t="n">
        <v>559008757</v>
      </c>
      <c r="D297" s="9" t="n">
        <v>46202</v>
      </c>
      <c r="E297" s="10" t="s">
        <v>1335</v>
      </c>
      <c r="F297" s="11" t="n">
        <v>46150</v>
      </c>
      <c r="G297" s="10" t="s">
        <v>1169</v>
      </c>
      <c r="H297" s="10" t="s">
        <v>112</v>
      </c>
      <c r="I297" s="10" t="s">
        <v>1169</v>
      </c>
      <c r="J297" s="10" t="s">
        <v>1242</v>
      </c>
      <c r="K297" s="9"/>
      <c r="L297" s="12" t="n">
        <f aca="true">IF($O297="","",$O297-TODAY())</f>
        <v>204</v>
      </c>
      <c r="M297" s="12" t="n">
        <f aca="true">IF(AND(TRIM($A297)="Finalized",$K297&lt;&gt;""),"",IF($D297="","",$D297+365-TODAY()))</f>
        <v>256</v>
      </c>
      <c r="N297" s="12" t="n">
        <f aca="true">IF(AND(TRIM($A297)="Finalized",$K297&lt;&gt;""),"",IF($D297="","",$D297+120-TODAY()))</f>
        <v>11</v>
      </c>
      <c r="O297" s="11" t="n">
        <f aca="false">IF(AND(TRIM($A297)="Finalized",$K297&lt;&gt;""),"",DATE(2027,5,8))</f>
        <v>46515</v>
      </c>
      <c r="P297" s="10" t="s">
        <v>114</v>
      </c>
      <c r="Q297" s="10" t="s">
        <v>115</v>
      </c>
      <c r="R297" s="10" t="s">
        <v>114</v>
      </c>
      <c r="S297" s="10" t="s">
        <v>116</v>
      </c>
      <c r="T297" s="10" t="s">
        <v>117</v>
      </c>
      <c r="U297" s="10" t="s">
        <v>116</v>
      </c>
      <c r="V297" s="10" t="s">
        <v>266</v>
      </c>
      <c r="W297" s="10" t="s">
        <v>119</v>
      </c>
      <c r="X297" s="10" t="s">
        <v>304</v>
      </c>
      <c r="Y297" s="10"/>
      <c r="Z297" s="10"/>
      <c r="AA297" s="10" t="s">
        <v>197</v>
      </c>
      <c r="AB297" s="8" t="n">
        <f aca="true">IF($F297="","",TODAY()-$F297)</f>
        <v>161</v>
      </c>
      <c r="AC297" s="10" t="s">
        <v>584</v>
      </c>
      <c r="AD297" s="10"/>
      <c r="AE297" s="10"/>
      <c r="AF297" s="10"/>
      <c r="AG297" s="10"/>
      <c r="AH297" s="10"/>
      <c r="AI297" s="10"/>
      <c r="AJ297" s="10" t="s">
        <v>1336</v>
      </c>
      <c r="AK297" s="10" t="s">
        <v>568</v>
      </c>
      <c r="AL297" s="10"/>
      <c r="AM297" s="10"/>
      <c r="AN297" s="8" t="n">
        <v>564922724</v>
      </c>
      <c r="AO297" s="10" t="s">
        <v>274</v>
      </c>
      <c r="AP297" s="10" t="s">
        <v>275</v>
      </c>
      <c r="AQ297" s="11" t="n">
        <v>46155</v>
      </c>
      <c r="AR297" s="13"/>
      <c r="AS297" s="13"/>
      <c r="AT297" s="13"/>
      <c r="AU297" s="13"/>
      <c r="AV297" s="13" t="s">
        <v>584</v>
      </c>
      <c r="AW297" s="13"/>
      <c r="AX297" s="13" t="s">
        <v>584</v>
      </c>
      <c r="AY297" s="7" t="s">
        <v>233</v>
      </c>
      <c r="AZ297" s="7"/>
      <c r="BA297" s="7"/>
      <c r="BB297" s="7"/>
      <c r="BC297" s="7"/>
      <c r="BD297" s="9"/>
      <c r="BE297" s="7" t="s">
        <v>527</v>
      </c>
      <c r="BF297" s="14" t="str">
        <f aca="true">IF(TRIM($A297)="Finalized","Closed",IF($BD297="","No review date set",IF($BD297&lt;TODAY(),"OVERDUE",IF($BD297-TODAY()&lt;=7,"Due within 7 days","Scheduled"))))</f>
        <v>No review date set</v>
      </c>
      <c r="BG297" s="14" t="str">
        <f aca="true">IF($K297="","",TODAY()-$K297)</f>
        <v/>
      </c>
      <c r="BH297" s="15" t="str">
        <f aca="false">IFERROR(LEFT(IF($B297="","Notes, ","")&amp;IF($K297="","Latest Date Worked, ","")&amp;IF($AY297="","Last Action, ","")&amp;IF(AND(OR(TRIM($A297)="Denied",TRIM($A297)="Rejected"),$BA297=""),"Denial Reason, ","")&amp;IF(AND(TRIM($A297)="Denied",$BB297="",TRIM($BA297)&lt;&gt;"NO DENIAL"),"Denial Code, ","")&amp;IF(AND(TRIM($A297)&lt;&gt;"Finalized",$BD297=""),"Next Review Date, ","")&amp;IF(AND(TRIM($A297)&lt;&gt;"Finalized",$BE297=""),"Next Step, ","")&amp;IF(AND(TRIM($A297)="Finalized",$AV297="",$AR297="",$AT297="",$AX297="",$AW297=""),"CPT outcome, ",""),LEN(IF($B297="","Notes, ","")&amp;IF($K297="","Latest Date Worked, ","")&amp;IF($AY297="","Last Action, ","")&amp;IF(AND(OR(TRIM($A297)="Denied",TRIM($A297)="Rejected"),$BA297=""),"Denial Reason, ","")&amp;IF(AND(TRIM($A297)="Denied",$BB297="",TRIM($BA297)&lt;&gt;"NO DENIAL"),"Denial Code, ","")&amp;IF(AND(TRIM($A297)&lt;&gt;"Finalized",$BD297=""),"Next Review Date, ","")&amp;IF(AND(TRIM($A297)&lt;&gt;"Finalized",$BE297=""),"Next Step, ","")&amp;IF(AND(TRIM($A297)="Finalized",$AV297="",$AR297="",$AT297="",$AX297="",$AW297=""),"CPT outcome, ",""))-2),"")</f>
        <v>Latest Date Worked, Next Review Date</v>
      </c>
      <c r="BI297" s="15" t="str">
        <f aca="false">IF($BB297="","",IFERROR(INDEX('Denial Codes'!$C:$C,MATCH(LEFT($BB297,FIND(" - ",$BB297&amp;" - ")+2)&amp;"*",'Denial Codes'!$A:$A,0)),""))</f>
        <v/>
      </c>
      <c r="BJ297" s="15" t="str">
        <f aca="false">IF($BA297="","",IFERROR(INDEX(Lists!$B:$B,MATCH(TRIM($BA297),Lists!$A:$A,0))&amp;"",""))</f>
        <v/>
      </c>
    </row>
    <row r="298" customFormat="false" ht="15" hidden="false" customHeight="false" outlineLevel="0" collapsed="false">
      <c r="A298" s="7" t="s">
        <v>16</v>
      </c>
      <c r="B298" s="7" t="s">
        <v>1337</v>
      </c>
      <c r="C298" s="8" t="n">
        <v>561727580</v>
      </c>
      <c r="D298" s="9" t="n">
        <v>46185</v>
      </c>
      <c r="E298" s="10" t="s">
        <v>1338</v>
      </c>
      <c r="F298" s="11" t="n">
        <v>46153</v>
      </c>
      <c r="G298" s="10" t="s">
        <v>260</v>
      </c>
      <c r="H298" s="10" t="s">
        <v>260</v>
      </c>
      <c r="I298" s="10" t="s">
        <v>271</v>
      </c>
      <c r="J298" s="10" t="s">
        <v>1339</v>
      </c>
      <c r="K298" s="9" t="n">
        <v>46255</v>
      </c>
      <c r="L298" s="12" t="str">
        <f aca="true">IF($O298="","",$O298-TODAY())</f>
        <v/>
      </c>
      <c r="M298" s="12" t="str">
        <f aca="true">IF(AND(TRIM($A298)="Finalized",$K298&lt;&gt;""),"",IF($D298="","",$D298+365-TODAY()))</f>
        <v/>
      </c>
      <c r="N298" s="12" t="str">
        <f aca="true">IF(AND(TRIM($A298)="Finalized",$K298&lt;&gt;""),"",IF($D298="","",$D298+120-TODAY()))</f>
        <v/>
      </c>
      <c r="O298" s="11" t="str">
        <f aca="false">IF(AND(TRIM($A298)="Finalized",$K298&lt;&gt;""),"",DATE(2027,5,11))</f>
        <v/>
      </c>
      <c r="P298" s="10" t="s">
        <v>114</v>
      </c>
      <c r="Q298" s="10" t="s">
        <v>115</v>
      </c>
      <c r="R298" s="10" t="s">
        <v>114</v>
      </c>
      <c r="S298" s="10" t="s">
        <v>116</v>
      </c>
      <c r="T298" s="10" t="s">
        <v>117</v>
      </c>
      <c r="U298" s="10" t="s">
        <v>116</v>
      </c>
      <c r="V298" s="10" t="s">
        <v>266</v>
      </c>
      <c r="W298" s="10" t="s">
        <v>434</v>
      </c>
      <c r="X298" s="10" t="s">
        <v>619</v>
      </c>
      <c r="Y298" s="10" t="s">
        <v>1340</v>
      </c>
      <c r="Z298" s="10" t="s">
        <v>621</v>
      </c>
      <c r="AA298" s="10" t="s">
        <v>759</v>
      </c>
      <c r="AB298" s="8" t="n">
        <f aca="true">IF($F298="","",TODAY()-$F298)</f>
        <v>158</v>
      </c>
      <c r="AC298" s="10" t="s">
        <v>438</v>
      </c>
      <c r="AD298" s="10" t="s">
        <v>443</v>
      </c>
      <c r="AE298" s="10" t="s">
        <v>657</v>
      </c>
      <c r="AF298" s="10" t="s">
        <v>440</v>
      </c>
      <c r="AG298" s="10" t="s">
        <v>439</v>
      </c>
      <c r="AH298" s="10" t="s">
        <v>442</v>
      </c>
      <c r="AI298" s="10" t="s">
        <v>441</v>
      </c>
      <c r="AJ298" s="10" t="s">
        <v>579</v>
      </c>
      <c r="AK298" s="10" t="s">
        <v>445</v>
      </c>
      <c r="AL298" s="10" t="s">
        <v>622</v>
      </c>
      <c r="AM298" s="10"/>
      <c r="AN298" s="8"/>
      <c r="AO298" s="10" t="s">
        <v>447</v>
      </c>
      <c r="AP298" s="10" t="s">
        <v>175</v>
      </c>
      <c r="AQ298" s="11" t="n">
        <v>46182</v>
      </c>
      <c r="AR298" s="13" t="n">
        <v>99153</v>
      </c>
      <c r="AS298" s="13" t="s">
        <v>500</v>
      </c>
      <c r="AT298" s="13"/>
      <c r="AU298" s="13"/>
      <c r="AV298" s="13" t="s">
        <v>1341</v>
      </c>
      <c r="AW298" s="13"/>
      <c r="AX298" s="13" t="s">
        <v>1341</v>
      </c>
      <c r="AY298" s="7" t="s">
        <v>363</v>
      </c>
      <c r="AZ298" s="7" t="s">
        <v>159</v>
      </c>
      <c r="BA298" s="7" t="s">
        <v>46</v>
      </c>
      <c r="BB298" s="7" t="s">
        <v>1318</v>
      </c>
      <c r="BC298" s="7"/>
      <c r="BD298" s="9"/>
      <c r="BE298" s="7"/>
      <c r="BF298" s="14" t="str">
        <f aca="true">IF(TRIM($A298)="Finalized","Closed",IF($BD298="","No review date set",IF($BD298&lt;TODAY(),"OVERDUE",IF($BD298-TODAY()&lt;=7,"Due within 7 days","Scheduled"))))</f>
        <v>Closed</v>
      </c>
      <c r="BG298" s="14" t="n">
        <f aca="true">IF($K298="","",TODAY()-$K298)</f>
        <v>56</v>
      </c>
      <c r="BH298" s="15" t="str">
        <f aca="false">IFERROR(LEFT(IF($B298="","Notes, ","")&amp;IF($K298="","Latest Date Worked, ","")&amp;IF($AY298="","Last Action, ","")&amp;IF(AND(OR(TRIM($A298)="Denied",TRIM($A298)="Rejected"),$BA298=""),"Denial Reason, ","")&amp;IF(AND(TRIM($A298)="Denied",$BB298="",TRIM($BA298)&lt;&gt;"NO DENIAL"),"Denial Code, ","")&amp;IF(AND(TRIM($A298)&lt;&gt;"Finalized",$BD298=""),"Next Review Date, ","")&amp;IF(AND(TRIM($A298)&lt;&gt;"Finalized",$BE298=""),"Next Step, ","")&amp;IF(AND(TRIM($A298)="Finalized",$AV298="",$AR298="",$AT298="",$AX298="",$AW298=""),"CPT outcome, ",""),LEN(IF($B298="","Notes, ","")&amp;IF($K298="","Latest Date Worked, ","")&amp;IF($AY298="","Last Action, ","")&amp;IF(AND(OR(TRIM($A298)="Denied",TRIM($A298)="Rejected"),$BA298=""),"Denial Reason, ","")&amp;IF(AND(TRIM($A298)="Denied",$BB298="",TRIM($BA298)&lt;&gt;"NO DENIAL"),"Denial Code, ","")&amp;IF(AND(TRIM($A298)&lt;&gt;"Finalized",$BD298=""),"Next Review Date, ","")&amp;IF(AND(TRIM($A298)&lt;&gt;"Finalized",$BE298=""),"Next Step, ","")&amp;IF(AND(TRIM($A298)="Finalized",$AV298="",$AR298="",$AT298="",$AX298="",$AW298=""),"CPT outcome, ",""))-2),"")</f>
        <v/>
      </c>
      <c r="BI298" s="15" t="str">
        <f aca="false">IF($BB298="","",IFERROR(INDEX('Denial Codes'!$C:$C,MATCH(LEFT($BB298,FIND(" - ",$BB298&amp;" - ")+2)&amp;"*",'Denial Codes'!$A:$A,0)),""))</f>
        <v>Eligibility / member ID</v>
      </c>
      <c r="BJ298" s="15" t="str">
        <f aca="false">IF($BA298="","",IFERROR(INDEX(Lists!$B:$B,MATCH(TRIM($BA298),Lists!$A:$A,0))&amp;"",""))</f>
        <v>Verify eligibility; correct the member ID/MBI, name or DOB and resubmit.</v>
      </c>
    </row>
    <row r="299" customFormat="false" ht="15" hidden="false" customHeight="false" outlineLevel="0" collapsed="false">
      <c r="A299" s="7" t="s">
        <v>17</v>
      </c>
      <c r="B299" s="7" t="s">
        <v>1342</v>
      </c>
      <c r="C299" s="8" t="n">
        <v>559152944</v>
      </c>
      <c r="D299" s="9" t="n">
        <v>46245</v>
      </c>
      <c r="E299" s="10" t="s">
        <v>1343</v>
      </c>
      <c r="F299" s="11" t="n">
        <v>46153</v>
      </c>
      <c r="G299" s="10" t="s">
        <v>260</v>
      </c>
      <c r="H299" s="10" t="s">
        <v>260</v>
      </c>
      <c r="I299" s="10" t="s">
        <v>227</v>
      </c>
      <c r="J299" s="10" t="s">
        <v>1222</v>
      </c>
      <c r="K299" s="9" t="n">
        <v>46259</v>
      </c>
      <c r="L299" s="12" t="n">
        <f aca="true">IF($O299="","",$O299-TODAY())</f>
        <v>207</v>
      </c>
      <c r="M299" s="12" t="n">
        <f aca="true">IF(AND(TRIM($A299)="Finalized",$K299&lt;&gt;""),"",IF($D299="","",$D299+365-TODAY()))</f>
        <v>299</v>
      </c>
      <c r="N299" s="12" t="n">
        <f aca="true">IF(AND(TRIM($A299)="Finalized",$K299&lt;&gt;""),"",IF($D299="","",$D299+120-TODAY()))</f>
        <v>54</v>
      </c>
      <c r="O299" s="11" t="n">
        <f aca="false">IF(AND(TRIM($A299)="Finalized",$K299&lt;&gt;""),"",DATE(2027,5,11))</f>
        <v>46518</v>
      </c>
      <c r="P299" s="10" t="s">
        <v>114</v>
      </c>
      <c r="Q299" s="10" t="s">
        <v>115</v>
      </c>
      <c r="R299" s="10" t="s">
        <v>114</v>
      </c>
      <c r="S299" s="10" t="s">
        <v>116</v>
      </c>
      <c r="T299" s="10" t="s">
        <v>117</v>
      </c>
      <c r="U299" s="10" t="s">
        <v>116</v>
      </c>
      <c r="V299" s="10" t="s">
        <v>266</v>
      </c>
      <c r="W299" s="10" t="s">
        <v>132</v>
      </c>
      <c r="X299" s="10"/>
      <c r="Y299" s="10"/>
      <c r="Z299" s="10"/>
      <c r="AA299" s="10" t="s">
        <v>197</v>
      </c>
      <c r="AB299" s="8" t="n">
        <f aca="true">IF($F299="","",TODAY()-$F299)</f>
        <v>158</v>
      </c>
      <c r="AC299" s="10" t="s">
        <v>545</v>
      </c>
      <c r="AD299" s="10"/>
      <c r="AE299" s="10"/>
      <c r="AF299" s="10"/>
      <c r="AG299" s="10"/>
      <c r="AH299" s="10"/>
      <c r="AI299" s="10"/>
      <c r="AJ299" s="10" t="s">
        <v>362</v>
      </c>
      <c r="AK299" s="10"/>
      <c r="AL299" s="10"/>
      <c r="AM299" s="10"/>
      <c r="AN299" s="8"/>
      <c r="AO299" s="10" t="s">
        <v>546</v>
      </c>
      <c r="AP299" s="10" t="s">
        <v>175</v>
      </c>
      <c r="AQ299" s="11" t="n">
        <v>46156</v>
      </c>
      <c r="AR299" s="13"/>
      <c r="AS299" s="13"/>
      <c r="AT299" s="13"/>
      <c r="AU299" s="13"/>
      <c r="AV299" s="13" t="s">
        <v>251</v>
      </c>
      <c r="AW299" s="13"/>
      <c r="AX299" s="13" t="s">
        <v>991</v>
      </c>
      <c r="AY299" s="7" t="s">
        <v>520</v>
      </c>
      <c r="AZ299" s="7" t="s">
        <v>769</v>
      </c>
      <c r="BA299" s="7" t="s">
        <v>34</v>
      </c>
      <c r="BB299" s="7"/>
      <c r="BC299" s="7" t="s">
        <v>1344</v>
      </c>
      <c r="BD299" s="9" t="n">
        <v>46290</v>
      </c>
      <c r="BE299" s="7"/>
      <c r="BF299" s="14" t="str">
        <f aca="true">IF(TRIM($A299)="Finalized","Closed",IF($BD299="","No review date set",IF($BD299&lt;TODAY(),"OVERDUE",IF($BD299-TODAY()&lt;=7,"Due within 7 days","Scheduled"))))</f>
        <v>OVERDUE</v>
      </c>
      <c r="BG299" s="14" t="n">
        <f aca="true">IF($K299="","",TODAY()-$K299)</f>
        <v>52</v>
      </c>
      <c r="BH299" s="15" t="str">
        <f aca="false">IFERROR(LEFT(IF($B299="","Notes, ","")&amp;IF($K299="","Latest Date Worked, ","")&amp;IF($AY299="","Last Action, ","")&amp;IF(AND(OR(TRIM($A299)="Denied",TRIM($A299)="Rejected"),$BA299=""),"Denial Reason, ","")&amp;IF(AND(TRIM($A299)="Denied",$BB299="",TRIM($BA299)&lt;&gt;"NO DENIAL"),"Denial Code, ","")&amp;IF(AND(TRIM($A299)&lt;&gt;"Finalized",$BD299=""),"Next Review Date, ","")&amp;IF(AND(TRIM($A299)&lt;&gt;"Finalized",$BE299=""),"Next Step, ","")&amp;IF(AND(TRIM($A299)="Finalized",$AV299="",$AR299="",$AT299="",$AX299="",$AW299=""),"CPT outcome, ",""),LEN(IF($B299="","Notes, ","")&amp;IF($K299="","Latest Date Worked, ","")&amp;IF($AY299="","Last Action, ","")&amp;IF(AND(OR(TRIM($A299)="Denied",TRIM($A299)="Rejected"),$BA299=""),"Denial Reason, ","")&amp;IF(AND(TRIM($A299)="Denied",$BB299="",TRIM($BA299)&lt;&gt;"NO DENIAL"),"Denial Code, ","")&amp;IF(AND(TRIM($A299)&lt;&gt;"Finalized",$BD299=""),"Next Review Date, ","")&amp;IF(AND(TRIM($A299)&lt;&gt;"Finalized",$BE299=""),"Next Step, ","")&amp;IF(AND(TRIM($A299)="Finalized",$AV299="",$AR299="",$AT299="",$AX299="",$AW299=""),"CPT outcome, ",""))-2),"")</f>
        <v>Denial Code, Next Step</v>
      </c>
      <c r="BI299" s="15" t="str">
        <f aca="false">IF($BB299="","",IFERROR(INDEX('Denial Codes'!$C:$C,MATCH(LEFT($BB299,FIND(" - ",$BB299&amp;" - ")+2)&amp;"*",'Denial Codes'!$A:$A,0)),""))</f>
        <v/>
      </c>
      <c r="BJ299" s="15" t="str">
        <f aca="false">IF($BA299="","",IFERROR(INDEX(Lists!$B:$B,MATCH(TRIM($BA299),Lists!$A:$A,0))&amp;"",""))</f>
        <v>Check the portal for an auth; request a retro-auth or file an appeal with the auth number, then resubmit.</v>
      </c>
    </row>
    <row r="300" customFormat="false" ht="15" hidden="false" customHeight="false" outlineLevel="0" collapsed="false">
      <c r="A300" s="7" t="s">
        <v>16</v>
      </c>
      <c r="B300" s="7" t="s">
        <v>1345</v>
      </c>
      <c r="C300" s="8" t="n">
        <v>560069379</v>
      </c>
      <c r="D300" s="9" t="n">
        <v>46203</v>
      </c>
      <c r="E300" s="10" t="s">
        <v>1346</v>
      </c>
      <c r="F300" s="11" t="n">
        <v>46154</v>
      </c>
      <c r="G300" s="10" t="s">
        <v>260</v>
      </c>
      <c r="H300" s="10" t="s">
        <v>260</v>
      </c>
      <c r="I300" s="10" t="s">
        <v>279</v>
      </c>
      <c r="J300" s="10" t="s">
        <v>724</v>
      </c>
      <c r="K300" s="9" t="n">
        <v>46259</v>
      </c>
      <c r="L300" s="12" t="str">
        <f aca="true">IF($O300="","",$O300-TODAY())</f>
        <v/>
      </c>
      <c r="M300" s="12" t="str">
        <f aca="true">IF(AND(TRIM($A300)="Finalized",$K300&lt;&gt;""),"",IF($D300="","",$D300+365-TODAY()))</f>
        <v/>
      </c>
      <c r="N300" s="12" t="str">
        <f aca="true">IF(AND(TRIM($A300)="Finalized",$K300&lt;&gt;""),"",IF($D300="","",$D300+120-TODAY()))</f>
        <v/>
      </c>
      <c r="O300" s="11" t="str">
        <f aca="false">IF(AND(TRIM($A300)="Finalized",$K300&lt;&gt;""),"",DATE(2027,5,12))</f>
        <v/>
      </c>
      <c r="P300" s="10" t="s">
        <v>114</v>
      </c>
      <c r="Q300" s="10" t="s">
        <v>115</v>
      </c>
      <c r="R300" s="10" t="s">
        <v>114</v>
      </c>
      <c r="S300" s="10" t="s">
        <v>116</v>
      </c>
      <c r="T300" s="10" t="s">
        <v>117</v>
      </c>
      <c r="U300" s="10" t="s">
        <v>116</v>
      </c>
      <c r="V300" s="10" t="s">
        <v>266</v>
      </c>
      <c r="W300" s="10" t="s">
        <v>196</v>
      </c>
      <c r="X300" s="10"/>
      <c r="Y300" s="10"/>
      <c r="Z300" s="10"/>
      <c r="AA300" s="10" t="s">
        <v>197</v>
      </c>
      <c r="AB300" s="8" t="n">
        <f aca="true">IF($F300="","",TODAY()-$F300)</f>
        <v>157</v>
      </c>
      <c r="AC300" s="10" t="s">
        <v>487</v>
      </c>
      <c r="AD300" s="10"/>
      <c r="AE300" s="10"/>
      <c r="AF300" s="10"/>
      <c r="AG300" s="10"/>
      <c r="AH300" s="10"/>
      <c r="AI300" s="10"/>
      <c r="AJ300" s="10" t="s">
        <v>552</v>
      </c>
      <c r="AK300" s="10"/>
      <c r="AL300" s="10"/>
      <c r="AM300" s="10"/>
      <c r="AN300" s="8"/>
      <c r="AO300" s="10" t="s">
        <v>201</v>
      </c>
      <c r="AP300" s="10" t="s">
        <v>202</v>
      </c>
      <c r="AQ300" s="11" t="n">
        <v>46164</v>
      </c>
      <c r="AR300" s="13"/>
      <c r="AS300" s="13"/>
      <c r="AT300" s="13"/>
      <c r="AU300" s="13"/>
      <c r="AV300" s="13" t="s">
        <v>487</v>
      </c>
      <c r="AW300" s="13"/>
      <c r="AX300" s="13" t="s">
        <v>1310</v>
      </c>
      <c r="AY300" s="7" t="s">
        <v>363</v>
      </c>
      <c r="AZ300" s="7" t="s">
        <v>159</v>
      </c>
      <c r="BA300" s="7" t="s">
        <v>40</v>
      </c>
      <c r="BB300" s="7" t="s">
        <v>215</v>
      </c>
      <c r="BC300" s="7" t="s">
        <v>1347</v>
      </c>
      <c r="BD300" s="9"/>
      <c r="BE300" s="7"/>
      <c r="BF300" s="14" t="str">
        <f aca="true">IF(TRIM($A300)="Finalized","Closed",IF($BD300="","No review date set",IF($BD300&lt;TODAY(),"OVERDUE",IF($BD300-TODAY()&lt;=7,"Due within 7 days","Scheduled"))))</f>
        <v>Closed</v>
      </c>
      <c r="BG300" s="14" t="n">
        <f aca="true">IF($K300="","",TODAY()-$K300)</f>
        <v>52</v>
      </c>
      <c r="BH300" s="15" t="str">
        <f aca="false">IFERROR(LEFT(IF($B300="","Notes, ","")&amp;IF($K300="","Latest Date Worked, ","")&amp;IF($AY300="","Last Action, ","")&amp;IF(AND(OR(TRIM($A300)="Denied",TRIM($A300)="Rejected"),$BA300=""),"Denial Reason, ","")&amp;IF(AND(TRIM($A300)="Denied",$BB300="",TRIM($BA300)&lt;&gt;"NO DENIAL"),"Denial Code, ","")&amp;IF(AND(TRIM($A300)&lt;&gt;"Finalized",$BD300=""),"Next Review Date, ","")&amp;IF(AND(TRIM($A300)&lt;&gt;"Finalized",$BE300=""),"Next Step, ","")&amp;IF(AND(TRIM($A300)="Finalized",$AV300="",$AR300="",$AT300="",$AX300="",$AW300=""),"CPT outcome, ",""),LEN(IF($B300="","Notes, ","")&amp;IF($K300="","Latest Date Worked, ","")&amp;IF($AY300="","Last Action, ","")&amp;IF(AND(OR(TRIM($A300)="Denied",TRIM($A300)="Rejected"),$BA300=""),"Denial Reason, ","")&amp;IF(AND(TRIM($A300)="Denied",$BB300="",TRIM($BA300)&lt;&gt;"NO DENIAL"),"Denial Code, ","")&amp;IF(AND(TRIM($A300)&lt;&gt;"Finalized",$BD300=""),"Next Review Date, ","")&amp;IF(AND(TRIM($A300)&lt;&gt;"Finalized",$BE300=""),"Next Step, ","")&amp;IF(AND(TRIM($A300)="Finalized",$AV300="",$AR300="",$AT300="",$AX300="",$AW300=""),"CPT outcome, ",""))-2),"")</f>
        <v/>
      </c>
      <c r="BI300" s="15" t="str">
        <f aca="false">IF($BB300="","",IFERROR(INDEX('Denial Codes'!$C:$C,MATCH(LEFT($BB300,FIND(" - ",$BB300&amp;" - ")+2)&amp;"*",'Denial Codes'!$A:$A,0)),""))</f>
        <v>Bundled / NCCI edit</v>
      </c>
      <c r="BJ300" s="15" t="str">
        <f aca="false">IF($BA300="","",IFERROR(INDEX(Lists!$B:$B,MATCH(TRIM($BA300),Lists!$A:$A,0))&amp;"",""))</f>
        <v>Fix the code, units, charge or other claim data and resubmit as a corrected claim.</v>
      </c>
    </row>
    <row r="301" customFormat="false" ht="15" hidden="false" customHeight="false" outlineLevel="0" collapsed="false">
      <c r="A301" s="7" t="s">
        <v>19</v>
      </c>
      <c r="B301" s="7" t="s">
        <v>1148</v>
      </c>
      <c r="C301" s="8" t="n">
        <v>559107561</v>
      </c>
      <c r="D301" s="9" t="n">
        <v>46196</v>
      </c>
      <c r="E301" s="10" t="s">
        <v>1348</v>
      </c>
      <c r="F301" s="11" t="n">
        <v>46155</v>
      </c>
      <c r="G301" s="10" t="s">
        <v>163</v>
      </c>
      <c r="H301" s="10" t="s">
        <v>260</v>
      </c>
      <c r="I301" s="10" t="s">
        <v>163</v>
      </c>
      <c r="J301" s="10" t="s">
        <v>181</v>
      </c>
      <c r="K301" s="9" t="n">
        <v>46227</v>
      </c>
      <c r="L301" s="12" t="n">
        <f aca="true">IF($O301="","",$O301-TODAY())</f>
        <v>209</v>
      </c>
      <c r="M301" s="12" t="n">
        <f aca="true">IF(AND(TRIM($A301)="Finalized",$K301&lt;&gt;""),"",IF($D301="","",$D301+365-TODAY()))</f>
        <v>250</v>
      </c>
      <c r="N301" s="12" t="n">
        <f aca="true">IF(AND(TRIM($A301)="Finalized",$K301&lt;&gt;""),"",IF($D301="","",$D301+120-TODAY()))</f>
        <v>5</v>
      </c>
      <c r="O301" s="11" t="n">
        <f aca="false">IF(AND(TRIM($A301)="Finalized",$K301&lt;&gt;""),"",DATE(2027,5,13))</f>
        <v>46520</v>
      </c>
      <c r="P301" s="10" t="s">
        <v>114</v>
      </c>
      <c r="Q301" s="10" t="s">
        <v>115</v>
      </c>
      <c r="R301" s="10" t="s">
        <v>114</v>
      </c>
      <c r="S301" s="10" t="s">
        <v>116</v>
      </c>
      <c r="T301" s="10" t="s">
        <v>117</v>
      </c>
      <c r="U301" s="10" t="s">
        <v>116</v>
      </c>
      <c r="V301" s="10" t="s">
        <v>266</v>
      </c>
      <c r="W301" s="10" t="s">
        <v>183</v>
      </c>
      <c r="X301" s="10"/>
      <c r="Y301" s="10"/>
      <c r="Z301" s="10"/>
      <c r="AA301" s="10" t="s">
        <v>197</v>
      </c>
      <c r="AB301" s="8" t="n">
        <f aca="true">IF($F301="","",TODAY()-$F301)</f>
        <v>156</v>
      </c>
      <c r="AC301" s="10" t="s">
        <v>184</v>
      </c>
      <c r="AD301" s="10" t="s">
        <v>185</v>
      </c>
      <c r="AE301" s="10"/>
      <c r="AF301" s="10"/>
      <c r="AG301" s="10"/>
      <c r="AH301" s="10"/>
      <c r="AI301" s="10"/>
      <c r="AJ301" s="10" t="s">
        <v>186</v>
      </c>
      <c r="AK301" s="10"/>
      <c r="AL301" s="10"/>
      <c r="AM301" s="10"/>
      <c r="AN301" s="8" t="n">
        <v>564131742</v>
      </c>
      <c r="AO301" s="10" t="s">
        <v>201</v>
      </c>
      <c r="AP301" s="10" t="s">
        <v>202</v>
      </c>
      <c r="AQ301" s="11" t="n">
        <v>46182</v>
      </c>
      <c r="AR301" s="13"/>
      <c r="AS301" s="13"/>
      <c r="AT301" s="13"/>
      <c r="AU301" s="13"/>
      <c r="AV301" s="13" t="s">
        <v>507</v>
      </c>
      <c r="AW301" s="13"/>
      <c r="AX301" s="13" t="s">
        <v>507</v>
      </c>
      <c r="AY301" s="7" t="s">
        <v>233</v>
      </c>
      <c r="AZ301" s="7"/>
      <c r="BA301" s="7"/>
      <c r="BB301" s="7"/>
      <c r="BC301" s="7"/>
      <c r="BD301" s="9" t="n">
        <v>46258</v>
      </c>
      <c r="BE301" s="7" t="s">
        <v>527</v>
      </c>
      <c r="BF301" s="14" t="str">
        <f aca="true">IF(TRIM($A301)="Finalized","Closed",IF($BD301="","No review date set",IF($BD301&lt;TODAY(),"OVERDUE",IF($BD301-TODAY()&lt;=7,"Due within 7 days","Scheduled"))))</f>
        <v>OVERDUE</v>
      </c>
      <c r="BG301" s="14" t="n">
        <f aca="true">IF($K301="","",TODAY()-$K301)</f>
        <v>84</v>
      </c>
      <c r="BH301" s="15" t="str">
        <f aca="false">IFERROR(LEFT(IF($B301="","Notes, ","")&amp;IF($K301="","Latest Date Worked, ","")&amp;IF($AY301="","Last Action, ","")&amp;IF(AND(OR(TRIM($A301)="Denied",TRIM($A301)="Rejected"),$BA301=""),"Denial Reason, ","")&amp;IF(AND(TRIM($A301)="Denied",$BB301="",TRIM($BA301)&lt;&gt;"NO DENIAL"),"Denial Code, ","")&amp;IF(AND(TRIM($A301)&lt;&gt;"Finalized",$BD301=""),"Next Review Date, ","")&amp;IF(AND(TRIM($A301)&lt;&gt;"Finalized",$BE301=""),"Next Step, ","")&amp;IF(AND(TRIM($A301)="Finalized",$AV301="",$AR301="",$AT301="",$AX301="",$AW301=""),"CPT outcome, ",""),LEN(IF($B301="","Notes, ","")&amp;IF($K301="","Latest Date Worked, ","")&amp;IF($AY301="","Last Action, ","")&amp;IF(AND(OR(TRIM($A301)="Denied",TRIM($A301)="Rejected"),$BA301=""),"Denial Reason, ","")&amp;IF(AND(TRIM($A301)="Denied",$BB301="",TRIM($BA301)&lt;&gt;"NO DENIAL"),"Denial Code, ","")&amp;IF(AND(TRIM($A301)&lt;&gt;"Finalized",$BD301=""),"Next Review Date, ","")&amp;IF(AND(TRIM($A301)&lt;&gt;"Finalized",$BE301=""),"Next Step, ","")&amp;IF(AND(TRIM($A301)="Finalized",$AV301="",$AR301="",$AT301="",$AX301="",$AW301=""),"CPT outcome, ",""))-2),"")</f>
        <v/>
      </c>
      <c r="BI301" s="15" t="str">
        <f aca="false">IF($BB301="","",IFERROR(INDEX('Denial Codes'!$C:$C,MATCH(LEFT($BB301,FIND(" - ",$BB301&amp;" - ")+2)&amp;"*",'Denial Codes'!$A:$A,0)),""))</f>
        <v/>
      </c>
      <c r="BJ301" s="15" t="str">
        <f aca="false">IF($BA301="","",IFERROR(INDEX(Lists!$B:$B,MATCH(TRIM($BA301),Lists!$A:$A,0))&amp;"",""))</f>
        <v/>
      </c>
    </row>
    <row r="302" customFormat="false" ht="15" hidden="false" customHeight="false" outlineLevel="0" collapsed="false">
      <c r="A302" s="7" t="s">
        <v>16</v>
      </c>
      <c r="B302" s="7" t="s">
        <v>1349</v>
      </c>
      <c r="C302" s="8" t="n">
        <v>559435670</v>
      </c>
      <c r="D302" s="9" t="n">
        <v>46168</v>
      </c>
      <c r="E302" s="10" t="s">
        <v>1350</v>
      </c>
      <c r="F302" s="11" t="n">
        <v>46155</v>
      </c>
      <c r="G302" s="10" t="s">
        <v>260</v>
      </c>
      <c r="H302" s="10" t="s">
        <v>260</v>
      </c>
      <c r="I302" s="10" t="s">
        <v>129</v>
      </c>
      <c r="J302" s="10" t="s">
        <v>1351</v>
      </c>
      <c r="K302" s="9" t="n">
        <v>46259</v>
      </c>
      <c r="L302" s="12" t="str">
        <f aca="true">IF($O302="","",$O302-TODAY())</f>
        <v/>
      </c>
      <c r="M302" s="12" t="str">
        <f aca="true">IF(AND(TRIM($A302)="Finalized",$K302&lt;&gt;""),"",IF($D302="","",$D302+365-TODAY()))</f>
        <v/>
      </c>
      <c r="N302" s="12" t="str">
        <f aca="true">IF(AND(TRIM($A302)="Finalized",$K302&lt;&gt;""),"",IF($D302="","",$D302+120-TODAY()))</f>
        <v/>
      </c>
      <c r="O302" s="11" t="str">
        <f aca="false">IF(AND(TRIM($A302)="Finalized",$K302&lt;&gt;""),"",DATE(2027,5,13))</f>
        <v/>
      </c>
      <c r="P302" s="10" t="s">
        <v>114</v>
      </c>
      <c r="Q302" s="10" t="s">
        <v>115</v>
      </c>
      <c r="R302" s="10" t="s">
        <v>114</v>
      </c>
      <c r="S302" s="10" t="s">
        <v>116</v>
      </c>
      <c r="T302" s="10" t="s">
        <v>117</v>
      </c>
      <c r="U302" s="10" t="s">
        <v>116</v>
      </c>
      <c r="V302" s="10" t="s">
        <v>266</v>
      </c>
      <c r="W302" s="10" t="s">
        <v>132</v>
      </c>
      <c r="X302" s="10" t="s">
        <v>436</v>
      </c>
      <c r="Y302" s="10"/>
      <c r="Z302" s="10"/>
      <c r="AA302" s="10" t="s">
        <v>197</v>
      </c>
      <c r="AB302" s="8" t="n">
        <f aca="true">IF($F302="","",TODAY()-$F302)</f>
        <v>156</v>
      </c>
      <c r="AC302" s="10" t="s">
        <v>895</v>
      </c>
      <c r="AD302" s="10"/>
      <c r="AE302" s="10"/>
      <c r="AF302" s="10"/>
      <c r="AG302" s="10"/>
      <c r="AH302" s="10"/>
      <c r="AI302" s="10"/>
      <c r="AJ302" s="10" t="s">
        <v>686</v>
      </c>
      <c r="AK302" s="10"/>
      <c r="AL302" s="10"/>
      <c r="AM302" s="10"/>
      <c r="AN302" s="8"/>
      <c r="AO302" s="10" t="s">
        <v>1049</v>
      </c>
      <c r="AP302" s="10" t="s">
        <v>327</v>
      </c>
      <c r="AQ302" s="11" t="n">
        <v>46160</v>
      </c>
      <c r="AR302" s="13"/>
      <c r="AS302" s="13"/>
      <c r="AT302" s="13"/>
      <c r="AU302" s="13"/>
      <c r="AV302" s="13" t="s">
        <v>895</v>
      </c>
      <c r="AW302" s="13"/>
      <c r="AX302" s="13" t="s">
        <v>895</v>
      </c>
      <c r="AY302" s="7" t="s">
        <v>363</v>
      </c>
      <c r="AZ302" s="7" t="s">
        <v>159</v>
      </c>
      <c r="BA302" s="7" t="s">
        <v>37</v>
      </c>
      <c r="BB302" s="7" t="s">
        <v>215</v>
      </c>
      <c r="BC302" s="7" t="s">
        <v>1352</v>
      </c>
      <c r="BD302" s="9"/>
      <c r="BE302" s="7"/>
      <c r="BF302" s="14" t="str">
        <f aca="true">IF(TRIM($A302)="Finalized","Closed",IF($BD302="","No review date set",IF($BD302&lt;TODAY(),"OVERDUE",IF($BD302-TODAY()&lt;=7,"Due within 7 days","Scheduled"))))</f>
        <v>Closed</v>
      </c>
      <c r="BG302" s="14" t="n">
        <f aca="true">IF($K302="","",TODAY()-$K302)</f>
        <v>52</v>
      </c>
      <c r="BH302" s="15" t="str">
        <f aca="false">IFERROR(LEFT(IF($B302="","Notes, ","")&amp;IF($K302="","Latest Date Worked, ","")&amp;IF($AY302="","Last Action, ","")&amp;IF(AND(OR(TRIM($A302)="Denied",TRIM($A302)="Rejected"),$BA302=""),"Denial Reason, ","")&amp;IF(AND(TRIM($A302)="Denied",$BB302="",TRIM($BA302)&lt;&gt;"NO DENIAL"),"Denial Code, ","")&amp;IF(AND(TRIM($A302)&lt;&gt;"Finalized",$BD302=""),"Next Review Date, ","")&amp;IF(AND(TRIM($A302)&lt;&gt;"Finalized",$BE302=""),"Next Step, ","")&amp;IF(AND(TRIM($A302)="Finalized",$AV302="",$AR302="",$AT302="",$AX302="",$AW302=""),"CPT outcome, ",""),LEN(IF($B302="","Notes, ","")&amp;IF($K302="","Latest Date Worked, ","")&amp;IF($AY302="","Last Action, ","")&amp;IF(AND(OR(TRIM($A302)="Denied",TRIM($A302)="Rejected"),$BA302=""),"Denial Reason, ","")&amp;IF(AND(TRIM($A302)="Denied",$BB302="",TRIM($BA302)&lt;&gt;"NO DENIAL"),"Denial Code, ","")&amp;IF(AND(TRIM($A302)&lt;&gt;"Finalized",$BD302=""),"Next Review Date, ","")&amp;IF(AND(TRIM($A302)&lt;&gt;"Finalized",$BE302=""),"Next Step, ","")&amp;IF(AND(TRIM($A302)="Finalized",$AV302="",$AR302="",$AT302="",$AX302="",$AW302=""),"CPT outcome, ",""))-2),"")</f>
        <v/>
      </c>
      <c r="BI302" s="15" t="str">
        <f aca="false">IF($BB302="","",IFERROR(INDEX('Denial Codes'!$C:$C,MATCH(LEFT($BB302,FIND(" - ",$BB302&amp;" - ")+2)&amp;"*",'Denial Codes'!$A:$A,0)),""))</f>
        <v>Bundled / NCCI edit</v>
      </c>
      <c r="BJ302" s="15" t="str">
        <f aca="false">IF($BA302="","",IFERROR(INDEX(Lists!$B:$B,MATCH(TRIM($BA302),Lists!$A:$A,0))&amp;"",""))</f>
        <v>Check the NCCI pair; if the service was distinct, add 59/XU (or XS) and resubmit; otherwise adjust.</v>
      </c>
    </row>
    <row r="303" customFormat="false" ht="15" hidden="false" customHeight="false" outlineLevel="0" collapsed="false">
      <c r="A303" s="7" t="s">
        <v>19</v>
      </c>
      <c r="B303" s="7" t="s">
        <v>1353</v>
      </c>
      <c r="C303" s="8" t="n">
        <v>559783560</v>
      </c>
      <c r="D303" s="9" t="n">
        <v>46211</v>
      </c>
      <c r="E303" s="10" t="s">
        <v>1343</v>
      </c>
      <c r="F303" s="11" t="n">
        <v>46156</v>
      </c>
      <c r="G303" s="10" t="s">
        <v>227</v>
      </c>
      <c r="H303" s="10" t="s">
        <v>112</v>
      </c>
      <c r="I303" s="10" t="s">
        <v>227</v>
      </c>
      <c r="J303" s="10" t="s">
        <v>646</v>
      </c>
      <c r="K303" s="9" t="n">
        <v>46254</v>
      </c>
      <c r="L303" s="12" t="n">
        <f aca="true">IF($O303="","",$O303-TODAY())</f>
        <v>210</v>
      </c>
      <c r="M303" s="12" t="n">
        <f aca="true">IF(AND(TRIM($A303)="Finalized",$K303&lt;&gt;""),"",IF($D303="","",$D303+365-TODAY()))</f>
        <v>265</v>
      </c>
      <c r="N303" s="12" t="n">
        <f aca="true">IF(AND(TRIM($A303)="Finalized",$K303&lt;&gt;""),"",IF($D303="","",$D303+120-TODAY()))</f>
        <v>20</v>
      </c>
      <c r="O303" s="11" t="n">
        <f aca="false">IF(AND(TRIM($A303)="Finalized",$K303&lt;&gt;""),"",DATE(2027,5,14))</f>
        <v>46521</v>
      </c>
      <c r="P303" s="10" t="s">
        <v>114</v>
      </c>
      <c r="Q303" s="10" t="s">
        <v>115</v>
      </c>
      <c r="R303" s="10" t="s">
        <v>114</v>
      </c>
      <c r="S303" s="10" t="s">
        <v>116</v>
      </c>
      <c r="T303" s="10" t="s">
        <v>117</v>
      </c>
      <c r="U303" s="10" t="s">
        <v>116</v>
      </c>
      <c r="V303" s="10" t="s">
        <v>266</v>
      </c>
      <c r="W303" s="10" t="s">
        <v>119</v>
      </c>
      <c r="X303" s="10" t="s">
        <v>229</v>
      </c>
      <c r="Y303" s="10"/>
      <c r="Z303" s="10"/>
      <c r="AA303" s="10" t="s">
        <v>230</v>
      </c>
      <c r="AB303" s="8" t="n">
        <f aca="true">IF($F303="","",TODAY()-$F303)</f>
        <v>155</v>
      </c>
      <c r="AC303" s="10" t="s">
        <v>273</v>
      </c>
      <c r="AD303" s="10"/>
      <c r="AE303" s="10"/>
      <c r="AF303" s="10"/>
      <c r="AG303" s="10"/>
      <c r="AH303" s="10"/>
      <c r="AI303" s="10"/>
      <c r="AJ303" s="10" t="s">
        <v>123</v>
      </c>
      <c r="AK303" s="10" t="s">
        <v>139</v>
      </c>
      <c r="AL303" s="10"/>
      <c r="AM303" s="10"/>
      <c r="AN303" s="8" t="n">
        <v>569311834</v>
      </c>
      <c r="AO303" s="10" t="s">
        <v>274</v>
      </c>
      <c r="AP303" s="10" t="s">
        <v>275</v>
      </c>
      <c r="AQ303" s="11" t="n">
        <v>46162</v>
      </c>
      <c r="AR303" s="13"/>
      <c r="AS303" s="13"/>
      <c r="AT303" s="13"/>
      <c r="AU303" s="13"/>
      <c r="AV303" s="13" t="s">
        <v>273</v>
      </c>
      <c r="AW303" s="13"/>
      <c r="AX303" s="13" t="s">
        <v>273</v>
      </c>
      <c r="AY303" s="7" t="s">
        <v>411</v>
      </c>
      <c r="AZ303" s="7"/>
      <c r="BA303" s="7" t="s">
        <v>44</v>
      </c>
      <c r="BB303" s="7"/>
      <c r="BC303" s="7"/>
      <c r="BD303" s="9" t="n">
        <v>46285</v>
      </c>
      <c r="BE303" s="7" t="s">
        <v>1354</v>
      </c>
      <c r="BF303" s="14" t="str">
        <f aca="true">IF(TRIM($A303)="Finalized","Closed",IF($BD303="","No review date set",IF($BD303&lt;TODAY(),"OVERDUE",IF($BD303-TODAY()&lt;=7,"Due within 7 days","Scheduled"))))</f>
        <v>OVERDUE</v>
      </c>
      <c r="BG303" s="14" t="n">
        <f aca="true">IF($K303="","",TODAY()-$K303)</f>
        <v>57</v>
      </c>
      <c r="BH303" s="15" t="str">
        <f aca="false">IFERROR(LEFT(IF($B303="","Notes, ","")&amp;IF($K303="","Latest Date Worked, ","")&amp;IF($AY303="","Last Action, ","")&amp;IF(AND(OR(TRIM($A303)="Denied",TRIM($A303)="Rejected"),$BA303=""),"Denial Reason, ","")&amp;IF(AND(TRIM($A303)="Denied",$BB303="",TRIM($BA303)&lt;&gt;"NO DENIAL"),"Denial Code, ","")&amp;IF(AND(TRIM($A303)&lt;&gt;"Finalized",$BD303=""),"Next Review Date, ","")&amp;IF(AND(TRIM($A303)&lt;&gt;"Finalized",$BE303=""),"Next Step, ","")&amp;IF(AND(TRIM($A303)="Finalized",$AV303="",$AR303="",$AT303="",$AX303="",$AW303=""),"CPT outcome, ",""),LEN(IF($B303="","Notes, ","")&amp;IF($K303="","Latest Date Worked, ","")&amp;IF($AY303="","Last Action, ","")&amp;IF(AND(OR(TRIM($A303)="Denied",TRIM($A303)="Rejected"),$BA303=""),"Denial Reason, ","")&amp;IF(AND(TRIM($A303)="Denied",$BB303="",TRIM($BA303)&lt;&gt;"NO DENIAL"),"Denial Code, ","")&amp;IF(AND(TRIM($A303)&lt;&gt;"Finalized",$BD303=""),"Next Review Date, ","")&amp;IF(AND(TRIM($A303)&lt;&gt;"Finalized",$BE303=""),"Next Step, ","")&amp;IF(AND(TRIM($A303)="Finalized",$AV303="",$AR303="",$AT303="",$AX303="",$AW303=""),"CPT outcome, ",""))-2),"")</f>
        <v/>
      </c>
      <c r="BI303" s="15" t="str">
        <f aca="false">IF($BB303="","",IFERROR(INDEX('Denial Codes'!$C:$C,MATCH(LEFT($BB303,FIND(" - ",$BB303&amp;" - ")+2)&amp;"*",'Denial Codes'!$A:$A,0)),""))</f>
        <v/>
      </c>
      <c r="BJ303" s="15" t="str">
        <f aca="false">IF($BA303="","",IFERROR(INDEX(Lists!$B:$B,MATCH(TRIM($BA303),Lists!$A:$A,0))&amp;"",""))</f>
        <v>Bill the correct payer, delegated vendor or capitated group/IPA (e.g. Optum Behavioral, Preferred Homecare).</v>
      </c>
    </row>
    <row r="304" customFormat="false" ht="15" hidden="false" customHeight="false" outlineLevel="0" collapsed="false">
      <c r="A304" s="7" t="s">
        <v>19</v>
      </c>
      <c r="B304" s="7" t="s">
        <v>1148</v>
      </c>
      <c r="C304" s="8" t="n">
        <v>559368713</v>
      </c>
      <c r="D304" s="9" t="n">
        <v>46196</v>
      </c>
      <c r="E304" s="10" t="s">
        <v>1355</v>
      </c>
      <c r="F304" s="11" t="n">
        <v>46157</v>
      </c>
      <c r="G304" s="10" t="s">
        <v>163</v>
      </c>
      <c r="H304" s="10" t="s">
        <v>260</v>
      </c>
      <c r="I304" s="10" t="s">
        <v>163</v>
      </c>
      <c r="J304" s="10" t="s">
        <v>181</v>
      </c>
      <c r="K304" s="9" t="n">
        <v>46227</v>
      </c>
      <c r="L304" s="12" t="n">
        <f aca="true">IF($O304="","",$O304-TODAY())</f>
        <v>211</v>
      </c>
      <c r="M304" s="12" t="n">
        <f aca="true">IF(AND(TRIM($A304)="Finalized",$K304&lt;&gt;""),"",IF($D304="","",$D304+365-TODAY()))</f>
        <v>250</v>
      </c>
      <c r="N304" s="12" t="n">
        <f aca="true">IF(AND(TRIM($A304)="Finalized",$K304&lt;&gt;""),"",IF($D304="","",$D304+120-TODAY()))</f>
        <v>5</v>
      </c>
      <c r="O304" s="11" t="n">
        <f aca="false">IF(AND(TRIM($A304)="Finalized",$K304&lt;&gt;""),"",DATE(2027,5,15))</f>
        <v>46522</v>
      </c>
      <c r="P304" s="10" t="s">
        <v>114</v>
      </c>
      <c r="Q304" s="10" t="s">
        <v>115</v>
      </c>
      <c r="R304" s="10" t="s">
        <v>114</v>
      </c>
      <c r="S304" s="10" t="s">
        <v>116</v>
      </c>
      <c r="T304" s="10" t="s">
        <v>117</v>
      </c>
      <c r="U304" s="10" t="s">
        <v>116</v>
      </c>
      <c r="V304" s="10" t="s">
        <v>266</v>
      </c>
      <c r="W304" s="10" t="s">
        <v>183</v>
      </c>
      <c r="X304" s="10"/>
      <c r="Y304" s="10"/>
      <c r="Z304" s="10"/>
      <c r="AA304" s="10" t="s">
        <v>197</v>
      </c>
      <c r="AB304" s="8" t="n">
        <f aca="true">IF($F304="","",TODAY()-$F304)</f>
        <v>154</v>
      </c>
      <c r="AC304" s="10" t="s">
        <v>184</v>
      </c>
      <c r="AD304" s="10" t="s">
        <v>185</v>
      </c>
      <c r="AE304" s="10"/>
      <c r="AF304" s="10"/>
      <c r="AG304" s="10"/>
      <c r="AH304" s="10"/>
      <c r="AI304" s="10"/>
      <c r="AJ304" s="10" t="s">
        <v>511</v>
      </c>
      <c r="AK304" s="10"/>
      <c r="AL304" s="10"/>
      <c r="AM304" s="10"/>
      <c r="AN304" s="8" t="n">
        <v>564132159</v>
      </c>
      <c r="AO304" s="10" t="s">
        <v>201</v>
      </c>
      <c r="AP304" s="10" t="s">
        <v>202</v>
      </c>
      <c r="AQ304" s="11" t="n">
        <v>46182</v>
      </c>
      <c r="AR304" s="13"/>
      <c r="AS304" s="13"/>
      <c r="AT304" s="13"/>
      <c r="AU304" s="13"/>
      <c r="AV304" s="13" t="s">
        <v>507</v>
      </c>
      <c r="AW304" s="13"/>
      <c r="AX304" s="13" t="s">
        <v>507</v>
      </c>
      <c r="AY304" s="7" t="s">
        <v>233</v>
      </c>
      <c r="AZ304" s="7"/>
      <c r="BA304" s="7"/>
      <c r="BB304" s="7"/>
      <c r="BC304" s="7"/>
      <c r="BD304" s="9" t="n">
        <v>46258</v>
      </c>
      <c r="BE304" s="7" t="s">
        <v>527</v>
      </c>
      <c r="BF304" s="14" t="str">
        <f aca="true">IF(TRIM($A304)="Finalized","Closed",IF($BD304="","No review date set",IF($BD304&lt;TODAY(),"OVERDUE",IF($BD304-TODAY()&lt;=7,"Due within 7 days","Scheduled"))))</f>
        <v>OVERDUE</v>
      </c>
      <c r="BG304" s="14" t="n">
        <f aca="true">IF($K304="","",TODAY()-$K304)</f>
        <v>84</v>
      </c>
      <c r="BH304" s="15" t="str">
        <f aca="false">IFERROR(LEFT(IF($B304="","Notes, ","")&amp;IF($K304="","Latest Date Worked, ","")&amp;IF($AY304="","Last Action, ","")&amp;IF(AND(OR(TRIM($A304)="Denied",TRIM($A304)="Rejected"),$BA304=""),"Denial Reason, ","")&amp;IF(AND(TRIM($A304)="Denied",$BB304="",TRIM($BA304)&lt;&gt;"NO DENIAL"),"Denial Code, ","")&amp;IF(AND(TRIM($A304)&lt;&gt;"Finalized",$BD304=""),"Next Review Date, ","")&amp;IF(AND(TRIM($A304)&lt;&gt;"Finalized",$BE304=""),"Next Step, ","")&amp;IF(AND(TRIM($A304)="Finalized",$AV304="",$AR304="",$AT304="",$AX304="",$AW304=""),"CPT outcome, ",""),LEN(IF($B304="","Notes, ","")&amp;IF($K304="","Latest Date Worked, ","")&amp;IF($AY304="","Last Action, ","")&amp;IF(AND(OR(TRIM($A304)="Denied",TRIM($A304)="Rejected"),$BA304=""),"Denial Reason, ","")&amp;IF(AND(TRIM($A304)="Denied",$BB304="",TRIM($BA304)&lt;&gt;"NO DENIAL"),"Denial Code, ","")&amp;IF(AND(TRIM($A304)&lt;&gt;"Finalized",$BD304=""),"Next Review Date, ","")&amp;IF(AND(TRIM($A304)&lt;&gt;"Finalized",$BE304=""),"Next Step, ","")&amp;IF(AND(TRIM($A304)="Finalized",$AV304="",$AR304="",$AT304="",$AX304="",$AW304=""),"CPT outcome, ",""))-2),"")</f>
        <v/>
      </c>
      <c r="BI304" s="15" t="str">
        <f aca="false">IF($BB304="","",IFERROR(INDEX('Denial Codes'!$C:$C,MATCH(LEFT($BB304,FIND(" - ",$BB304&amp;" - ")+2)&amp;"*",'Denial Codes'!$A:$A,0)),""))</f>
        <v/>
      </c>
      <c r="BJ304" s="15" t="str">
        <f aca="false">IF($BA304="","",IFERROR(INDEX(Lists!$B:$B,MATCH(TRIM($BA304),Lists!$A:$A,0))&amp;"",""))</f>
        <v/>
      </c>
    </row>
    <row r="305" customFormat="false" ht="15" hidden="false" customHeight="false" outlineLevel="0" collapsed="false">
      <c r="A305" s="7" t="s">
        <v>17</v>
      </c>
      <c r="B305" s="7" t="s">
        <v>1298</v>
      </c>
      <c r="C305" s="8" t="n">
        <v>569723919</v>
      </c>
      <c r="D305" s="9" t="n">
        <v>46274</v>
      </c>
      <c r="E305" s="10" t="s">
        <v>1356</v>
      </c>
      <c r="F305" s="11" t="n">
        <v>46157</v>
      </c>
      <c r="G305" s="10" t="s">
        <v>227</v>
      </c>
      <c r="H305" s="10" t="s">
        <v>260</v>
      </c>
      <c r="I305" s="10" t="s">
        <v>227</v>
      </c>
      <c r="J305" s="10" t="s">
        <v>250</v>
      </c>
      <c r="K305" s="9" t="n">
        <v>46259</v>
      </c>
      <c r="L305" s="12" t="n">
        <f aca="true">IF($O305="","",$O305-TODAY())</f>
        <v>211</v>
      </c>
      <c r="M305" s="12" t="n">
        <f aca="true">IF(AND(TRIM($A305)="Finalized",$K305&lt;&gt;""),"",IF($D305="","",$D305+365-TODAY()))</f>
        <v>328</v>
      </c>
      <c r="N305" s="12" t="n">
        <f aca="true">IF(AND(TRIM($A305)="Finalized",$K305&lt;&gt;""),"",IF($D305="","",$D305+120-TODAY()))</f>
        <v>83</v>
      </c>
      <c r="O305" s="11" t="n">
        <f aca="false">IF(AND(TRIM($A305)="Finalized",$K305&lt;&gt;""),"",DATE(2027,5,15))</f>
        <v>46522</v>
      </c>
      <c r="P305" s="10" t="s">
        <v>114</v>
      </c>
      <c r="Q305" s="10" t="s">
        <v>115</v>
      </c>
      <c r="R305" s="10" t="s">
        <v>114</v>
      </c>
      <c r="S305" s="10" t="s">
        <v>116</v>
      </c>
      <c r="T305" s="10" t="s">
        <v>117</v>
      </c>
      <c r="U305" s="10" t="s">
        <v>116</v>
      </c>
      <c r="V305" s="10" t="s">
        <v>266</v>
      </c>
      <c r="W305" s="10" t="s">
        <v>132</v>
      </c>
      <c r="X305" s="10"/>
      <c r="Y305" s="10"/>
      <c r="Z305" s="10"/>
      <c r="AA305" s="10" t="s">
        <v>197</v>
      </c>
      <c r="AB305" s="8" t="n">
        <f aca="true">IF($F305="","",TODAY()-$F305)</f>
        <v>154</v>
      </c>
      <c r="AC305" s="10" t="s">
        <v>251</v>
      </c>
      <c r="AD305" s="10"/>
      <c r="AE305" s="10"/>
      <c r="AF305" s="10"/>
      <c r="AG305" s="10"/>
      <c r="AH305" s="10"/>
      <c r="AI305" s="10"/>
      <c r="AJ305" s="10" t="s">
        <v>254</v>
      </c>
      <c r="AK305" s="10" t="s">
        <v>139</v>
      </c>
      <c r="AL305" s="10" t="s">
        <v>123</v>
      </c>
      <c r="AM305" s="10"/>
      <c r="AN305" s="8" t="n">
        <v>571728615</v>
      </c>
      <c r="AO305" s="10" t="s">
        <v>359</v>
      </c>
      <c r="AP305" s="10" t="s">
        <v>175</v>
      </c>
      <c r="AQ305" s="11" t="n">
        <v>46160</v>
      </c>
      <c r="AR305" s="13"/>
      <c r="AS305" s="13"/>
      <c r="AT305" s="13"/>
      <c r="AU305" s="13"/>
      <c r="AV305" s="13" t="s">
        <v>251</v>
      </c>
      <c r="AW305" s="13"/>
      <c r="AX305" s="13" t="s">
        <v>251</v>
      </c>
      <c r="AY305" s="7" t="s">
        <v>159</v>
      </c>
      <c r="AZ305" s="7"/>
      <c r="BA305" s="7" t="s">
        <v>46</v>
      </c>
      <c r="BB305" s="7"/>
      <c r="BC305" s="7"/>
      <c r="BD305" s="9" t="n">
        <v>46290</v>
      </c>
      <c r="BE305" s="7"/>
      <c r="BF305" s="14" t="str">
        <f aca="true">IF(TRIM($A305)="Finalized","Closed",IF($BD305="","No review date set",IF($BD305&lt;TODAY(),"OVERDUE",IF($BD305-TODAY()&lt;=7,"Due within 7 days","Scheduled"))))</f>
        <v>OVERDUE</v>
      </c>
      <c r="BG305" s="14" t="n">
        <f aca="true">IF($K305="","",TODAY()-$K305)</f>
        <v>52</v>
      </c>
      <c r="BH305" s="15" t="str">
        <f aca="false">IFERROR(LEFT(IF($B305="","Notes, ","")&amp;IF($K305="","Latest Date Worked, ","")&amp;IF($AY305="","Last Action, ","")&amp;IF(AND(OR(TRIM($A305)="Denied",TRIM($A305)="Rejected"),$BA305=""),"Denial Reason, ","")&amp;IF(AND(TRIM($A305)="Denied",$BB305="",TRIM($BA305)&lt;&gt;"NO DENIAL"),"Denial Code, ","")&amp;IF(AND(TRIM($A305)&lt;&gt;"Finalized",$BD305=""),"Next Review Date, ","")&amp;IF(AND(TRIM($A305)&lt;&gt;"Finalized",$BE305=""),"Next Step, ","")&amp;IF(AND(TRIM($A305)="Finalized",$AV305="",$AR305="",$AT305="",$AX305="",$AW305=""),"CPT outcome, ",""),LEN(IF($B305="","Notes, ","")&amp;IF($K305="","Latest Date Worked, ","")&amp;IF($AY305="","Last Action, ","")&amp;IF(AND(OR(TRIM($A305)="Denied",TRIM($A305)="Rejected"),$BA305=""),"Denial Reason, ","")&amp;IF(AND(TRIM($A305)="Denied",$BB305="",TRIM($BA305)&lt;&gt;"NO DENIAL"),"Denial Code, ","")&amp;IF(AND(TRIM($A305)&lt;&gt;"Finalized",$BD305=""),"Next Review Date, ","")&amp;IF(AND(TRIM($A305)&lt;&gt;"Finalized",$BE305=""),"Next Step, ","")&amp;IF(AND(TRIM($A305)="Finalized",$AV305="",$AR305="",$AT305="",$AX305="",$AW305=""),"CPT outcome, ",""))-2),"")</f>
        <v>Denial Code, Next Step</v>
      </c>
      <c r="BI305" s="15" t="str">
        <f aca="false">IF($BB305="","",IFERROR(INDEX('Denial Codes'!$C:$C,MATCH(LEFT($BB305,FIND(" - ",$BB305&amp;" - ")+2)&amp;"*",'Denial Codes'!$A:$A,0)),""))</f>
        <v/>
      </c>
      <c r="BJ305" s="15" t="str">
        <f aca="false">IF($BA305="","",IFERROR(INDEX(Lists!$B:$B,MATCH(TRIM($BA305),Lists!$A:$A,0))&amp;"",""))</f>
        <v>Verify eligibility; correct the member ID/MBI, name or DOB and resubmit.</v>
      </c>
    </row>
    <row r="306" customFormat="false" ht="15" hidden="false" customHeight="false" outlineLevel="0" collapsed="false">
      <c r="A306" s="7" t="s">
        <v>16</v>
      </c>
      <c r="B306" s="7" t="s">
        <v>20</v>
      </c>
      <c r="C306" s="8" t="n">
        <v>561726685</v>
      </c>
      <c r="D306" s="9" t="n">
        <v>46252</v>
      </c>
      <c r="E306" s="10" t="s">
        <v>1357</v>
      </c>
      <c r="F306" s="11" t="n">
        <v>46160</v>
      </c>
      <c r="G306" s="10" t="s">
        <v>111</v>
      </c>
      <c r="H306" s="10" t="s">
        <v>260</v>
      </c>
      <c r="I306" s="10" t="s">
        <v>111</v>
      </c>
      <c r="J306" s="10" t="s">
        <v>1358</v>
      </c>
      <c r="K306" s="9" t="n">
        <v>46224</v>
      </c>
      <c r="L306" s="12" t="str">
        <f aca="true">IF($O306="","",$O306-TODAY())</f>
        <v/>
      </c>
      <c r="M306" s="12" t="str">
        <f aca="true">IF(AND(TRIM($A306)="Finalized",$K306&lt;&gt;""),"",IF($D306="","",$D306+365-TODAY()))</f>
        <v/>
      </c>
      <c r="N306" s="12" t="str">
        <f aca="true">IF(AND(TRIM($A306)="Finalized",$K306&lt;&gt;""),"",IF($D306="","",$D306+120-TODAY()))</f>
        <v/>
      </c>
      <c r="O306" s="11" t="str">
        <f aca="false">IF(AND(TRIM($A306)="Finalized",$K306&lt;&gt;""),"",DATE(2027,5,18))</f>
        <v/>
      </c>
      <c r="P306" s="10" t="s">
        <v>114</v>
      </c>
      <c r="Q306" s="10" t="s">
        <v>115</v>
      </c>
      <c r="R306" s="10" t="s">
        <v>114</v>
      </c>
      <c r="S306" s="10" t="s">
        <v>116</v>
      </c>
      <c r="T306" s="10" t="s">
        <v>117</v>
      </c>
      <c r="U306" s="10" t="s">
        <v>116</v>
      </c>
      <c r="V306" s="10" t="s">
        <v>266</v>
      </c>
      <c r="W306" s="10" t="s">
        <v>434</v>
      </c>
      <c r="X306" s="10" t="s">
        <v>478</v>
      </c>
      <c r="Y306" s="10" t="s">
        <v>620</v>
      </c>
      <c r="Z306" s="10" t="s">
        <v>621</v>
      </c>
      <c r="AA306" s="10" t="s">
        <v>1359</v>
      </c>
      <c r="AB306" s="8" t="n">
        <f aca="true">IF($F306="","",TODAY()-$F306)</f>
        <v>151</v>
      </c>
      <c r="AC306" s="10" t="s">
        <v>441</v>
      </c>
      <c r="AD306" s="10" t="s">
        <v>438</v>
      </c>
      <c r="AE306" s="10" t="s">
        <v>443</v>
      </c>
      <c r="AF306" s="10" t="s">
        <v>442</v>
      </c>
      <c r="AG306" s="10" t="s">
        <v>439</v>
      </c>
      <c r="AH306" s="10" t="s">
        <v>657</v>
      </c>
      <c r="AI306" s="10" t="s">
        <v>440</v>
      </c>
      <c r="AJ306" s="10" t="s">
        <v>579</v>
      </c>
      <c r="AK306" s="10" t="s">
        <v>445</v>
      </c>
      <c r="AL306" s="10" t="s">
        <v>622</v>
      </c>
      <c r="AM306" s="10"/>
      <c r="AN306" s="8" t="n">
        <v>564721013</v>
      </c>
      <c r="AO306" s="10" t="s">
        <v>447</v>
      </c>
      <c r="AP306" s="10" t="s">
        <v>327</v>
      </c>
      <c r="AQ306" s="11" t="n">
        <v>46182</v>
      </c>
      <c r="AR306" s="13"/>
      <c r="AS306" s="13"/>
      <c r="AT306" s="13"/>
      <c r="AU306" s="13"/>
      <c r="AV306" s="13" t="s">
        <v>1360</v>
      </c>
      <c r="AW306" s="13"/>
      <c r="AX306" s="13" t="s">
        <v>1360</v>
      </c>
      <c r="AY306" s="7" t="s">
        <v>363</v>
      </c>
      <c r="AZ306" s="7"/>
      <c r="BA306" s="7" t="s">
        <v>54</v>
      </c>
      <c r="BB306" s="7"/>
      <c r="BC306" s="7"/>
      <c r="BD306" s="9"/>
      <c r="BE306" s="7"/>
      <c r="BF306" s="14" t="str">
        <f aca="true">IF(TRIM($A306)="Finalized","Closed",IF($BD306="","No review date set",IF($BD306&lt;TODAY(),"OVERDUE",IF($BD306-TODAY()&lt;=7,"Due within 7 days","Scheduled"))))</f>
        <v>Closed</v>
      </c>
      <c r="BG306" s="14" t="n">
        <f aca="true">IF($K306="","",TODAY()-$K306)</f>
        <v>87</v>
      </c>
      <c r="BH306" s="15" t="str">
        <f aca="false">IFERROR(LEFT(IF($B306="","Notes, ","")&amp;IF($K306="","Latest Date Worked, ","")&amp;IF($AY306="","Last Action, ","")&amp;IF(AND(OR(TRIM($A306)="Denied",TRIM($A306)="Rejected"),$BA306=""),"Denial Reason, ","")&amp;IF(AND(TRIM($A306)="Denied",$BB306="",TRIM($BA306)&lt;&gt;"NO DENIAL"),"Denial Code, ","")&amp;IF(AND(TRIM($A306)&lt;&gt;"Finalized",$BD306=""),"Next Review Date, ","")&amp;IF(AND(TRIM($A306)&lt;&gt;"Finalized",$BE306=""),"Next Step, ","")&amp;IF(AND(TRIM($A306)="Finalized",$AV306="",$AR306="",$AT306="",$AX306="",$AW306=""),"CPT outcome, ",""),LEN(IF($B306="","Notes, ","")&amp;IF($K306="","Latest Date Worked, ","")&amp;IF($AY306="","Last Action, ","")&amp;IF(AND(OR(TRIM($A306)="Denied",TRIM($A306)="Rejected"),$BA306=""),"Denial Reason, ","")&amp;IF(AND(TRIM($A306)="Denied",$BB306="",TRIM($BA306)&lt;&gt;"NO DENIAL"),"Denial Code, ","")&amp;IF(AND(TRIM($A306)&lt;&gt;"Finalized",$BD306=""),"Next Review Date, ","")&amp;IF(AND(TRIM($A306)&lt;&gt;"Finalized",$BE306=""),"Next Step, ","")&amp;IF(AND(TRIM($A306)="Finalized",$AV306="",$AR306="",$AT306="",$AX306="",$AW306=""),"CPT outcome, ",""))-2),"")</f>
        <v/>
      </c>
      <c r="BI306" s="15" t="str">
        <f aca="false">IF($BB306="","",IFERROR(INDEX('Denial Codes'!$C:$C,MATCH(LEFT($BB306,FIND(" - ",$BB306&amp;" - ")+2)&amp;"*",'Denial Codes'!$A:$A,0)),""))</f>
        <v/>
      </c>
      <c r="BJ306" s="15" t="str">
        <f aca="false">IF($BA306="","",IFERROR(INDEX(Lists!$B:$B,MATCH(TRIM($BA306),Lists!$A:$A,0))&amp;"",""))</f>
        <v/>
      </c>
    </row>
    <row r="307" customFormat="false" ht="15" hidden="false" customHeight="false" outlineLevel="0" collapsed="false">
      <c r="A307" s="7" t="s">
        <v>16</v>
      </c>
      <c r="B307" s="7" t="s">
        <v>1361</v>
      </c>
      <c r="C307" s="8" t="n">
        <v>560703801</v>
      </c>
      <c r="D307" s="9" t="n">
        <v>46178</v>
      </c>
      <c r="E307" s="10" t="s">
        <v>1362</v>
      </c>
      <c r="F307" s="11" t="n">
        <v>46161</v>
      </c>
      <c r="G307" s="10" t="s">
        <v>260</v>
      </c>
      <c r="H307" s="10" t="s">
        <v>260</v>
      </c>
      <c r="I307" s="10" t="s">
        <v>1363</v>
      </c>
      <c r="J307" s="10" t="s">
        <v>815</v>
      </c>
      <c r="K307" s="9" t="n">
        <v>46257</v>
      </c>
      <c r="L307" s="12" t="str">
        <f aca="true">IF($O307="","",$O307-TODAY())</f>
        <v/>
      </c>
      <c r="M307" s="12" t="str">
        <f aca="true">IF(AND(TRIM($A307)="Finalized",$K307&lt;&gt;""),"",IF($D307="","",$D307+365-TODAY()))</f>
        <v/>
      </c>
      <c r="N307" s="12" t="str">
        <f aca="true">IF(AND(TRIM($A307)="Finalized",$K307&lt;&gt;""),"",IF($D307="","",$D307+120-TODAY()))</f>
        <v/>
      </c>
      <c r="O307" s="11" t="str">
        <f aca="false">IF(AND(TRIM($A307)="Finalized",$K307&lt;&gt;""),"",DATE(2027,5,19))</f>
        <v/>
      </c>
      <c r="P307" s="10" t="s">
        <v>114</v>
      </c>
      <c r="Q307" s="10" t="s">
        <v>115</v>
      </c>
      <c r="R307" s="10" t="s">
        <v>114</v>
      </c>
      <c r="S307" s="10" t="s">
        <v>116</v>
      </c>
      <c r="T307" s="10" t="s">
        <v>117</v>
      </c>
      <c r="U307" s="10" t="s">
        <v>116</v>
      </c>
      <c r="V307" s="10" t="s">
        <v>266</v>
      </c>
      <c r="W307" s="10" t="s">
        <v>196</v>
      </c>
      <c r="X307" s="10"/>
      <c r="Y307" s="10"/>
      <c r="Z307" s="10"/>
      <c r="AA307" s="10" t="s">
        <v>197</v>
      </c>
      <c r="AB307" s="8" t="n">
        <f aca="true">IF($F307="","",TODAY()-$F307)</f>
        <v>150</v>
      </c>
      <c r="AC307" s="10" t="s">
        <v>487</v>
      </c>
      <c r="AD307" s="10" t="s">
        <v>198</v>
      </c>
      <c r="AE307" s="10" t="s">
        <v>222</v>
      </c>
      <c r="AF307" s="10"/>
      <c r="AG307" s="10"/>
      <c r="AH307" s="10"/>
      <c r="AI307" s="10"/>
      <c r="AJ307" s="10" t="s">
        <v>123</v>
      </c>
      <c r="AK307" s="10" t="s">
        <v>414</v>
      </c>
      <c r="AL307" s="10" t="s">
        <v>415</v>
      </c>
      <c r="AM307" s="10"/>
      <c r="AN307" s="8"/>
      <c r="AO307" s="10" t="s">
        <v>201</v>
      </c>
      <c r="AP307" s="10" t="s">
        <v>202</v>
      </c>
      <c r="AQ307" s="11" t="n">
        <v>46171</v>
      </c>
      <c r="AR307" s="13"/>
      <c r="AS307" s="13"/>
      <c r="AT307" s="13"/>
      <c r="AU307" s="13"/>
      <c r="AV307" s="13" t="s">
        <v>816</v>
      </c>
      <c r="AW307" s="13"/>
      <c r="AX307" s="13" t="s">
        <v>816</v>
      </c>
      <c r="AY307" s="7" t="s">
        <v>363</v>
      </c>
      <c r="AZ307" s="7" t="s">
        <v>159</v>
      </c>
      <c r="BA307" s="7" t="s">
        <v>48</v>
      </c>
      <c r="BB307" s="7" t="s">
        <v>269</v>
      </c>
      <c r="BC307" s="7"/>
      <c r="BD307" s="9"/>
      <c r="BE307" s="7"/>
      <c r="BF307" s="14" t="str">
        <f aca="true">IF(TRIM($A307)="Finalized","Closed",IF($BD307="","No review date set",IF($BD307&lt;TODAY(),"OVERDUE",IF($BD307-TODAY()&lt;=7,"Due within 7 days","Scheduled"))))</f>
        <v>Closed</v>
      </c>
      <c r="BG307" s="14" t="n">
        <f aca="true">IF($K307="","",TODAY()-$K307)</f>
        <v>54</v>
      </c>
      <c r="BH307" s="15" t="str">
        <f aca="false">IFERROR(LEFT(IF($B307="","Notes, ","")&amp;IF($K307="","Latest Date Worked, ","")&amp;IF($AY307="","Last Action, ","")&amp;IF(AND(OR(TRIM($A307)="Denied",TRIM($A307)="Rejected"),$BA307=""),"Denial Reason, ","")&amp;IF(AND(TRIM($A307)="Denied",$BB307="",TRIM($BA307)&lt;&gt;"NO DENIAL"),"Denial Code, ","")&amp;IF(AND(TRIM($A307)&lt;&gt;"Finalized",$BD307=""),"Next Review Date, ","")&amp;IF(AND(TRIM($A307)&lt;&gt;"Finalized",$BE307=""),"Next Step, ","")&amp;IF(AND(TRIM($A307)="Finalized",$AV307="",$AR307="",$AT307="",$AX307="",$AW307=""),"CPT outcome, ",""),LEN(IF($B307="","Notes, ","")&amp;IF($K307="","Latest Date Worked, ","")&amp;IF($AY307="","Last Action, ","")&amp;IF(AND(OR(TRIM($A307)="Denied",TRIM($A307)="Rejected"),$BA307=""),"Denial Reason, ","")&amp;IF(AND(TRIM($A307)="Denied",$BB307="",TRIM($BA307)&lt;&gt;"NO DENIAL"),"Denial Code, ","")&amp;IF(AND(TRIM($A307)&lt;&gt;"Finalized",$BD307=""),"Next Review Date, ","")&amp;IF(AND(TRIM($A307)&lt;&gt;"Finalized",$BE307=""),"Next Step, ","")&amp;IF(AND(TRIM($A307)="Finalized",$AV307="",$AR307="",$AT307="",$AX307="",$AW307=""),"CPT outcome, ",""))-2),"")</f>
        <v/>
      </c>
      <c r="BI307" s="15" t="str">
        <f aca="false">IF($BB307="","",IFERROR(INDEX('Denial Codes'!$C:$C,MATCH(LEFT($BB307,FIND(" - ",$BB307&amp;" - ")+2)&amp;"*",'Denial Codes'!$A:$A,0)),""))</f>
        <v>Referral / referring provider</v>
      </c>
      <c r="BJ307" s="15" t="str">
        <f aca="false">IF($BA307="","",IFERROR(INDEX(Lists!$B:$B,MATCH(TRIM($BA307),Lists!$A:$A,0))&amp;"",""))</f>
        <v>Get a valid referral or correct the referring provider, then resubmit.</v>
      </c>
    </row>
    <row r="308" customFormat="false" ht="15" hidden="false" customHeight="false" outlineLevel="0" collapsed="false">
      <c r="A308" s="7" t="s">
        <v>16</v>
      </c>
      <c r="B308" s="7" t="s">
        <v>1364</v>
      </c>
      <c r="C308" s="8" t="n">
        <v>560707683</v>
      </c>
      <c r="D308" s="9" t="n">
        <v>46178</v>
      </c>
      <c r="E308" s="10" t="s">
        <v>1365</v>
      </c>
      <c r="F308" s="11" t="n">
        <v>46162</v>
      </c>
      <c r="G308" s="10" t="s">
        <v>260</v>
      </c>
      <c r="H308" s="10" t="s">
        <v>260</v>
      </c>
      <c r="I308" s="10" t="s">
        <v>129</v>
      </c>
      <c r="J308" s="10" t="s">
        <v>219</v>
      </c>
      <c r="K308" s="9" t="n">
        <v>46257</v>
      </c>
      <c r="L308" s="12" t="str">
        <f aca="true">IF($O308="","",$O308-TODAY())</f>
        <v/>
      </c>
      <c r="M308" s="12" t="str">
        <f aca="true">IF(AND(TRIM($A308)="Finalized",$K308&lt;&gt;""),"",IF($D308="","",$D308+365-TODAY()))</f>
        <v/>
      </c>
      <c r="N308" s="12" t="str">
        <f aca="true">IF(AND(TRIM($A308)="Finalized",$K308&lt;&gt;""),"",IF($D308="","",$D308+120-TODAY()))</f>
        <v/>
      </c>
      <c r="O308" s="11" t="str">
        <f aca="false">IF(AND(TRIM($A308)="Finalized",$K308&lt;&gt;""),"",DATE(2027,5,20))</f>
        <v/>
      </c>
      <c r="P308" s="10" t="s">
        <v>114</v>
      </c>
      <c r="Q308" s="10" t="s">
        <v>115</v>
      </c>
      <c r="R308" s="10" t="s">
        <v>114</v>
      </c>
      <c r="S308" s="10" t="s">
        <v>116</v>
      </c>
      <c r="T308" s="10" t="s">
        <v>117</v>
      </c>
      <c r="U308" s="10" t="s">
        <v>116</v>
      </c>
      <c r="V308" s="10" t="s">
        <v>266</v>
      </c>
      <c r="W308" s="10" t="s">
        <v>196</v>
      </c>
      <c r="X308" s="10"/>
      <c r="Y308" s="10"/>
      <c r="Z308" s="10"/>
      <c r="AA308" s="10" t="s">
        <v>197</v>
      </c>
      <c r="AB308" s="8" t="n">
        <f aca="true">IF($F308="","",TODAY()-$F308)</f>
        <v>149</v>
      </c>
      <c r="AC308" s="10" t="s">
        <v>222</v>
      </c>
      <c r="AD308" s="10"/>
      <c r="AE308" s="10"/>
      <c r="AF308" s="10"/>
      <c r="AG308" s="10"/>
      <c r="AH308" s="10"/>
      <c r="AI308" s="10"/>
      <c r="AJ308" s="10" t="s">
        <v>350</v>
      </c>
      <c r="AK308" s="10"/>
      <c r="AL308" s="10"/>
      <c r="AM308" s="10"/>
      <c r="AN308" s="8"/>
      <c r="AO308" s="10" t="s">
        <v>255</v>
      </c>
      <c r="AP308" s="10" t="s">
        <v>268</v>
      </c>
      <c r="AQ308" s="11" t="n">
        <v>46171</v>
      </c>
      <c r="AR308" s="13"/>
      <c r="AS308" s="13"/>
      <c r="AT308" s="13"/>
      <c r="AU308" s="13"/>
      <c r="AV308" s="13" t="s">
        <v>222</v>
      </c>
      <c r="AW308" s="13"/>
      <c r="AX308" s="13" t="s">
        <v>222</v>
      </c>
      <c r="AY308" s="7" t="s">
        <v>363</v>
      </c>
      <c r="AZ308" s="7" t="s">
        <v>159</v>
      </c>
      <c r="BA308" s="7" t="s">
        <v>48</v>
      </c>
      <c r="BB308" s="7" t="s">
        <v>269</v>
      </c>
      <c r="BC308" s="7"/>
      <c r="BD308" s="9"/>
      <c r="BE308" s="7"/>
      <c r="BF308" s="14" t="str">
        <f aca="true">IF(TRIM($A308)="Finalized","Closed",IF($BD308="","No review date set",IF($BD308&lt;TODAY(),"OVERDUE",IF($BD308-TODAY()&lt;=7,"Due within 7 days","Scheduled"))))</f>
        <v>Closed</v>
      </c>
      <c r="BG308" s="14" t="n">
        <f aca="true">IF($K308="","",TODAY()-$K308)</f>
        <v>54</v>
      </c>
      <c r="BH308" s="15" t="str">
        <f aca="false">IFERROR(LEFT(IF($B308="","Notes, ","")&amp;IF($K308="","Latest Date Worked, ","")&amp;IF($AY308="","Last Action, ","")&amp;IF(AND(OR(TRIM($A308)="Denied",TRIM($A308)="Rejected"),$BA308=""),"Denial Reason, ","")&amp;IF(AND(TRIM($A308)="Denied",$BB308="",TRIM($BA308)&lt;&gt;"NO DENIAL"),"Denial Code, ","")&amp;IF(AND(TRIM($A308)&lt;&gt;"Finalized",$BD308=""),"Next Review Date, ","")&amp;IF(AND(TRIM($A308)&lt;&gt;"Finalized",$BE308=""),"Next Step, ","")&amp;IF(AND(TRIM($A308)="Finalized",$AV308="",$AR308="",$AT308="",$AX308="",$AW308=""),"CPT outcome, ",""),LEN(IF($B308="","Notes, ","")&amp;IF($K308="","Latest Date Worked, ","")&amp;IF($AY308="","Last Action, ","")&amp;IF(AND(OR(TRIM($A308)="Denied",TRIM($A308)="Rejected"),$BA308=""),"Denial Reason, ","")&amp;IF(AND(TRIM($A308)="Denied",$BB308="",TRIM($BA308)&lt;&gt;"NO DENIAL"),"Denial Code, ","")&amp;IF(AND(TRIM($A308)&lt;&gt;"Finalized",$BD308=""),"Next Review Date, ","")&amp;IF(AND(TRIM($A308)&lt;&gt;"Finalized",$BE308=""),"Next Step, ","")&amp;IF(AND(TRIM($A308)="Finalized",$AV308="",$AR308="",$AT308="",$AX308="",$AW308=""),"CPT outcome, ",""))-2),"")</f>
        <v/>
      </c>
      <c r="BI308" s="15" t="str">
        <f aca="false">IF($BB308="","",IFERROR(INDEX('Denial Codes'!$C:$C,MATCH(LEFT($BB308,FIND(" - ",$BB308&amp;" - ")+2)&amp;"*",'Denial Codes'!$A:$A,0)),""))</f>
        <v>Referral / referring provider</v>
      </c>
      <c r="BJ308" s="15" t="str">
        <f aca="false">IF($BA308="","",IFERROR(INDEX(Lists!$B:$B,MATCH(TRIM($BA308),Lists!$A:$A,0))&amp;"",""))</f>
        <v>Get a valid referral or correct the referring provider, then resubmit.</v>
      </c>
    </row>
    <row r="309" customFormat="false" ht="15" hidden="false" customHeight="false" outlineLevel="0" collapsed="false">
      <c r="A309" s="7" t="s">
        <v>16</v>
      </c>
      <c r="B309" s="7" t="s">
        <v>1366</v>
      </c>
      <c r="C309" s="8" t="n">
        <v>561853521</v>
      </c>
      <c r="D309" s="9" t="n">
        <v>46209</v>
      </c>
      <c r="E309" s="10" t="s">
        <v>1266</v>
      </c>
      <c r="F309" s="11" t="n">
        <v>46168</v>
      </c>
      <c r="G309" s="10" t="s">
        <v>112</v>
      </c>
      <c r="H309" s="10" t="s">
        <v>112</v>
      </c>
      <c r="I309" s="10" t="s">
        <v>1264</v>
      </c>
      <c r="J309" s="10" t="s">
        <v>113</v>
      </c>
      <c r="K309" s="9"/>
      <c r="L309" s="12" t="n">
        <f aca="true">IF($O309="","",$O309-TODAY())</f>
        <v>222</v>
      </c>
      <c r="M309" s="12" t="n">
        <f aca="true">IF(AND(TRIM($A309)="Finalized",$K309&lt;&gt;""),"",IF($D309="","",$D309+365-TODAY()))</f>
        <v>263</v>
      </c>
      <c r="N309" s="12" t="n">
        <f aca="true">IF(AND(TRIM($A309)="Finalized",$K309&lt;&gt;""),"",IF($D309="","",$D309+120-TODAY()))</f>
        <v>18</v>
      </c>
      <c r="O309" s="11" t="n">
        <f aca="false">IF(AND(TRIM($A309)="Finalized",$K309&lt;&gt;""),"",DATE(2027,5,26))</f>
        <v>46533</v>
      </c>
      <c r="P309" s="10" t="s">
        <v>114</v>
      </c>
      <c r="Q309" s="10" t="s">
        <v>115</v>
      </c>
      <c r="R309" s="10" t="s">
        <v>114</v>
      </c>
      <c r="S309" s="10" t="s">
        <v>116</v>
      </c>
      <c r="T309" s="10" t="s">
        <v>117</v>
      </c>
      <c r="U309" s="10" t="s">
        <v>116</v>
      </c>
      <c r="V309" s="10" t="s">
        <v>266</v>
      </c>
      <c r="W309" s="10" t="s">
        <v>119</v>
      </c>
      <c r="X309" s="10" t="s">
        <v>120</v>
      </c>
      <c r="Y309" s="10"/>
      <c r="Z309" s="10"/>
      <c r="AA309" s="10" t="s">
        <v>121</v>
      </c>
      <c r="AB309" s="8" t="n">
        <f aca="true">IF($F309="","",TODAY()-$F309)</f>
        <v>143</v>
      </c>
      <c r="AC309" s="10" t="s">
        <v>122</v>
      </c>
      <c r="AD309" s="10"/>
      <c r="AE309" s="10"/>
      <c r="AF309" s="10"/>
      <c r="AG309" s="10"/>
      <c r="AH309" s="10"/>
      <c r="AI309" s="10"/>
      <c r="AJ309" s="10" t="s">
        <v>123</v>
      </c>
      <c r="AK309" s="10" t="s">
        <v>579</v>
      </c>
      <c r="AL309" s="10"/>
      <c r="AM309" s="10"/>
      <c r="AN309" s="8"/>
      <c r="AO309" s="10" t="s">
        <v>125</v>
      </c>
      <c r="AP309" s="10" t="s">
        <v>126</v>
      </c>
      <c r="AQ309" s="11" t="n">
        <v>46183</v>
      </c>
      <c r="AR309" s="13"/>
      <c r="AS309" s="13"/>
      <c r="AT309" s="13"/>
      <c r="AU309" s="13"/>
      <c r="AV309" s="13" t="s">
        <v>122</v>
      </c>
      <c r="AW309" s="13"/>
      <c r="AX309" s="13" t="s">
        <v>122</v>
      </c>
      <c r="AY309" s="7" t="s">
        <v>363</v>
      </c>
      <c r="AZ309" s="7"/>
      <c r="BA309" s="7" t="s">
        <v>54</v>
      </c>
      <c r="BB309" s="7"/>
      <c r="BC309" s="7"/>
      <c r="BD309" s="9"/>
      <c r="BE309" s="7"/>
      <c r="BF309" s="14" t="str">
        <f aca="true">IF(TRIM($A309)="Finalized","Closed",IF($BD309="","No review date set",IF($BD309&lt;TODAY(),"OVERDUE",IF($BD309-TODAY()&lt;=7,"Due within 7 days","Scheduled"))))</f>
        <v>Closed</v>
      </c>
      <c r="BG309" s="14" t="str">
        <f aca="true">IF($K309="","",TODAY()-$K309)</f>
        <v/>
      </c>
      <c r="BH309" s="15" t="str">
        <f aca="false">IFERROR(LEFT(IF($B309="","Notes, ","")&amp;IF($K309="","Latest Date Worked, ","")&amp;IF($AY309="","Last Action, ","")&amp;IF(AND(OR(TRIM($A309)="Denied",TRIM($A309)="Rejected"),$BA309=""),"Denial Reason, ","")&amp;IF(AND(TRIM($A309)="Denied",$BB309="",TRIM($BA309)&lt;&gt;"NO DENIAL"),"Denial Code, ","")&amp;IF(AND(TRIM($A309)&lt;&gt;"Finalized",$BD309=""),"Next Review Date, ","")&amp;IF(AND(TRIM($A309)&lt;&gt;"Finalized",$BE309=""),"Next Step, ","")&amp;IF(AND(TRIM($A309)="Finalized",$AV309="",$AR309="",$AT309="",$AX309="",$AW309=""),"CPT outcome, ",""),LEN(IF($B309="","Notes, ","")&amp;IF($K309="","Latest Date Worked, ","")&amp;IF($AY309="","Last Action, ","")&amp;IF(AND(OR(TRIM($A309)="Denied",TRIM($A309)="Rejected"),$BA309=""),"Denial Reason, ","")&amp;IF(AND(TRIM($A309)="Denied",$BB309="",TRIM($BA309)&lt;&gt;"NO DENIAL"),"Denial Code, ","")&amp;IF(AND(TRIM($A309)&lt;&gt;"Finalized",$BD309=""),"Next Review Date, ","")&amp;IF(AND(TRIM($A309)&lt;&gt;"Finalized",$BE309=""),"Next Step, ","")&amp;IF(AND(TRIM($A309)="Finalized",$AV309="",$AR309="",$AT309="",$AX309="",$AW309=""),"CPT outcome, ",""))-2),"")</f>
        <v>Latest Date Worked</v>
      </c>
      <c r="BI309" s="15" t="str">
        <f aca="false">IF($BB309="","",IFERROR(INDEX('Denial Codes'!$C:$C,MATCH(LEFT($BB309,FIND(" - ",$BB309&amp;" - ")+2)&amp;"*",'Denial Codes'!$A:$A,0)),""))</f>
        <v/>
      </c>
      <c r="BJ309" s="15" t="str">
        <f aca="false">IF($BA309="","",IFERROR(INDEX(Lists!$B:$B,MATCH(TRIM($BA309),Lists!$A:$A,0))&amp;"",""))</f>
        <v/>
      </c>
    </row>
    <row r="310" customFormat="false" ht="15" hidden="false" customHeight="false" outlineLevel="0" collapsed="false">
      <c r="A310" s="7" t="s">
        <v>20</v>
      </c>
      <c r="B310" s="7" t="s">
        <v>1329</v>
      </c>
      <c r="C310" s="8" t="n">
        <v>561856360</v>
      </c>
      <c r="D310" s="9" t="n">
        <v>46249</v>
      </c>
      <c r="E310" s="10" t="s">
        <v>1367</v>
      </c>
      <c r="F310" s="11" t="n">
        <v>46168</v>
      </c>
      <c r="G310" s="10" t="s">
        <v>112</v>
      </c>
      <c r="H310" s="10" t="s">
        <v>112</v>
      </c>
      <c r="I310" s="10" t="s">
        <v>227</v>
      </c>
      <c r="J310" s="10" t="s">
        <v>272</v>
      </c>
      <c r="K310" s="9"/>
      <c r="L310" s="12" t="n">
        <f aca="true">IF($O310="","",$O310-TODAY())</f>
        <v>222</v>
      </c>
      <c r="M310" s="12" t="n">
        <f aca="true">IF(AND(TRIM($A310)="Finalized",$K310&lt;&gt;""),"",IF($D310="","",$D310+365-TODAY()))</f>
        <v>303</v>
      </c>
      <c r="N310" s="12" t="n">
        <f aca="true">IF(AND(TRIM($A310)="Finalized",$K310&lt;&gt;""),"",IF($D310="","",$D310+120-TODAY()))</f>
        <v>58</v>
      </c>
      <c r="O310" s="11" t="n">
        <f aca="false">IF(AND(TRIM($A310)="Finalized",$K310&lt;&gt;""),"",DATE(2027,5,26))</f>
        <v>46533</v>
      </c>
      <c r="P310" s="10" t="s">
        <v>114</v>
      </c>
      <c r="Q310" s="10" t="s">
        <v>115</v>
      </c>
      <c r="R310" s="10" t="s">
        <v>114</v>
      </c>
      <c r="S310" s="10" t="s">
        <v>116</v>
      </c>
      <c r="T310" s="10" t="s">
        <v>117</v>
      </c>
      <c r="U310" s="10" t="s">
        <v>116</v>
      </c>
      <c r="V310" s="10" t="s">
        <v>266</v>
      </c>
      <c r="W310" s="10" t="s">
        <v>119</v>
      </c>
      <c r="X310" s="10" t="s">
        <v>120</v>
      </c>
      <c r="Y310" s="10"/>
      <c r="Z310" s="10"/>
      <c r="AA310" s="10" t="s">
        <v>121</v>
      </c>
      <c r="AB310" s="8" t="n">
        <f aca="true">IF($F310="","",TODAY()-$F310)</f>
        <v>143</v>
      </c>
      <c r="AC310" s="10" t="s">
        <v>273</v>
      </c>
      <c r="AD310" s="10"/>
      <c r="AE310" s="10"/>
      <c r="AF310" s="10"/>
      <c r="AG310" s="10"/>
      <c r="AH310" s="10"/>
      <c r="AI310" s="10"/>
      <c r="AJ310" s="10" t="s">
        <v>123</v>
      </c>
      <c r="AK310" s="10" t="s">
        <v>124</v>
      </c>
      <c r="AL310" s="10"/>
      <c r="AM310" s="10"/>
      <c r="AN310" s="8"/>
      <c r="AO310" s="10" t="s">
        <v>125</v>
      </c>
      <c r="AP310" s="10" t="s">
        <v>126</v>
      </c>
      <c r="AQ310" s="11" t="n">
        <v>46183</v>
      </c>
      <c r="AR310" s="13"/>
      <c r="AS310" s="13"/>
      <c r="AT310" s="13"/>
      <c r="AU310" s="13"/>
      <c r="AV310" s="13" t="s">
        <v>273</v>
      </c>
      <c r="AW310" s="13"/>
      <c r="AX310" s="13" t="s">
        <v>273</v>
      </c>
      <c r="AY310" s="7" t="s">
        <v>233</v>
      </c>
      <c r="AZ310" s="7"/>
      <c r="BA310" s="7"/>
      <c r="BB310" s="7"/>
      <c r="BC310" s="7"/>
      <c r="BD310" s="9"/>
      <c r="BE310" s="7" t="s">
        <v>527</v>
      </c>
      <c r="BF310" s="14" t="str">
        <f aca="true">IF(TRIM($A310)="Finalized","Closed",IF($BD310="","No review date set",IF($BD310&lt;TODAY(),"OVERDUE",IF($BD310-TODAY()&lt;=7,"Due within 7 days","Scheduled"))))</f>
        <v>No review date set</v>
      </c>
      <c r="BG310" s="14" t="str">
        <f aca="true">IF($K310="","",TODAY()-$K310)</f>
        <v/>
      </c>
      <c r="BH310" s="15" t="str">
        <f aca="false">IFERROR(LEFT(IF($B310="","Notes, ","")&amp;IF($K310="","Latest Date Worked, ","")&amp;IF($AY310="","Last Action, ","")&amp;IF(AND(OR(TRIM($A310)="Denied",TRIM($A310)="Rejected"),$BA310=""),"Denial Reason, ","")&amp;IF(AND(TRIM($A310)="Denied",$BB310="",TRIM($BA310)&lt;&gt;"NO DENIAL"),"Denial Code, ","")&amp;IF(AND(TRIM($A310)&lt;&gt;"Finalized",$BD310=""),"Next Review Date, ","")&amp;IF(AND(TRIM($A310)&lt;&gt;"Finalized",$BE310=""),"Next Step, ","")&amp;IF(AND(TRIM($A310)="Finalized",$AV310="",$AR310="",$AT310="",$AX310="",$AW310=""),"CPT outcome, ",""),LEN(IF($B310="","Notes, ","")&amp;IF($K310="","Latest Date Worked, ","")&amp;IF($AY310="","Last Action, ","")&amp;IF(AND(OR(TRIM($A310)="Denied",TRIM($A310)="Rejected"),$BA310=""),"Denial Reason, ","")&amp;IF(AND(TRIM($A310)="Denied",$BB310="",TRIM($BA310)&lt;&gt;"NO DENIAL"),"Denial Code, ","")&amp;IF(AND(TRIM($A310)&lt;&gt;"Finalized",$BD310=""),"Next Review Date, ","")&amp;IF(AND(TRIM($A310)&lt;&gt;"Finalized",$BE310=""),"Next Step, ","")&amp;IF(AND(TRIM($A310)="Finalized",$AV310="",$AR310="",$AT310="",$AX310="",$AW310=""),"CPT outcome, ",""))-2),"")</f>
        <v>Latest Date Worked, Next Review Date</v>
      </c>
      <c r="BI310" s="15" t="str">
        <f aca="false">IF($BB310="","",IFERROR(INDEX('Denial Codes'!$C:$C,MATCH(LEFT($BB310,FIND(" - ",$BB310&amp;" - ")+2)&amp;"*",'Denial Codes'!$A:$A,0)),""))</f>
        <v/>
      </c>
      <c r="BJ310" s="15" t="str">
        <f aca="false">IF($BA310="","",IFERROR(INDEX(Lists!$B:$B,MATCH(TRIM($BA310),Lists!$A:$A,0))&amp;"",""))</f>
        <v/>
      </c>
    </row>
    <row r="311" customFormat="false" ht="15" hidden="false" customHeight="false" outlineLevel="0" collapsed="false">
      <c r="A311" s="7" t="s">
        <v>19</v>
      </c>
      <c r="B311" s="7" t="s">
        <v>1148</v>
      </c>
      <c r="C311" s="8" t="n">
        <v>560682170</v>
      </c>
      <c r="D311" s="9" t="n">
        <v>46196</v>
      </c>
      <c r="E311" s="10" t="s">
        <v>1368</v>
      </c>
      <c r="F311" s="11" t="n">
        <v>46170</v>
      </c>
      <c r="G311" s="10" t="s">
        <v>163</v>
      </c>
      <c r="H311" s="10" t="s">
        <v>260</v>
      </c>
      <c r="I311" s="10" t="s">
        <v>163</v>
      </c>
      <c r="J311" s="10" t="s">
        <v>370</v>
      </c>
      <c r="K311" s="9" t="n">
        <v>46227</v>
      </c>
      <c r="L311" s="12" t="n">
        <f aca="true">IF($O311="","",$O311-TODAY())</f>
        <v>224</v>
      </c>
      <c r="M311" s="12" t="n">
        <f aca="true">IF(AND(TRIM($A311)="Finalized",$K311&lt;&gt;""),"",IF($D311="","",$D311+365-TODAY()))</f>
        <v>250</v>
      </c>
      <c r="N311" s="12" t="n">
        <f aca="true">IF(AND(TRIM($A311)="Finalized",$K311&lt;&gt;""),"",IF($D311="","",$D311+120-TODAY()))</f>
        <v>5</v>
      </c>
      <c r="O311" s="11" t="n">
        <f aca="false">IF(AND(TRIM($A311)="Finalized",$K311&lt;&gt;""),"",DATE(2027,5,28))</f>
        <v>46535</v>
      </c>
      <c r="P311" s="10" t="s">
        <v>114</v>
      </c>
      <c r="Q311" s="10" t="s">
        <v>115</v>
      </c>
      <c r="R311" s="10" t="s">
        <v>114</v>
      </c>
      <c r="S311" s="10" t="s">
        <v>116</v>
      </c>
      <c r="T311" s="10" t="s">
        <v>117</v>
      </c>
      <c r="U311" s="10" t="s">
        <v>116</v>
      </c>
      <c r="V311" s="10" t="s">
        <v>266</v>
      </c>
      <c r="W311" s="10" t="s">
        <v>183</v>
      </c>
      <c r="X311" s="10"/>
      <c r="Y311" s="10"/>
      <c r="Z311" s="10"/>
      <c r="AA311" s="10" t="s">
        <v>197</v>
      </c>
      <c r="AB311" s="8" t="n">
        <f aca="true">IF($F311="","",TODAY()-$F311)</f>
        <v>141</v>
      </c>
      <c r="AC311" s="10" t="s">
        <v>211</v>
      </c>
      <c r="AD311" s="10"/>
      <c r="AE311" s="10"/>
      <c r="AF311" s="10"/>
      <c r="AG311" s="10"/>
      <c r="AH311" s="10"/>
      <c r="AI311" s="10"/>
      <c r="AJ311" s="10" t="s">
        <v>340</v>
      </c>
      <c r="AK311" s="10"/>
      <c r="AL311" s="10"/>
      <c r="AM311" s="10"/>
      <c r="AN311" s="8" t="n">
        <v>564133893</v>
      </c>
      <c r="AO311" s="10" t="s">
        <v>255</v>
      </c>
      <c r="AP311" s="10" t="s">
        <v>188</v>
      </c>
      <c r="AQ311" s="11" t="n">
        <v>46182</v>
      </c>
      <c r="AR311" s="13"/>
      <c r="AS311" s="13"/>
      <c r="AT311" s="13"/>
      <c r="AU311" s="13"/>
      <c r="AV311" s="13" t="s">
        <v>211</v>
      </c>
      <c r="AW311" s="13"/>
      <c r="AX311" s="13" t="s">
        <v>211</v>
      </c>
      <c r="AY311" s="7" t="s">
        <v>233</v>
      </c>
      <c r="AZ311" s="7"/>
      <c r="BA311" s="7"/>
      <c r="BB311" s="7"/>
      <c r="BC311" s="7"/>
      <c r="BD311" s="9" t="n">
        <v>46258</v>
      </c>
      <c r="BE311" s="7" t="s">
        <v>527</v>
      </c>
      <c r="BF311" s="14" t="str">
        <f aca="true">IF(TRIM($A311)="Finalized","Closed",IF($BD311="","No review date set",IF($BD311&lt;TODAY(),"OVERDUE",IF($BD311-TODAY()&lt;=7,"Due within 7 days","Scheduled"))))</f>
        <v>OVERDUE</v>
      </c>
      <c r="BG311" s="14" t="n">
        <f aca="true">IF($K311="","",TODAY()-$K311)</f>
        <v>84</v>
      </c>
      <c r="BH311" s="15" t="str">
        <f aca="false">IFERROR(LEFT(IF($B311="","Notes, ","")&amp;IF($K311="","Latest Date Worked, ","")&amp;IF($AY311="","Last Action, ","")&amp;IF(AND(OR(TRIM($A311)="Denied",TRIM($A311)="Rejected"),$BA311=""),"Denial Reason, ","")&amp;IF(AND(TRIM($A311)="Denied",$BB311="",TRIM($BA311)&lt;&gt;"NO DENIAL"),"Denial Code, ","")&amp;IF(AND(TRIM($A311)&lt;&gt;"Finalized",$BD311=""),"Next Review Date, ","")&amp;IF(AND(TRIM($A311)&lt;&gt;"Finalized",$BE311=""),"Next Step, ","")&amp;IF(AND(TRIM($A311)="Finalized",$AV311="",$AR311="",$AT311="",$AX311="",$AW311=""),"CPT outcome, ",""),LEN(IF($B311="","Notes, ","")&amp;IF($K311="","Latest Date Worked, ","")&amp;IF($AY311="","Last Action, ","")&amp;IF(AND(OR(TRIM($A311)="Denied",TRIM($A311)="Rejected"),$BA311=""),"Denial Reason, ","")&amp;IF(AND(TRIM($A311)="Denied",$BB311="",TRIM($BA311)&lt;&gt;"NO DENIAL"),"Denial Code, ","")&amp;IF(AND(TRIM($A311)&lt;&gt;"Finalized",$BD311=""),"Next Review Date, ","")&amp;IF(AND(TRIM($A311)&lt;&gt;"Finalized",$BE311=""),"Next Step, ","")&amp;IF(AND(TRIM($A311)="Finalized",$AV311="",$AR311="",$AT311="",$AX311="",$AW311=""),"CPT outcome, ",""))-2),"")</f>
        <v/>
      </c>
      <c r="BI311" s="15" t="str">
        <f aca="false">IF($BB311="","",IFERROR(INDEX('Denial Codes'!$C:$C,MATCH(LEFT($BB311,FIND(" - ",$BB311&amp;" - ")+2)&amp;"*",'Denial Codes'!$A:$A,0)),""))</f>
        <v/>
      </c>
      <c r="BJ311" s="15" t="str">
        <f aca="false">IF($BA311="","",IFERROR(INDEX(Lists!$B:$B,MATCH(TRIM($BA311),Lists!$A:$A,0))&amp;"",""))</f>
        <v/>
      </c>
    </row>
    <row r="312" customFormat="false" ht="15" hidden="false" customHeight="false" outlineLevel="0" collapsed="false">
      <c r="A312" s="7" t="s">
        <v>17</v>
      </c>
      <c r="B312" s="7" t="s">
        <v>1369</v>
      </c>
      <c r="C312" s="8" t="n">
        <v>569389326</v>
      </c>
      <c r="D312" s="9" t="n">
        <v>46258</v>
      </c>
      <c r="E312" s="10" t="s">
        <v>1370</v>
      </c>
      <c r="F312" s="11" t="n">
        <v>46170</v>
      </c>
      <c r="G312" s="10" t="s">
        <v>112</v>
      </c>
      <c r="H312" s="10" t="s">
        <v>112</v>
      </c>
      <c r="I312" s="10" t="s">
        <v>1371</v>
      </c>
      <c r="J312" s="10" t="s">
        <v>1372</v>
      </c>
      <c r="K312" s="9" t="n">
        <v>46255</v>
      </c>
      <c r="L312" s="12" t="n">
        <f aca="true">IF($O312="","",$O312-TODAY())</f>
        <v>224</v>
      </c>
      <c r="M312" s="12" t="n">
        <f aca="true">IF(AND(TRIM($A312)="Finalized",$K312&lt;&gt;""),"",IF($D312="","",$D312+365-TODAY()))</f>
        <v>312</v>
      </c>
      <c r="N312" s="12" t="n">
        <f aca="true">IF(AND(TRIM($A312)="Finalized",$K312&lt;&gt;""),"",IF($D312="","",$D312+120-TODAY()))</f>
        <v>67</v>
      </c>
      <c r="O312" s="11" t="n">
        <f aca="false">IF(AND(TRIM($A312)="Finalized",$K312&lt;&gt;""),"",DATE(2027,5,28))</f>
        <v>46535</v>
      </c>
      <c r="P312" s="10" t="s">
        <v>114</v>
      </c>
      <c r="Q312" s="10" t="s">
        <v>115</v>
      </c>
      <c r="R312" s="10" t="s">
        <v>114</v>
      </c>
      <c r="S312" s="10" t="s">
        <v>116</v>
      </c>
      <c r="T312" s="10" t="s">
        <v>117</v>
      </c>
      <c r="U312" s="10" t="s">
        <v>116</v>
      </c>
      <c r="V312" s="10" t="s">
        <v>266</v>
      </c>
      <c r="W312" s="10" t="s">
        <v>119</v>
      </c>
      <c r="X312" s="10" t="s">
        <v>304</v>
      </c>
      <c r="Y312" s="10" t="s">
        <v>621</v>
      </c>
      <c r="Z312" s="10"/>
      <c r="AA312" s="10" t="s">
        <v>197</v>
      </c>
      <c r="AB312" s="8" t="n">
        <f aca="true">IF($F312="","",TODAY()-$F312)</f>
        <v>141</v>
      </c>
      <c r="AC312" s="10" t="s">
        <v>1373</v>
      </c>
      <c r="AD312" s="10"/>
      <c r="AE312" s="10"/>
      <c r="AF312" s="10"/>
      <c r="AG312" s="10"/>
      <c r="AH312" s="10"/>
      <c r="AI312" s="10"/>
      <c r="AJ312" s="10" t="s">
        <v>622</v>
      </c>
      <c r="AK312" s="10" t="s">
        <v>1374</v>
      </c>
      <c r="AL312" s="10" t="s">
        <v>1181</v>
      </c>
      <c r="AM312" s="10" t="s">
        <v>1375</v>
      </c>
      <c r="AN312" s="8"/>
      <c r="AO312" s="10" t="s">
        <v>231</v>
      </c>
      <c r="AP312" s="10" t="s">
        <v>232</v>
      </c>
      <c r="AQ312" s="11" t="n">
        <v>46199</v>
      </c>
      <c r="AR312" s="13"/>
      <c r="AS312" s="13"/>
      <c r="AT312" s="13"/>
      <c r="AU312" s="13"/>
      <c r="AV312" s="13"/>
      <c r="AW312" s="13"/>
      <c r="AX312" s="13"/>
      <c r="AY312" s="7" t="s">
        <v>159</v>
      </c>
      <c r="AZ312" s="7"/>
      <c r="BA312" s="7" t="s">
        <v>34</v>
      </c>
      <c r="BB312" s="7"/>
      <c r="BC312" s="7"/>
      <c r="BD312" s="9" t="n">
        <v>46286</v>
      </c>
      <c r="BE312" s="7" t="s">
        <v>1376</v>
      </c>
      <c r="BF312" s="14" t="str">
        <f aca="true">IF(TRIM($A312)="Finalized","Closed",IF($BD312="","No review date set",IF($BD312&lt;TODAY(),"OVERDUE",IF($BD312-TODAY()&lt;=7,"Due within 7 days","Scheduled"))))</f>
        <v>OVERDUE</v>
      </c>
      <c r="BG312" s="14" t="n">
        <f aca="true">IF($K312="","",TODAY()-$K312)</f>
        <v>56</v>
      </c>
      <c r="BH312" s="15" t="str">
        <f aca="false">IFERROR(LEFT(IF($B312="","Notes, ","")&amp;IF($K312="","Latest Date Worked, ","")&amp;IF($AY312="","Last Action, ","")&amp;IF(AND(OR(TRIM($A312)="Denied",TRIM($A312)="Rejected"),$BA312=""),"Denial Reason, ","")&amp;IF(AND(TRIM($A312)="Denied",$BB312="",TRIM($BA312)&lt;&gt;"NO DENIAL"),"Denial Code, ","")&amp;IF(AND(TRIM($A312)&lt;&gt;"Finalized",$BD312=""),"Next Review Date, ","")&amp;IF(AND(TRIM($A312)&lt;&gt;"Finalized",$BE312=""),"Next Step, ","")&amp;IF(AND(TRIM($A312)="Finalized",$AV312="",$AR312="",$AT312="",$AX312="",$AW312=""),"CPT outcome, ",""),LEN(IF($B312="","Notes, ","")&amp;IF($K312="","Latest Date Worked, ","")&amp;IF($AY312="","Last Action, ","")&amp;IF(AND(OR(TRIM($A312)="Denied",TRIM($A312)="Rejected"),$BA312=""),"Denial Reason, ","")&amp;IF(AND(TRIM($A312)="Denied",$BB312="",TRIM($BA312)&lt;&gt;"NO DENIAL"),"Denial Code, ","")&amp;IF(AND(TRIM($A312)&lt;&gt;"Finalized",$BD312=""),"Next Review Date, ","")&amp;IF(AND(TRIM($A312)&lt;&gt;"Finalized",$BE312=""),"Next Step, ","")&amp;IF(AND(TRIM($A312)="Finalized",$AV312="",$AR312="",$AT312="",$AX312="",$AW312=""),"CPT outcome, ",""))-2),"")</f>
        <v>Denial Code</v>
      </c>
      <c r="BI312" s="15" t="str">
        <f aca="false">IF($BB312="","",IFERROR(INDEX('Denial Codes'!$C:$C,MATCH(LEFT($BB312,FIND(" - ",$BB312&amp;" - ")+2)&amp;"*",'Denial Codes'!$A:$A,0)),""))</f>
        <v/>
      </c>
      <c r="BJ312" s="15" t="str">
        <f aca="false">IF($BA312="","",IFERROR(INDEX(Lists!$B:$B,MATCH(TRIM($BA312),Lists!$A:$A,0))&amp;"",""))</f>
        <v>Check the portal for an auth; request a retro-auth or file an appeal with the auth number, then resubmit.</v>
      </c>
    </row>
    <row r="313" customFormat="false" ht="15" hidden="false" customHeight="false" outlineLevel="0" collapsed="false">
      <c r="A313" s="7" t="s">
        <v>16</v>
      </c>
      <c r="B313" s="7" t="s">
        <v>1377</v>
      </c>
      <c r="C313" s="8" t="n">
        <v>560691343</v>
      </c>
      <c r="D313" s="9" t="n">
        <v>46189</v>
      </c>
      <c r="E313" s="10" t="s">
        <v>1291</v>
      </c>
      <c r="F313" s="11" t="n">
        <v>46171</v>
      </c>
      <c r="G313" s="10" t="s">
        <v>180</v>
      </c>
      <c r="H313" s="10" t="s">
        <v>260</v>
      </c>
      <c r="I313" s="10" t="s">
        <v>180</v>
      </c>
      <c r="J313" s="10" t="s">
        <v>250</v>
      </c>
      <c r="K313" s="9" t="n">
        <v>46256</v>
      </c>
      <c r="L313" s="12" t="str">
        <f aca="true">IF($O313="","",$O313-TODAY())</f>
        <v/>
      </c>
      <c r="M313" s="12" t="str">
        <f aca="true">IF(AND(TRIM($A313)="Finalized",$K313&lt;&gt;""),"",IF($D313="","",$D313+365-TODAY()))</f>
        <v/>
      </c>
      <c r="N313" s="12" t="str">
        <f aca="true">IF(AND(TRIM($A313)="Finalized",$K313&lt;&gt;""),"",IF($D313="","",$D313+120-TODAY()))</f>
        <v/>
      </c>
      <c r="O313" s="11" t="str">
        <f aca="false">IF(AND(TRIM($A313)="Finalized",$K313&lt;&gt;""),"",DATE(2027,5,29))</f>
        <v/>
      </c>
      <c r="P313" s="10" t="s">
        <v>114</v>
      </c>
      <c r="Q313" s="10" t="s">
        <v>115</v>
      </c>
      <c r="R313" s="10" t="s">
        <v>114</v>
      </c>
      <c r="S313" s="10" t="s">
        <v>116</v>
      </c>
      <c r="T313" s="10" t="s">
        <v>117</v>
      </c>
      <c r="U313" s="10" t="s">
        <v>116</v>
      </c>
      <c r="V313" s="10" t="s">
        <v>266</v>
      </c>
      <c r="W313" s="10" t="s">
        <v>132</v>
      </c>
      <c r="X313" s="10"/>
      <c r="Y313" s="10"/>
      <c r="Z313" s="10"/>
      <c r="AA313" s="10" t="s">
        <v>197</v>
      </c>
      <c r="AB313" s="8" t="n">
        <f aca="true">IF($F313="","",TODAY()-$F313)</f>
        <v>140</v>
      </c>
      <c r="AC313" s="10" t="s">
        <v>251</v>
      </c>
      <c r="AD313" s="10"/>
      <c r="AE313" s="10"/>
      <c r="AF313" s="10"/>
      <c r="AG313" s="10"/>
      <c r="AH313" s="10"/>
      <c r="AI313" s="10"/>
      <c r="AJ313" s="10" t="s">
        <v>362</v>
      </c>
      <c r="AK313" s="10" t="s">
        <v>238</v>
      </c>
      <c r="AL313" s="10"/>
      <c r="AM313" s="10"/>
      <c r="AN313" s="8" t="n">
        <v>563761052</v>
      </c>
      <c r="AO313" s="10" t="s">
        <v>201</v>
      </c>
      <c r="AP313" s="10" t="s">
        <v>327</v>
      </c>
      <c r="AQ313" s="11" t="n">
        <v>46175</v>
      </c>
      <c r="AR313" s="13"/>
      <c r="AS313" s="13"/>
      <c r="AT313" s="13"/>
      <c r="AU313" s="13"/>
      <c r="AV313" s="13" t="s">
        <v>251</v>
      </c>
      <c r="AW313" s="13"/>
      <c r="AX313" s="13" t="s">
        <v>251</v>
      </c>
      <c r="AY313" s="7" t="s">
        <v>363</v>
      </c>
      <c r="AZ313" s="7" t="s">
        <v>159</v>
      </c>
      <c r="BA313" s="7" t="s">
        <v>45</v>
      </c>
      <c r="BB313" s="7"/>
      <c r="BC313" s="7"/>
      <c r="BD313" s="9"/>
      <c r="BE313" s="7"/>
      <c r="BF313" s="14" t="str">
        <f aca="true">IF(TRIM($A313)="Finalized","Closed",IF($BD313="","No review date set",IF($BD313&lt;TODAY(),"OVERDUE",IF($BD313-TODAY()&lt;=7,"Due within 7 days","Scheduled"))))</f>
        <v>Closed</v>
      </c>
      <c r="BG313" s="14" t="n">
        <f aca="true">IF($K313="","",TODAY()-$K313)</f>
        <v>55</v>
      </c>
      <c r="BH313" s="15" t="str">
        <f aca="false">IFERROR(LEFT(IF($B313="","Notes, ","")&amp;IF($K313="","Latest Date Worked, ","")&amp;IF($AY313="","Last Action, ","")&amp;IF(AND(OR(TRIM($A313)="Denied",TRIM($A313)="Rejected"),$BA313=""),"Denial Reason, ","")&amp;IF(AND(TRIM($A313)="Denied",$BB313="",TRIM($BA313)&lt;&gt;"NO DENIAL"),"Denial Code, ","")&amp;IF(AND(TRIM($A313)&lt;&gt;"Finalized",$BD313=""),"Next Review Date, ","")&amp;IF(AND(TRIM($A313)&lt;&gt;"Finalized",$BE313=""),"Next Step, ","")&amp;IF(AND(TRIM($A313)="Finalized",$AV313="",$AR313="",$AT313="",$AX313="",$AW313=""),"CPT outcome, ",""),LEN(IF($B313="","Notes, ","")&amp;IF($K313="","Latest Date Worked, ","")&amp;IF($AY313="","Last Action, ","")&amp;IF(AND(OR(TRIM($A313)="Denied",TRIM($A313)="Rejected"),$BA313=""),"Denial Reason, ","")&amp;IF(AND(TRIM($A313)="Denied",$BB313="",TRIM($BA313)&lt;&gt;"NO DENIAL"),"Denial Code, ","")&amp;IF(AND(TRIM($A313)&lt;&gt;"Finalized",$BD313=""),"Next Review Date, ","")&amp;IF(AND(TRIM($A313)&lt;&gt;"Finalized",$BE313=""),"Next Step, ","")&amp;IF(AND(TRIM($A313)="Finalized",$AV313="",$AR313="",$AT313="",$AX313="",$AW313=""),"CPT outcome, ",""))-2),"")</f>
        <v/>
      </c>
      <c r="BI313" s="15" t="str">
        <f aca="false">IF($BB313="","",IFERROR(INDEX('Denial Codes'!$C:$C,MATCH(LEFT($BB313,FIND(" - ",$BB313&amp;" - ")+2)&amp;"*",'Denial Codes'!$A:$A,0)),""))</f>
        <v/>
      </c>
      <c r="BJ313" s="15" t="str">
        <f aca="false">IF($BA313="","",IFERROR(INDEX(Lists!$B:$B,MATCH(TRIM($BA313),Lists!$A:$A,0))&amp;"",""))</f>
        <v>Get the other insurance and primary EOB, update COB with the payer and bill primary first.</v>
      </c>
    </row>
    <row r="314" customFormat="false" ht="15" hidden="false" customHeight="false" outlineLevel="0" collapsed="false">
      <c r="A314" s="7" t="s">
        <v>17</v>
      </c>
      <c r="B314" s="7" t="s">
        <v>203</v>
      </c>
      <c r="C314" s="8" t="n">
        <v>562932709</v>
      </c>
      <c r="D314" s="9" t="n">
        <v>46225</v>
      </c>
      <c r="E314" s="10" t="s">
        <v>1272</v>
      </c>
      <c r="F314" s="11" t="n">
        <v>46174</v>
      </c>
      <c r="G314" s="10" t="s">
        <v>781</v>
      </c>
      <c r="H314" s="10" t="s">
        <v>781</v>
      </c>
      <c r="I314" s="10" t="s">
        <v>208</v>
      </c>
      <c r="J314" s="10" t="s">
        <v>1378</v>
      </c>
      <c r="K314" s="9" t="n">
        <v>46305</v>
      </c>
      <c r="L314" s="12" t="n">
        <f aca="true">IF($O314="","",$O314-TODAY())</f>
        <v>228</v>
      </c>
      <c r="M314" s="12" t="n">
        <f aca="true">IF(AND(TRIM($A314)="Finalized",$K314&lt;&gt;""),"",IF($D314="","",$D314+180-TODAY()))</f>
        <v>94</v>
      </c>
      <c r="N314" s="12" t="n">
        <f aca="true">IF(AND(TRIM($A314)="Finalized",$K314&lt;&gt;""),"",IF($D314="","",$D314+365-TODAY()))</f>
        <v>279</v>
      </c>
      <c r="O314" s="11" t="n">
        <f aca="false">IF(AND(TRIM($A314)="Finalized",$K314&lt;&gt;""),"",DATE(2027,6,1))</f>
        <v>46539</v>
      </c>
      <c r="P314" s="10" t="s">
        <v>114</v>
      </c>
      <c r="Q314" s="10" t="s">
        <v>1176</v>
      </c>
      <c r="R314" s="10" t="s">
        <v>147</v>
      </c>
      <c r="S314" s="10" t="s">
        <v>116</v>
      </c>
      <c r="T314" s="10" t="s">
        <v>114</v>
      </c>
      <c r="U314" s="10" t="s">
        <v>116</v>
      </c>
      <c r="V314" s="10" t="s">
        <v>303</v>
      </c>
      <c r="W314" s="10" t="s">
        <v>434</v>
      </c>
      <c r="X314" s="10" t="s">
        <v>478</v>
      </c>
      <c r="Y314" s="10" t="s">
        <v>620</v>
      </c>
      <c r="Z314" s="10" t="s">
        <v>621</v>
      </c>
      <c r="AA314" s="10" t="s">
        <v>683</v>
      </c>
      <c r="AB314" s="8" t="n">
        <f aca="true">IF($F314="","",TODAY()-$F314)</f>
        <v>137</v>
      </c>
      <c r="AC314" s="10" t="s">
        <v>441</v>
      </c>
      <c r="AD314" s="10" t="s">
        <v>440</v>
      </c>
      <c r="AE314" s="10" t="s">
        <v>442</v>
      </c>
      <c r="AF314" s="10" t="s">
        <v>443</v>
      </c>
      <c r="AG314" s="10" t="s">
        <v>657</v>
      </c>
      <c r="AH314" s="10" t="s">
        <v>438</v>
      </c>
      <c r="AI314" s="10" t="s">
        <v>439</v>
      </c>
      <c r="AJ314" s="10" t="s">
        <v>579</v>
      </c>
      <c r="AK314" s="10" t="s">
        <v>445</v>
      </c>
      <c r="AL314" s="10" t="s">
        <v>622</v>
      </c>
      <c r="AM314" s="10"/>
      <c r="AN314" s="8"/>
      <c r="AO314" s="10" t="s">
        <v>447</v>
      </c>
      <c r="AP314" s="10" t="s">
        <v>327</v>
      </c>
      <c r="AQ314" s="11" t="n">
        <v>46193</v>
      </c>
      <c r="AR314" s="13"/>
      <c r="AS314" s="13"/>
      <c r="AT314" s="13"/>
      <c r="AU314" s="13"/>
      <c r="AV314" s="13"/>
      <c r="AW314" s="13"/>
      <c r="AX314" s="13"/>
      <c r="AY314" s="7" t="s">
        <v>203</v>
      </c>
      <c r="AZ314" s="7"/>
      <c r="BA314" s="7" t="s">
        <v>36</v>
      </c>
      <c r="BB314" s="7" t="s">
        <v>204</v>
      </c>
      <c r="BC314" s="7" t="s">
        <v>1379</v>
      </c>
      <c r="BD314" s="9" t="n">
        <v>46336</v>
      </c>
      <c r="BE314" s="7"/>
      <c r="BF314" s="14" t="str">
        <f aca="true">IF(TRIM($A314)="Finalized","Closed",IF($BD314="","No review date set",IF($BD314&lt;TODAY(),"OVERDUE",IF($BD314-TODAY()&lt;=7,"Due within 7 days","Scheduled"))))</f>
        <v>Scheduled</v>
      </c>
      <c r="BG314" s="14" t="n">
        <f aca="true">IF($K314="","",TODAY()-$K314)</f>
        <v>6</v>
      </c>
      <c r="BH314" s="15" t="str">
        <f aca="false">IFERROR(LEFT(IF($B314="","Notes, ","")&amp;IF($K314="","Latest Date Worked, ","")&amp;IF($AY314="","Last Action, ","")&amp;IF(AND(OR(TRIM($A314)="Denied",TRIM($A314)="Rejected"),$BA314=""),"Denial Reason, ","")&amp;IF(AND(TRIM($A314)="Denied",$BB314="",TRIM($BA314)&lt;&gt;"NO DENIAL"),"Denial Code, ","")&amp;IF(AND(TRIM($A314)&lt;&gt;"Finalized",$BD314=""),"Next Review Date, ","")&amp;IF(AND(TRIM($A314)&lt;&gt;"Finalized",$BE314=""),"Next Step, ","")&amp;IF(AND(TRIM($A314)="Finalized",$AV314="",$AR314="",$AT314="",$AX314="",$AW314=""),"CPT outcome, ",""),LEN(IF($B314="","Notes, ","")&amp;IF($K314="","Latest Date Worked, ","")&amp;IF($AY314="","Last Action, ","")&amp;IF(AND(OR(TRIM($A314)="Denied",TRIM($A314)="Rejected"),$BA314=""),"Denial Reason, ","")&amp;IF(AND(TRIM($A314)="Denied",$BB314="",TRIM($BA314)&lt;&gt;"NO DENIAL"),"Denial Code, ","")&amp;IF(AND(TRIM($A314)&lt;&gt;"Finalized",$BD314=""),"Next Review Date, ","")&amp;IF(AND(TRIM($A314)&lt;&gt;"Finalized",$BE314=""),"Next Step, ","")&amp;IF(AND(TRIM($A314)="Finalized",$AV314="",$AR314="",$AT314="",$AX314="",$AW314=""),"CPT outcome, ",""))-2),"")</f>
        <v>Next Step</v>
      </c>
      <c r="BI314" s="15" t="str">
        <f aca="false">IF($BB314="","",IFERROR(INDEX('Denial Codes'!$C:$C,MATCH(LEFT($BB314,FIND(" - ",$BB314&amp;" - ")+2)&amp;"*",'Denial Codes'!$A:$A,0)),""))</f>
        <v>Medical records needed</v>
      </c>
      <c r="BJ314" s="15" t="str">
        <f aca="false">IF($BA314="","",IFERROR(INDEX(Lists!$B:$B,MATCH(TRIM($BA314),Lists!$A:$A,0))&amp;"",""))</f>
        <v>Upload the MR on the payer portal, note the PIQ/reference number and set a review date.</v>
      </c>
    </row>
    <row r="315" customFormat="false" ht="15" hidden="false" customHeight="false" outlineLevel="0" collapsed="false">
      <c r="A315" s="7" t="s">
        <v>17</v>
      </c>
      <c r="B315" s="7" t="s">
        <v>1380</v>
      </c>
      <c r="C315" s="8" t="n">
        <v>574432540</v>
      </c>
      <c r="D315" s="9" t="n">
        <v>46225</v>
      </c>
      <c r="E315" s="10" t="s">
        <v>1381</v>
      </c>
      <c r="F315" s="11" t="n">
        <v>46175</v>
      </c>
      <c r="G315" s="10" t="s">
        <v>260</v>
      </c>
      <c r="H315" s="10" t="s">
        <v>260</v>
      </c>
      <c r="I315" s="10" t="s">
        <v>163</v>
      </c>
      <c r="J315" s="10" t="s">
        <v>181</v>
      </c>
      <c r="K315" s="9" t="n">
        <v>46304</v>
      </c>
      <c r="L315" s="12" t="n">
        <f aca="true">IF($O315="","",$O315-TODAY())</f>
        <v>229</v>
      </c>
      <c r="M315" s="12" t="n">
        <f aca="true">IF(AND(TRIM($A315)="Finalized",$K315&lt;&gt;""),"",IF($D315="","",$D315+365-TODAY()))</f>
        <v>279</v>
      </c>
      <c r="N315" s="12" t="n">
        <f aca="true">IF(AND(TRIM($A315)="Finalized",$K315&lt;&gt;""),"",IF($D315="","",$D315+120-TODAY()))</f>
        <v>34</v>
      </c>
      <c r="O315" s="11" t="n">
        <f aca="false">IF(AND(TRIM($A315)="Finalized",$K315&lt;&gt;""),"",DATE(2027,6,2))</f>
        <v>46540</v>
      </c>
      <c r="P315" s="10" t="s">
        <v>114</v>
      </c>
      <c r="Q315" s="10" t="s">
        <v>115</v>
      </c>
      <c r="R315" s="10" t="s">
        <v>114</v>
      </c>
      <c r="S315" s="10" t="s">
        <v>116</v>
      </c>
      <c r="T315" s="10" t="s">
        <v>117</v>
      </c>
      <c r="U315" s="10" t="s">
        <v>116</v>
      </c>
      <c r="V315" s="10" t="s">
        <v>303</v>
      </c>
      <c r="W315" s="10" t="s">
        <v>183</v>
      </c>
      <c r="X315" s="10"/>
      <c r="Y315" s="10"/>
      <c r="Z315" s="10"/>
      <c r="AA315" s="10" t="s">
        <v>197</v>
      </c>
      <c r="AB315" s="8" t="n">
        <f aca="true">IF($F315="","",TODAY()-$F315)</f>
        <v>136</v>
      </c>
      <c r="AC315" s="10" t="s">
        <v>184</v>
      </c>
      <c r="AD315" s="10" t="s">
        <v>185</v>
      </c>
      <c r="AE315" s="10"/>
      <c r="AF315" s="10"/>
      <c r="AG315" s="10"/>
      <c r="AH315" s="10"/>
      <c r="AI315" s="10"/>
      <c r="AJ315" s="10" t="s">
        <v>340</v>
      </c>
      <c r="AK315" s="10"/>
      <c r="AL315" s="10"/>
      <c r="AM315" s="10"/>
      <c r="AN315" s="8"/>
      <c r="AO315" s="10" t="s">
        <v>344</v>
      </c>
      <c r="AP315" s="10" t="s">
        <v>308</v>
      </c>
      <c r="AQ315" s="11" t="n">
        <v>46217</v>
      </c>
      <c r="AR315" s="13"/>
      <c r="AS315" s="13"/>
      <c r="AT315" s="13"/>
      <c r="AU315" s="13"/>
      <c r="AV315" s="13"/>
      <c r="AW315" s="13"/>
      <c r="AX315" s="13" t="s">
        <v>507</v>
      </c>
      <c r="AY315" s="7" t="s">
        <v>159</v>
      </c>
      <c r="AZ315" s="7"/>
      <c r="BA315" s="7" t="s">
        <v>46</v>
      </c>
      <c r="BB315" s="7" t="s">
        <v>1318</v>
      </c>
      <c r="BC315" s="7"/>
      <c r="BD315" s="9" t="n">
        <v>46335</v>
      </c>
      <c r="BE315" s="7"/>
      <c r="BF315" s="14" t="str">
        <f aca="true">IF(TRIM($A315)="Finalized","Closed",IF($BD315="","No review date set",IF($BD315&lt;TODAY(),"OVERDUE",IF($BD315-TODAY()&lt;=7,"Due within 7 days","Scheduled"))))</f>
        <v>Scheduled</v>
      </c>
      <c r="BG315" s="14" t="n">
        <f aca="true">IF($K315="","",TODAY()-$K315)</f>
        <v>7</v>
      </c>
      <c r="BH315" s="15" t="str">
        <f aca="false">IFERROR(LEFT(IF($B315="","Notes, ","")&amp;IF($K315="","Latest Date Worked, ","")&amp;IF($AY315="","Last Action, ","")&amp;IF(AND(OR(TRIM($A315)="Denied",TRIM($A315)="Rejected"),$BA315=""),"Denial Reason, ","")&amp;IF(AND(TRIM($A315)="Denied",$BB315="",TRIM($BA315)&lt;&gt;"NO DENIAL"),"Denial Code, ","")&amp;IF(AND(TRIM($A315)&lt;&gt;"Finalized",$BD315=""),"Next Review Date, ","")&amp;IF(AND(TRIM($A315)&lt;&gt;"Finalized",$BE315=""),"Next Step, ","")&amp;IF(AND(TRIM($A315)="Finalized",$AV315="",$AR315="",$AT315="",$AX315="",$AW315=""),"CPT outcome, ",""),LEN(IF($B315="","Notes, ","")&amp;IF($K315="","Latest Date Worked, ","")&amp;IF($AY315="","Last Action, ","")&amp;IF(AND(OR(TRIM($A315)="Denied",TRIM($A315)="Rejected"),$BA315=""),"Denial Reason, ","")&amp;IF(AND(TRIM($A315)="Denied",$BB315="",TRIM($BA315)&lt;&gt;"NO DENIAL"),"Denial Code, ","")&amp;IF(AND(TRIM($A315)&lt;&gt;"Finalized",$BD315=""),"Next Review Date, ","")&amp;IF(AND(TRIM($A315)&lt;&gt;"Finalized",$BE315=""),"Next Step, ","")&amp;IF(AND(TRIM($A315)="Finalized",$AV315="",$AR315="",$AT315="",$AX315="",$AW315=""),"CPT outcome, ",""))-2),"")</f>
        <v>Next Step</v>
      </c>
      <c r="BI315" s="15" t="str">
        <f aca="false">IF($BB315="","",IFERROR(INDEX('Denial Codes'!$C:$C,MATCH(LEFT($BB315,FIND(" - ",$BB315&amp;" - ")+2)&amp;"*",'Denial Codes'!$A:$A,0)),""))</f>
        <v>Eligibility / member ID</v>
      </c>
      <c r="BJ315" s="15" t="str">
        <f aca="false">IF($BA315="","",IFERROR(INDEX(Lists!$B:$B,MATCH(TRIM($BA315),Lists!$A:$A,0))&amp;"",""))</f>
        <v>Verify eligibility; correct the member ID/MBI, name or DOB and resubmit.</v>
      </c>
    </row>
    <row r="316" customFormat="false" ht="15" hidden="false" customHeight="false" outlineLevel="0" collapsed="false">
      <c r="A316" s="7" t="s">
        <v>17</v>
      </c>
      <c r="B316" s="7" t="s">
        <v>1382</v>
      </c>
      <c r="C316" s="8" t="n">
        <v>574464619</v>
      </c>
      <c r="D316" s="9" t="n">
        <v>46202</v>
      </c>
      <c r="E316" s="10" t="s">
        <v>1383</v>
      </c>
      <c r="F316" s="11" t="n">
        <v>46175</v>
      </c>
      <c r="G316" s="10" t="s">
        <v>260</v>
      </c>
      <c r="H316" s="10" t="s">
        <v>260</v>
      </c>
      <c r="I316" s="10" t="s">
        <v>129</v>
      </c>
      <c r="J316" s="10" t="s">
        <v>556</v>
      </c>
      <c r="K316" s="9" t="n">
        <v>46305</v>
      </c>
      <c r="L316" s="12" t="n">
        <f aca="true">IF($O316="","",$O316-TODAY())</f>
        <v>229</v>
      </c>
      <c r="M316" s="12" t="n">
        <f aca="true">IF(AND(TRIM($A316)="Finalized",$K316&lt;&gt;""),"",IF($D316="","",$D316+365-TODAY()))</f>
        <v>256</v>
      </c>
      <c r="N316" s="12" t="n">
        <f aca="true">IF(AND(TRIM($A316)="Finalized",$K316&lt;&gt;""),"",IF($D316="","",$D316+120-TODAY()))</f>
        <v>11</v>
      </c>
      <c r="O316" s="11" t="n">
        <f aca="false">IF(AND(TRIM($A316)="Finalized",$K316&lt;&gt;""),"",DATE(2027,6,2))</f>
        <v>46540</v>
      </c>
      <c r="P316" s="10" t="s">
        <v>114</v>
      </c>
      <c r="Q316" s="10" t="s">
        <v>115</v>
      </c>
      <c r="R316" s="10" t="s">
        <v>114</v>
      </c>
      <c r="S316" s="10" t="s">
        <v>116</v>
      </c>
      <c r="T316" s="10" t="s">
        <v>117</v>
      </c>
      <c r="U316" s="10" t="s">
        <v>116</v>
      </c>
      <c r="V316" s="10" t="s">
        <v>303</v>
      </c>
      <c r="W316" s="10" t="s">
        <v>196</v>
      </c>
      <c r="X316" s="10"/>
      <c r="Y316" s="10"/>
      <c r="Z316" s="10"/>
      <c r="AA316" s="10" t="s">
        <v>197</v>
      </c>
      <c r="AB316" s="8" t="n">
        <f aca="true">IF($F316="","",TODAY()-$F316)</f>
        <v>136</v>
      </c>
      <c r="AC316" s="10" t="s">
        <v>198</v>
      </c>
      <c r="AD316" s="10" t="s">
        <v>487</v>
      </c>
      <c r="AE316" s="10" t="s">
        <v>222</v>
      </c>
      <c r="AF316" s="10"/>
      <c r="AG316" s="10"/>
      <c r="AH316" s="10"/>
      <c r="AI316" s="10"/>
      <c r="AJ316" s="10" t="s">
        <v>552</v>
      </c>
      <c r="AK316" s="10" t="s">
        <v>1384</v>
      </c>
      <c r="AL316" s="10"/>
      <c r="AM316" s="10"/>
      <c r="AN316" s="8"/>
      <c r="AO316" s="10" t="s">
        <v>201</v>
      </c>
      <c r="AP316" s="10" t="s">
        <v>202</v>
      </c>
      <c r="AQ316" s="11" t="n">
        <v>46195</v>
      </c>
      <c r="AR316" s="13"/>
      <c r="AS316" s="13"/>
      <c r="AT316" s="13"/>
      <c r="AU316" s="13"/>
      <c r="AV316" s="13"/>
      <c r="AW316" s="13"/>
      <c r="AX316" s="13" t="s">
        <v>558</v>
      </c>
      <c r="AY316" s="7" t="s">
        <v>159</v>
      </c>
      <c r="AZ316" s="7"/>
      <c r="BA316" s="7" t="s">
        <v>46</v>
      </c>
      <c r="BB316" s="7" t="s">
        <v>1318</v>
      </c>
      <c r="BC316" s="7"/>
      <c r="BD316" s="9" t="n">
        <v>46336</v>
      </c>
      <c r="BE316" s="7"/>
      <c r="BF316" s="14" t="str">
        <f aca="true">IF(TRIM($A316)="Finalized","Closed",IF($BD316="","No review date set",IF($BD316&lt;TODAY(),"OVERDUE",IF($BD316-TODAY()&lt;=7,"Due within 7 days","Scheduled"))))</f>
        <v>Scheduled</v>
      </c>
      <c r="BG316" s="14" t="n">
        <f aca="true">IF($K316="","",TODAY()-$K316)</f>
        <v>6</v>
      </c>
      <c r="BH316" s="15" t="str">
        <f aca="false">IFERROR(LEFT(IF($B316="","Notes, ","")&amp;IF($K316="","Latest Date Worked, ","")&amp;IF($AY316="","Last Action, ","")&amp;IF(AND(OR(TRIM($A316)="Denied",TRIM($A316)="Rejected"),$BA316=""),"Denial Reason, ","")&amp;IF(AND(TRIM($A316)="Denied",$BB316="",TRIM($BA316)&lt;&gt;"NO DENIAL"),"Denial Code, ","")&amp;IF(AND(TRIM($A316)&lt;&gt;"Finalized",$BD316=""),"Next Review Date, ","")&amp;IF(AND(TRIM($A316)&lt;&gt;"Finalized",$BE316=""),"Next Step, ","")&amp;IF(AND(TRIM($A316)="Finalized",$AV316="",$AR316="",$AT316="",$AX316="",$AW316=""),"CPT outcome, ",""),LEN(IF($B316="","Notes, ","")&amp;IF($K316="","Latest Date Worked, ","")&amp;IF($AY316="","Last Action, ","")&amp;IF(AND(OR(TRIM($A316)="Denied",TRIM($A316)="Rejected"),$BA316=""),"Denial Reason, ","")&amp;IF(AND(TRIM($A316)="Denied",$BB316="",TRIM($BA316)&lt;&gt;"NO DENIAL"),"Denial Code, ","")&amp;IF(AND(TRIM($A316)&lt;&gt;"Finalized",$BD316=""),"Next Review Date, ","")&amp;IF(AND(TRIM($A316)&lt;&gt;"Finalized",$BE316=""),"Next Step, ","")&amp;IF(AND(TRIM($A316)="Finalized",$AV316="",$AR316="",$AT316="",$AX316="",$AW316=""),"CPT outcome, ",""))-2),"")</f>
        <v>Next Step</v>
      </c>
      <c r="BI316" s="15" t="str">
        <f aca="false">IF($BB316="","",IFERROR(INDEX('Denial Codes'!$C:$C,MATCH(LEFT($BB316,FIND(" - ",$BB316&amp;" - ")+2)&amp;"*",'Denial Codes'!$A:$A,0)),""))</f>
        <v>Eligibility / member ID</v>
      </c>
      <c r="BJ316" s="15" t="str">
        <f aca="false">IF($BA316="","",IFERROR(INDEX(Lists!$B:$B,MATCH(TRIM($BA316),Lists!$A:$A,0))&amp;"",""))</f>
        <v>Verify eligibility; correct the member ID/MBI, name or DOB and resubmit.</v>
      </c>
    </row>
    <row r="317" customFormat="false" ht="15" hidden="false" customHeight="false" outlineLevel="0" collapsed="false">
      <c r="A317" s="7" t="s">
        <v>20</v>
      </c>
      <c r="B317" s="7" t="s">
        <v>1385</v>
      </c>
      <c r="C317" s="8" t="n">
        <v>572497474</v>
      </c>
      <c r="D317" s="9" t="n">
        <v>46188</v>
      </c>
      <c r="E317" s="10" t="s">
        <v>1386</v>
      </c>
      <c r="F317" s="11" t="n">
        <v>46177</v>
      </c>
      <c r="G317" s="10" t="s">
        <v>260</v>
      </c>
      <c r="H317" s="10" t="s">
        <v>260</v>
      </c>
      <c r="I317" s="10" t="s">
        <v>1387</v>
      </c>
      <c r="J317" s="10" t="s">
        <v>894</v>
      </c>
      <c r="K317" s="9" t="n">
        <v>46287</v>
      </c>
      <c r="L317" s="12" t="n">
        <f aca="true">IF($O317="","",$O317-TODAY())</f>
        <v>231</v>
      </c>
      <c r="M317" s="12" t="n">
        <f aca="true">IF(AND(TRIM($A317)="Finalized",$K317&lt;&gt;""),"",IF($D317="","",$D317+365-TODAY()))</f>
        <v>242</v>
      </c>
      <c r="N317" s="12" t="n">
        <f aca="true">IF(AND(TRIM($A317)="Finalized",$K317&lt;&gt;""),"",IF($D317="","",$D317+120-TODAY()))</f>
        <v>-3</v>
      </c>
      <c r="O317" s="11" t="n">
        <f aca="false">IF(AND(TRIM($A317)="Finalized",$K317&lt;&gt;""),"",DATE(2027,6,4))</f>
        <v>46542</v>
      </c>
      <c r="P317" s="10" t="s">
        <v>114</v>
      </c>
      <c r="Q317" s="10" t="s">
        <v>115</v>
      </c>
      <c r="R317" s="10" t="s">
        <v>114</v>
      </c>
      <c r="S317" s="10" t="s">
        <v>116</v>
      </c>
      <c r="T317" s="10" t="s">
        <v>117</v>
      </c>
      <c r="U317" s="10" t="s">
        <v>116</v>
      </c>
      <c r="V317" s="10" t="s">
        <v>303</v>
      </c>
      <c r="W317" s="10" t="s">
        <v>132</v>
      </c>
      <c r="X317" s="10" t="s">
        <v>621</v>
      </c>
      <c r="Y317" s="10" t="s">
        <v>591</v>
      </c>
      <c r="Z317" s="10"/>
      <c r="AA317" s="10" t="s">
        <v>197</v>
      </c>
      <c r="AB317" s="8" t="n">
        <f aca="true">IF($F317="","",TODAY()-$F317)</f>
        <v>134</v>
      </c>
      <c r="AC317" s="10" t="s">
        <v>895</v>
      </c>
      <c r="AD317" s="10"/>
      <c r="AE317" s="10"/>
      <c r="AF317" s="10"/>
      <c r="AG317" s="10"/>
      <c r="AH317" s="10"/>
      <c r="AI317" s="10"/>
      <c r="AJ317" s="10" t="s">
        <v>686</v>
      </c>
      <c r="AK317" s="10"/>
      <c r="AL317" s="10"/>
      <c r="AM317" s="10"/>
      <c r="AN317" s="8"/>
      <c r="AO317" s="10" t="s">
        <v>326</v>
      </c>
      <c r="AP317" s="10" t="s">
        <v>327</v>
      </c>
      <c r="AQ317" s="11" t="n">
        <v>46181</v>
      </c>
      <c r="AR317" s="13"/>
      <c r="AS317" s="13"/>
      <c r="AT317" s="13"/>
      <c r="AU317" s="13"/>
      <c r="AV317" s="13" t="n">
        <v>27279</v>
      </c>
      <c r="AW317" s="13"/>
      <c r="AX317" s="13"/>
      <c r="AY317" s="7" t="s">
        <v>233</v>
      </c>
      <c r="AZ317" s="7"/>
      <c r="BA317" s="7" t="s">
        <v>37</v>
      </c>
      <c r="BB317" s="7" t="s">
        <v>890</v>
      </c>
      <c r="BC317" s="7"/>
      <c r="BD317" s="9" t="n">
        <v>46317</v>
      </c>
      <c r="BE317" s="7" t="s">
        <v>1385</v>
      </c>
      <c r="BF317" s="14" t="str">
        <f aca="true">IF(TRIM($A317)="Finalized","Closed",IF($BD317="","No review date set",IF($BD317&lt;TODAY(),"OVERDUE",IF($BD317-TODAY()&lt;=7,"Due within 7 days","Scheduled"))))</f>
        <v>Due within 7 days</v>
      </c>
      <c r="BG317" s="14" t="n">
        <f aca="true">IF($K317="","",TODAY()-$K317)</f>
        <v>24</v>
      </c>
      <c r="BH317" s="15" t="str">
        <f aca="false">IFERROR(LEFT(IF($B317="","Notes, ","")&amp;IF($K317="","Latest Date Worked, ","")&amp;IF($AY317="","Last Action, ","")&amp;IF(AND(OR(TRIM($A317)="Denied",TRIM($A317)="Rejected"),$BA317=""),"Denial Reason, ","")&amp;IF(AND(TRIM($A317)="Denied",$BB317="",TRIM($BA317)&lt;&gt;"NO DENIAL"),"Denial Code, ","")&amp;IF(AND(TRIM($A317)&lt;&gt;"Finalized",$BD317=""),"Next Review Date, ","")&amp;IF(AND(TRIM($A317)&lt;&gt;"Finalized",$BE317=""),"Next Step, ","")&amp;IF(AND(TRIM($A317)="Finalized",$AV317="",$AR317="",$AT317="",$AX317="",$AW317=""),"CPT outcome, ",""),LEN(IF($B317="","Notes, ","")&amp;IF($K317="","Latest Date Worked, ","")&amp;IF($AY317="","Last Action, ","")&amp;IF(AND(OR(TRIM($A317)="Denied",TRIM($A317)="Rejected"),$BA317=""),"Denial Reason, ","")&amp;IF(AND(TRIM($A317)="Denied",$BB317="",TRIM($BA317)&lt;&gt;"NO DENIAL"),"Denial Code, ","")&amp;IF(AND(TRIM($A317)&lt;&gt;"Finalized",$BD317=""),"Next Review Date, ","")&amp;IF(AND(TRIM($A317)&lt;&gt;"Finalized",$BE317=""),"Next Step, ","")&amp;IF(AND(TRIM($A317)="Finalized",$AV317="",$AR317="",$AT317="",$AX317="",$AW317=""),"CPT outcome, ",""))-2),"")</f>
        <v/>
      </c>
      <c r="BI317" s="15" t="str">
        <f aca="false">IF($BB317="","",IFERROR(INDEX('Denial Codes'!$C:$C,MATCH(LEFT($BB317,FIND(" - ",$BB317&amp;" - ")+2)&amp;"*",'Denial Codes'!$A:$A,0)),""))</f>
        <v>Bundled / NCCI edit</v>
      </c>
      <c r="BJ317" s="15" t="str">
        <f aca="false">IF($BA317="","",IFERROR(INDEX(Lists!$B:$B,MATCH(TRIM($BA317),Lists!$A:$A,0))&amp;"",""))</f>
        <v>Check the NCCI pair; if the service was distinct, add 59/XU (or XS) and resubmit; otherwise adjust.</v>
      </c>
    </row>
    <row r="318" customFormat="false" ht="15" hidden="false" customHeight="false" outlineLevel="0" collapsed="false">
      <c r="A318" s="7" t="s">
        <v>17</v>
      </c>
      <c r="B318" s="7" t="s">
        <v>1298</v>
      </c>
      <c r="C318" s="8" t="n">
        <v>574479854</v>
      </c>
      <c r="D318" s="9" t="n">
        <v>46188</v>
      </c>
      <c r="E318" s="10" t="s">
        <v>1388</v>
      </c>
      <c r="F318" s="11" t="n">
        <v>46177</v>
      </c>
      <c r="G318" s="10" t="s">
        <v>112</v>
      </c>
      <c r="H318" s="10" t="s">
        <v>112</v>
      </c>
      <c r="I318" s="10" t="s">
        <v>1389</v>
      </c>
      <c r="J318" s="10" t="s">
        <v>1390</v>
      </c>
      <c r="K318" s="9" t="n">
        <v>46306</v>
      </c>
      <c r="L318" s="12" t="n">
        <f aca="true">IF($O318="","",$O318-TODAY())</f>
        <v>231</v>
      </c>
      <c r="M318" s="12" t="n">
        <f aca="true">IF(AND(TRIM($A318)="Finalized",$K318&lt;&gt;""),"",IF($D318="","",$D318+365-TODAY()))</f>
        <v>242</v>
      </c>
      <c r="N318" s="12" t="n">
        <f aca="true">IF(AND(TRIM($A318)="Finalized",$K318&lt;&gt;""),"",IF($D318="","",$D318+120-TODAY()))</f>
        <v>-3</v>
      </c>
      <c r="O318" s="11" t="n">
        <f aca="false">IF(AND(TRIM($A318)="Finalized",$K318&lt;&gt;""),"",DATE(2027,6,4))</f>
        <v>46542</v>
      </c>
      <c r="P318" s="10" t="s">
        <v>114</v>
      </c>
      <c r="Q318" s="10" t="s">
        <v>115</v>
      </c>
      <c r="R318" s="10" t="s">
        <v>114</v>
      </c>
      <c r="S318" s="10" t="s">
        <v>116</v>
      </c>
      <c r="T318" s="10" t="s">
        <v>117</v>
      </c>
      <c r="U318" s="10" t="s">
        <v>116</v>
      </c>
      <c r="V318" s="10" t="s">
        <v>303</v>
      </c>
      <c r="W318" s="10" t="s">
        <v>119</v>
      </c>
      <c r="X318" s="10" t="s">
        <v>304</v>
      </c>
      <c r="Y318" s="10" t="s">
        <v>436</v>
      </c>
      <c r="Z318" s="10"/>
      <c r="AA318" s="10" t="s">
        <v>197</v>
      </c>
      <c r="AB318" s="8" t="n">
        <f aca="true">IF($F318="","",TODAY()-$F318)</f>
        <v>134</v>
      </c>
      <c r="AC318" s="10" t="s">
        <v>153</v>
      </c>
      <c r="AD318" s="10"/>
      <c r="AE318" s="10"/>
      <c r="AF318" s="10"/>
      <c r="AG318" s="10"/>
      <c r="AH318" s="10"/>
      <c r="AI318" s="10"/>
      <c r="AJ318" s="10" t="s">
        <v>1391</v>
      </c>
      <c r="AK318" s="10"/>
      <c r="AL318" s="10"/>
      <c r="AM318" s="10"/>
      <c r="AN318" s="8"/>
      <c r="AO318" s="10" t="s">
        <v>274</v>
      </c>
      <c r="AP318" s="10" t="s">
        <v>275</v>
      </c>
      <c r="AQ318" s="11" t="n">
        <v>46185</v>
      </c>
      <c r="AR318" s="13"/>
      <c r="AS318" s="13"/>
      <c r="AT318" s="13"/>
      <c r="AU318" s="13"/>
      <c r="AV318" s="13"/>
      <c r="AW318" s="13"/>
      <c r="AX318" s="13" t="s">
        <v>153</v>
      </c>
      <c r="AY318" s="7" t="s">
        <v>159</v>
      </c>
      <c r="AZ318" s="7"/>
      <c r="BA318" s="7" t="s">
        <v>46</v>
      </c>
      <c r="BB318" s="7" t="s">
        <v>1318</v>
      </c>
      <c r="BC318" s="7"/>
      <c r="BD318" s="9" t="n">
        <v>46337</v>
      </c>
      <c r="BE318" s="7"/>
      <c r="BF318" s="14" t="str">
        <f aca="true">IF(TRIM($A318)="Finalized","Closed",IF($BD318="","No review date set",IF($BD318&lt;TODAY(),"OVERDUE",IF($BD318-TODAY()&lt;=7,"Due within 7 days","Scheduled"))))</f>
        <v>Scheduled</v>
      </c>
      <c r="BG318" s="14" t="n">
        <f aca="true">IF($K318="","",TODAY()-$K318)</f>
        <v>5</v>
      </c>
      <c r="BH318" s="15" t="str">
        <f aca="false">IFERROR(LEFT(IF($B318="","Notes, ","")&amp;IF($K318="","Latest Date Worked, ","")&amp;IF($AY318="","Last Action, ","")&amp;IF(AND(OR(TRIM($A318)="Denied",TRIM($A318)="Rejected"),$BA318=""),"Denial Reason, ","")&amp;IF(AND(TRIM($A318)="Denied",$BB318="",TRIM($BA318)&lt;&gt;"NO DENIAL"),"Denial Code, ","")&amp;IF(AND(TRIM($A318)&lt;&gt;"Finalized",$BD318=""),"Next Review Date, ","")&amp;IF(AND(TRIM($A318)&lt;&gt;"Finalized",$BE318=""),"Next Step, ","")&amp;IF(AND(TRIM($A318)="Finalized",$AV318="",$AR318="",$AT318="",$AX318="",$AW318=""),"CPT outcome, ",""),LEN(IF($B318="","Notes, ","")&amp;IF($K318="","Latest Date Worked, ","")&amp;IF($AY318="","Last Action, ","")&amp;IF(AND(OR(TRIM($A318)="Denied",TRIM($A318)="Rejected"),$BA318=""),"Denial Reason, ","")&amp;IF(AND(TRIM($A318)="Denied",$BB318="",TRIM($BA318)&lt;&gt;"NO DENIAL"),"Denial Code, ","")&amp;IF(AND(TRIM($A318)&lt;&gt;"Finalized",$BD318=""),"Next Review Date, ","")&amp;IF(AND(TRIM($A318)&lt;&gt;"Finalized",$BE318=""),"Next Step, ","")&amp;IF(AND(TRIM($A318)="Finalized",$AV318="",$AR318="",$AT318="",$AX318="",$AW318=""),"CPT outcome, ",""))-2),"")</f>
        <v>Next Step</v>
      </c>
      <c r="BI318" s="15" t="str">
        <f aca="false">IF($BB318="","",IFERROR(INDEX('Denial Codes'!$C:$C,MATCH(LEFT($BB318,FIND(" - ",$BB318&amp;" - ")+2)&amp;"*",'Denial Codes'!$A:$A,0)),""))</f>
        <v>Eligibility / member ID</v>
      </c>
      <c r="BJ318" s="15" t="str">
        <f aca="false">IF($BA318="","",IFERROR(INDEX(Lists!$B:$B,MATCH(TRIM($BA318),Lists!$A:$A,0))&amp;"",""))</f>
        <v>Verify eligibility; correct the member ID/MBI, name or DOB and resubmit.</v>
      </c>
    </row>
    <row r="319" customFormat="false" ht="15" hidden="false" customHeight="false" outlineLevel="0" collapsed="false">
      <c r="A319" s="7" t="s">
        <v>18</v>
      </c>
      <c r="B319" s="7"/>
      <c r="C319" s="8" t="n">
        <v>562696935</v>
      </c>
      <c r="D319" s="9" t="n">
        <v>46195</v>
      </c>
      <c r="E319" s="10" t="s">
        <v>1392</v>
      </c>
      <c r="F319" s="11" t="n">
        <v>46177</v>
      </c>
      <c r="G319" s="10" t="s">
        <v>112</v>
      </c>
      <c r="H319" s="10" t="s">
        <v>112</v>
      </c>
      <c r="I319" s="10" t="s">
        <v>227</v>
      </c>
      <c r="J319" s="10" t="s">
        <v>1393</v>
      </c>
      <c r="K319" s="9"/>
      <c r="L319" s="12" t="n">
        <f aca="true">IF($O319="","",$O319-TODAY())</f>
        <v>231</v>
      </c>
      <c r="M319" s="12" t="n">
        <f aca="true">IF(AND(TRIM($A319)="Finalized",$K319&lt;&gt;""),"",IF($D319="","",$D319+365-TODAY()))</f>
        <v>249</v>
      </c>
      <c r="N319" s="12" t="n">
        <f aca="true">IF(AND(TRIM($A319)="Finalized",$K319&lt;&gt;""),"",IF($D319="","",$D319+120-TODAY()))</f>
        <v>4</v>
      </c>
      <c r="O319" s="11" t="n">
        <f aca="false">IF(AND(TRIM($A319)="Finalized",$K319&lt;&gt;""),"",DATE(2027,6,4))</f>
        <v>46542</v>
      </c>
      <c r="P319" s="10" t="s">
        <v>114</v>
      </c>
      <c r="Q319" s="10" t="s">
        <v>115</v>
      </c>
      <c r="R319" s="10" t="s">
        <v>114</v>
      </c>
      <c r="S319" s="10" t="s">
        <v>116</v>
      </c>
      <c r="T319" s="10" t="s">
        <v>117</v>
      </c>
      <c r="U319" s="10" t="s">
        <v>116</v>
      </c>
      <c r="V319" s="10" t="s">
        <v>303</v>
      </c>
      <c r="W319" s="10" t="s">
        <v>119</v>
      </c>
      <c r="X319" s="10" t="s">
        <v>304</v>
      </c>
      <c r="Y319" s="10" t="s">
        <v>1217</v>
      </c>
      <c r="Z319" s="10"/>
      <c r="AA319" s="10" t="s">
        <v>197</v>
      </c>
      <c r="AB319" s="8" t="n">
        <f aca="true">IF($F319="","",TODAY()-$F319)</f>
        <v>134</v>
      </c>
      <c r="AC319" s="10" t="s">
        <v>710</v>
      </c>
      <c r="AD319" s="10" t="s">
        <v>710</v>
      </c>
      <c r="AE319" s="10"/>
      <c r="AF319" s="10"/>
      <c r="AG319" s="10"/>
      <c r="AH319" s="10"/>
      <c r="AI319" s="10"/>
      <c r="AJ319" s="10" t="s">
        <v>1394</v>
      </c>
      <c r="AK319" s="10"/>
      <c r="AL319" s="10"/>
      <c r="AM319" s="10"/>
      <c r="AN319" s="8"/>
      <c r="AO319" s="10" t="s">
        <v>274</v>
      </c>
      <c r="AP319" s="10" t="s">
        <v>275</v>
      </c>
      <c r="AQ319" s="11" t="n">
        <v>46191</v>
      </c>
      <c r="AR319" s="13"/>
      <c r="AS319" s="13"/>
      <c r="AT319" s="13"/>
      <c r="AU319" s="13"/>
      <c r="AV319" s="13"/>
      <c r="AW319" s="13"/>
      <c r="AX319" s="13" t="s">
        <v>1395</v>
      </c>
      <c r="AY319" s="7"/>
      <c r="AZ319" s="7"/>
      <c r="BA319" s="7" t="s">
        <v>46</v>
      </c>
      <c r="BB319" s="7" t="s">
        <v>1318</v>
      </c>
      <c r="BC319" s="7"/>
      <c r="BD319" s="9"/>
      <c r="BE319" s="7" t="s">
        <v>1396</v>
      </c>
      <c r="BF319" s="14" t="str">
        <f aca="true">IF(TRIM($A319)="Finalized","Closed",IF($BD319="","No review date set",IF($BD319&lt;TODAY(),"OVERDUE",IF($BD319-TODAY()&lt;=7,"Due within 7 days","Scheduled"))))</f>
        <v>No review date set</v>
      </c>
      <c r="BG319" s="14" t="str">
        <f aca="true">IF($K319="","",TODAY()-$K319)</f>
        <v/>
      </c>
      <c r="BH319" s="15" t="str">
        <f aca="false">IFERROR(LEFT(IF($B319="","Notes, ","")&amp;IF($K319="","Latest Date Worked, ","")&amp;IF($AY319="","Last Action, ","")&amp;IF(AND(OR(TRIM($A319)="Denied",TRIM($A319)="Rejected"),$BA319=""),"Denial Reason, ","")&amp;IF(AND(TRIM($A319)="Denied",$BB319="",TRIM($BA319)&lt;&gt;"NO DENIAL"),"Denial Code, ","")&amp;IF(AND(TRIM($A319)&lt;&gt;"Finalized",$BD319=""),"Next Review Date, ","")&amp;IF(AND(TRIM($A319)&lt;&gt;"Finalized",$BE319=""),"Next Step, ","")&amp;IF(AND(TRIM($A319)="Finalized",$AV319="",$AR319="",$AT319="",$AX319="",$AW319=""),"CPT outcome, ",""),LEN(IF($B319="","Notes, ","")&amp;IF($K319="","Latest Date Worked, ","")&amp;IF($AY319="","Last Action, ","")&amp;IF(AND(OR(TRIM($A319)="Denied",TRIM($A319)="Rejected"),$BA319=""),"Denial Reason, ","")&amp;IF(AND(TRIM($A319)="Denied",$BB319="",TRIM($BA319)&lt;&gt;"NO DENIAL"),"Denial Code, ","")&amp;IF(AND(TRIM($A319)&lt;&gt;"Finalized",$BD319=""),"Next Review Date, ","")&amp;IF(AND(TRIM($A319)&lt;&gt;"Finalized",$BE319=""),"Next Step, ","")&amp;IF(AND(TRIM($A319)="Finalized",$AV319="",$AR319="",$AT319="",$AX319="",$AW319=""),"CPT outcome, ",""))-2),"")</f>
        <v>Notes, Latest Date Worked, Last Action, Next Review Date</v>
      </c>
      <c r="BI319" s="15" t="str">
        <f aca="false">IF($BB319="","",IFERROR(INDEX('Denial Codes'!$C:$C,MATCH(LEFT($BB319,FIND(" - ",$BB319&amp;" - ")+2)&amp;"*",'Denial Codes'!$A:$A,0)),""))</f>
        <v>Eligibility / member ID</v>
      </c>
      <c r="BJ319" s="15" t="str">
        <f aca="false">IF($BA319="","",IFERROR(INDEX(Lists!$B:$B,MATCH(TRIM($BA319),Lists!$A:$A,0))&amp;"",""))</f>
        <v>Verify eligibility; correct the member ID/MBI, name or DOB and resubmit.</v>
      </c>
    </row>
    <row r="320" customFormat="false" ht="15" hidden="false" customHeight="false" outlineLevel="0" collapsed="false">
      <c r="A320" s="7" t="s">
        <v>17</v>
      </c>
      <c r="B320" s="7" t="s">
        <v>1397</v>
      </c>
      <c r="C320" s="8" t="n">
        <v>562140958</v>
      </c>
      <c r="D320" s="9" t="n">
        <v>46217</v>
      </c>
      <c r="E320" s="10" t="s">
        <v>1398</v>
      </c>
      <c r="F320" s="11" t="n">
        <v>46178</v>
      </c>
      <c r="G320" s="10" t="s">
        <v>163</v>
      </c>
      <c r="H320" s="10" t="s">
        <v>112</v>
      </c>
      <c r="I320" s="10" t="s">
        <v>163</v>
      </c>
      <c r="J320" s="10" t="s">
        <v>228</v>
      </c>
      <c r="K320" s="9" t="n">
        <v>46306</v>
      </c>
      <c r="L320" s="12" t="n">
        <f aca="true">IF($O320="","",$O320-TODAY())</f>
        <v>232</v>
      </c>
      <c r="M320" s="12" t="n">
        <f aca="true">IF(AND(TRIM($A320)="Finalized",$K320&lt;&gt;""),"",IF($D320="","",$D320+365-TODAY()))</f>
        <v>271</v>
      </c>
      <c r="N320" s="12" t="n">
        <f aca="true">IF(AND(TRIM($A320)="Finalized",$K320&lt;&gt;""),"",IF($D320="","",$D320+120-TODAY()))</f>
        <v>26</v>
      </c>
      <c r="O320" s="11" t="n">
        <f aca="false">IF(AND(TRIM($A320)="Finalized",$K320&lt;&gt;""),"",DATE(2027,6,5))</f>
        <v>46543</v>
      </c>
      <c r="P320" s="10" t="s">
        <v>114</v>
      </c>
      <c r="Q320" s="10" t="s">
        <v>115</v>
      </c>
      <c r="R320" s="10" t="s">
        <v>114</v>
      </c>
      <c r="S320" s="10" t="s">
        <v>116</v>
      </c>
      <c r="T320" s="10" t="s">
        <v>117</v>
      </c>
      <c r="U320" s="10" t="s">
        <v>116</v>
      </c>
      <c r="V320" s="10" t="s">
        <v>303</v>
      </c>
      <c r="W320" s="10" t="s">
        <v>119</v>
      </c>
      <c r="X320" s="10" t="s">
        <v>229</v>
      </c>
      <c r="Y320" s="10"/>
      <c r="Z320" s="10"/>
      <c r="AA320" s="10" t="s">
        <v>230</v>
      </c>
      <c r="AB320" s="8" t="n">
        <f aca="true">IF($F320="","",TODAY()-$F320)</f>
        <v>133</v>
      </c>
      <c r="AC320" s="10" t="s">
        <v>122</v>
      </c>
      <c r="AD320" s="10"/>
      <c r="AE320" s="10"/>
      <c r="AF320" s="10"/>
      <c r="AG320" s="10"/>
      <c r="AH320" s="10"/>
      <c r="AI320" s="10"/>
      <c r="AJ320" s="10" t="s">
        <v>123</v>
      </c>
      <c r="AK320" s="10"/>
      <c r="AL320" s="10"/>
      <c r="AM320" s="10"/>
      <c r="AN320" s="8" t="n">
        <v>564721141</v>
      </c>
      <c r="AO320" s="10" t="s">
        <v>1399</v>
      </c>
      <c r="AP320" s="10" t="s">
        <v>1400</v>
      </c>
      <c r="AQ320" s="11" t="n">
        <v>46185</v>
      </c>
      <c r="AR320" s="13"/>
      <c r="AS320" s="13"/>
      <c r="AT320" s="13"/>
      <c r="AU320" s="13"/>
      <c r="AV320" s="13" t="s">
        <v>122</v>
      </c>
      <c r="AW320" s="13"/>
      <c r="AX320" s="13" t="s">
        <v>122</v>
      </c>
      <c r="AY320" s="7" t="s">
        <v>159</v>
      </c>
      <c r="AZ320" s="7"/>
      <c r="BA320" s="7" t="s">
        <v>45</v>
      </c>
      <c r="BB320" s="7" t="s">
        <v>1401</v>
      </c>
      <c r="BC320" s="7"/>
      <c r="BD320" s="9" t="n">
        <v>46337</v>
      </c>
      <c r="BE320" s="7"/>
      <c r="BF320" s="14" t="str">
        <f aca="true">IF(TRIM($A320)="Finalized","Closed",IF($BD320="","No review date set",IF($BD320&lt;TODAY(),"OVERDUE",IF($BD320-TODAY()&lt;=7,"Due within 7 days","Scheduled"))))</f>
        <v>Scheduled</v>
      </c>
      <c r="BG320" s="14" t="n">
        <f aca="true">IF($K320="","",TODAY()-$K320)</f>
        <v>5</v>
      </c>
      <c r="BH320" s="15" t="str">
        <f aca="false">IFERROR(LEFT(IF($B320="","Notes, ","")&amp;IF($K320="","Latest Date Worked, ","")&amp;IF($AY320="","Last Action, ","")&amp;IF(AND(OR(TRIM($A320)="Denied",TRIM($A320)="Rejected"),$BA320=""),"Denial Reason, ","")&amp;IF(AND(TRIM($A320)="Denied",$BB320="",TRIM($BA320)&lt;&gt;"NO DENIAL"),"Denial Code, ","")&amp;IF(AND(TRIM($A320)&lt;&gt;"Finalized",$BD320=""),"Next Review Date, ","")&amp;IF(AND(TRIM($A320)&lt;&gt;"Finalized",$BE320=""),"Next Step, ","")&amp;IF(AND(TRIM($A320)="Finalized",$AV320="",$AR320="",$AT320="",$AX320="",$AW320=""),"CPT outcome, ",""),LEN(IF($B320="","Notes, ","")&amp;IF($K320="","Latest Date Worked, ","")&amp;IF($AY320="","Last Action, ","")&amp;IF(AND(OR(TRIM($A320)="Denied",TRIM($A320)="Rejected"),$BA320=""),"Denial Reason, ","")&amp;IF(AND(TRIM($A320)="Denied",$BB320="",TRIM($BA320)&lt;&gt;"NO DENIAL"),"Denial Code, ","")&amp;IF(AND(TRIM($A320)&lt;&gt;"Finalized",$BD320=""),"Next Review Date, ","")&amp;IF(AND(TRIM($A320)&lt;&gt;"Finalized",$BE320=""),"Next Step, ","")&amp;IF(AND(TRIM($A320)="Finalized",$AV320="",$AR320="",$AT320="",$AX320="",$AW320=""),"CPT outcome, ",""))-2),"")</f>
        <v>Next Step</v>
      </c>
      <c r="BI320" s="15" t="str">
        <f aca="false">IF($BB320="","",IFERROR(INDEX('Denial Codes'!$C:$C,MATCH(LEFT($BB320,FIND(" - ",$BB320&amp;" - ")+2)&amp;"*",'Denial Codes'!$A:$A,0)),""))</f>
        <v>Coding / billing error</v>
      </c>
      <c r="BJ320" s="15" t="str">
        <f aca="false">IF($BA320="","",IFERROR(INDEX(Lists!$B:$B,MATCH(TRIM($BA320),Lists!$A:$A,0))&amp;"",""))</f>
        <v>Get the other insurance and primary EOB, update COB with the payer and bill primary first.</v>
      </c>
    </row>
    <row r="321" customFormat="false" ht="15" hidden="false" customHeight="false" outlineLevel="0" collapsed="false">
      <c r="A321" s="7" t="s">
        <v>16</v>
      </c>
      <c r="B321" s="7" t="s">
        <v>465</v>
      </c>
      <c r="C321" s="8" t="n">
        <v>561646597</v>
      </c>
      <c r="D321" s="9" t="n">
        <v>46300</v>
      </c>
      <c r="E321" s="10" t="s">
        <v>1402</v>
      </c>
      <c r="F321" s="11" t="n">
        <v>46178</v>
      </c>
      <c r="G321" s="10" t="s">
        <v>260</v>
      </c>
      <c r="H321" s="10" t="s">
        <v>260</v>
      </c>
      <c r="I321" s="10" t="s">
        <v>145</v>
      </c>
      <c r="J321" s="10" t="s">
        <v>918</v>
      </c>
      <c r="K321" s="9" t="n">
        <v>46293</v>
      </c>
      <c r="L321" s="12" t="str">
        <f aca="true">IF($O321="","",$O321-TODAY())</f>
        <v/>
      </c>
      <c r="M321" s="12" t="str">
        <f aca="true">IF(AND(TRIM($A321)="Finalized",$K321&lt;&gt;""),"",IF($D321="","",$D321+365-TODAY()))</f>
        <v/>
      </c>
      <c r="N321" s="12" t="str">
        <f aca="true">IF(AND(TRIM($A321)="Finalized",$K321&lt;&gt;""),"",IF($D321="","",$D321+120-TODAY()))</f>
        <v/>
      </c>
      <c r="O321" s="11" t="str">
        <f aca="false">IF(AND(TRIM($A321)="Finalized",$K321&lt;&gt;""),"",DATE(2027,6,5))</f>
        <v/>
      </c>
      <c r="P321" s="10" t="s">
        <v>114</v>
      </c>
      <c r="Q321" s="10" t="s">
        <v>115</v>
      </c>
      <c r="R321" s="10" t="s">
        <v>114</v>
      </c>
      <c r="S321" s="10" t="s">
        <v>116</v>
      </c>
      <c r="T321" s="10" t="s">
        <v>117</v>
      </c>
      <c r="U321" s="10" t="s">
        <v>116</v>
      </c>
      <c r="V321" s="10" t="s">
        <v>303</v>
      </c>
      <c r="W321" s="10" t="s">
        <v>183</v>
      </c>
      <c r="X321" s="10"/>
      <c r="Y321" s="10"/>
      <c r="Z321" s="10"/>
      <c r="AA321" s="10" t="s">
        <v>197</v>
      </c>
      <c r="AB321" s="8" t="n">
        <f aca="true">IF($F321="","",TODAY()-$F321)</f>
        <v>133</v>
      </c>
      <c r="AC321" s="10" t="s">
        <v>185</v>
      </c>
      <c r="AD321" s="10"/>
      <c r="AE321" s="10"/>
      <c r="AF321" s="10"/>
      <c r="AG321" s="10"/>
      <c r="AH321" s="10"/>
      <c r="AI321" s="10"/>
      <c r="AJ321" s="10" t="s">
        <v>1403</v>
      </c>
      <c r="AK321" s="10"/>
      <c r="AL321" s="10"/>
      <c r="AM321" s="10"/>
      <c r="AN321" s="8"/>
      <c r="AO321" s="10" t="s">
        <v>506</v>
      </c>
      <c r="AP321" s="10" t="s">
        <v>188</v>
      </c>
      <c r="AQ321" s="11" t="n">
        <v>46274</v>
      </c>
      <c r="AR321" s="13"/>
      <c r="AS321" s="13"/>
      <c r="AT321" s="13"/>
      <c r="AU321" s="13"/>
      <c r="AV321" s="13" t="s">
        <v>185</v>
      </c>
      <c r="AW321" s="13"/>
      <c r="AX321" s="13"/>
      <c r="AY321" s="7" t="s">
        <v>363</v>
      </c>
      <c r="AZ321" s="7"/>
      <c r="BA321" s="7" t="s">
        <v>54</v>
      </c>
      <c r="BB321" s="7"/>
      <c r="BC321" s="7"/>
      <c r="BD321" s="9"/>
      <c r="BE321" s="7"/>
      <c r="BF321" s="14" t="str">
        <f aca="true">IF(TRIM($A321)="Finalized","Closed",IF($BD321="","No review date set",IF($BD321&lt;TODAY(),"OVERDUE",IF($BD321-TODAY()&lt;=7,"Due within 7 days","Scheduled"))))</f>
        <v>Closed</v>
      </c>
      <c r="BG321" s="14" t="n">
        <f aca="true">IF($K321="","",TODAY()-$K321)</f>
        <v>18</v>
      </c>
      <c r="BH321" s="15" t="str">
        <f aca="false">IFERROR(LEFT(IF($B321="","Notes, ","")&amp;IF($K321="","Latest Date Worked, ","")&amp;IF($AY321="","Last Action, ","")&amp;IF(AND(OR(TRIM($A321)="Denied",TRIM($A321)="Rejected"),$BA321=""),"Denial Reason, ","")&amp;IF(AND(TRIM($A321)="Denied",$BB321="",TRIM($BA321)&lt;&gt;"NO DENIAL"),"Denial Code, ","")&amp;IF(AND(TRIM($A321)&lt;&gt;"Finalized",$BD321=""),"Next Review Date, ","")&amp;IF(AND(TRIM($A321)&lt;&gt;"Finalized",$BE321=""),"Next Step, ","")&amp;IF(AND(TRIM($A321)="Finalized",$AV321="",$AR321="",$AT321="",$AX321="",$AW321=""),"CPT outcome, ",""),LEN(IF($B321="","Notes, ","")&amp;IF($K321="","Latest Date Worked, ","")&amp;IF($AY321="","Last Action, ","")&amp;IF(AND(OR(TRIM($A321)="Denied",TRIM($A321)="Rejected"),$BA321=""),"Denial Reason, ","")&amp;IF(AND(TRIM($A321)="Denied",$BB321="",TRIM($BA321)&lt;&gt;"NO DENIAL"),"Denial Code, ","")&amp;IF(AND(TRIM($A321)&lt;&gt;"Finalized",$BD321=""),"Next Review Date, ","")&amp;IF(AND(TRIM($A321)&lt;&gt;"Finalized",$BE321=""),"Next Step, ","")&amp;IF(AND(TRIM($A321)="Finalized",$AV321="",$AR321="",$AT321="",$AX321="",$AW321=""),"CPT outcome, ",""))-2),"")</f>
        <v/>
      </c>
      <c r="BI321" s="15" t="str">
        <f aca="false">IF($BB321="","",IFERROR(INDEX('Denial Codes'!$C:$C,MATCH(LEFT($BB321,FIND(" - ",$BB321&amp;" - ")+2)&amp;"*",'Denial Codes'!$A:$A,0)),""))</f>
        <v/>
      </c>
      <c r="BJ321" s="15" t="str">
        <f aca="false">IF($BA321="","",IFERROR(INDEX(Lists!$B:$B,MATCH(TRIM($BA321),Lists!$A:$A,0))&amp;"",""))</f>
        <v/>
      </c>
    </row>
    <row r="322" customFormat="false" ht="15" hidden="false" customHeight="false" outlineLevel="0" collapsed="false">
      <c r="A322" s="7" t="s">
        <v>17</v>
      </c>
      <c r="B322" s="7" t="s">
        <v>1298</v>
      </c>
      <c r="C322" s="8" t="n">
        <v>574481102</v>
      </c>
      <c r="D322" s="9" t="n">
        <v>46226</v>
      </c>
      <c r="E322" s="10" t="s">
        <v>1404</v>
      </c>
      <c r="F322" s="11" t="n">
        <v>46182</v>
      </c>
      <c r="G322" s="10" t="s">
        <v>260</v>
      </c>
      <c r="H322" s="10" t="s">
        <v>260</v>
      </c>
      <c r="I322" s="10" t="s">
        <v>1389</v>
      </c>
      <c r="J322" s="10" t="s">
        <v>400</v>
      </c>
      <c r="K322" s="9" t="n">
        <v>46306</v>
      </c>
      <c r="L322" s="12" t="n">
        <f aca="true">IF($O322="","",$O322-TODAY())</f>
        <v>236</v>
      </c>
      <c r="M322" s="12" t="n">
        <f aca="true">IF(AND(TRIM($A322)="Finalized",$K322&lt;&gt;""),"",IF($D322="","",$D322+365-TODAY()))</f>
        <v>280</v>
      </c>
      <c r="N322" s="12" t="n">
        <f aca="true">IF(AND(TRIM($A322)="Finalized",$K322&lt;&gt;""),"",IF($D322="","",$D322+120-TODAY()))</f>
        <v>35</v>
      </c>
      <c r="O322" s="11" t="n">
        <f aca="false">IF(AND(TRIM($A322)="Finalized",$K322&lt;&gt;""),"",DATE(2027,6,9))</f>
        <v>46547</v>
      </c>
      <c r="P322" s="10" t="s">
        <v>114</v>
      </c>
      <c r="Q322" s="10" t="s">
        <v>115</v>
      </c>
      <c r="R322" s="10" t="s">
        <v>114</v>
      </c>
      <c r="S322" s="10" t="s">
        <v>116</v>
      </c>
      <c r="T322" s="10" t="s">
        <v>117</v>
      </c>
      <c r="U322" s="10" t="s">
        <v>116</v>
      </c>
      <c r="V322" s="10" t="s">
        <v>303</v>
      </c>
      <c r="W322" s="10" t="s">
        <v>183</v>
      </c>
      <c r="X322" s="10"/>
      <c r="Y322" s="10"/>
      <c r="Z322" s="10"/>
      <c r="AA322" s="10" t="s">
        <v>197</v>
      </c>
      <c r="AB322" s="8" t="n">
        <f aca="true">IF($F322="","",TODAY()-$F322)</f>
        <v>129</v>
      </c>
      <c r="AC322" s="10" t="s">
        <v>185</v>
      </c>
      <c r="AD322" s="10" t="s">
        <v>184</v>
      </c>
      <c r="AE322" s="10"/>
      <c r="AF322" s="10"/>
      <c r="AG322" s="10"/>
      <c r="AH322" s="10"/>
      <c r="AI322" s="10"/>
      <c r="AJ322" s="10" t="s">
        <v>340</v>
      </c>
      <c r="AK322" s="10"/>
      <c r="AL322" s="10"/>
      <c r="AM322" s="10"/>
      <c r="AN322" s="8"/>
      <c r="AO322" s="10" t="s">
        <v>359</v>
      </c>
      <c r="AP322" s="10" t="s">
        <v>308</v>
      </c>
      <c r="AQ322" s="11" t="n">
        <v>46217</v>
      </c>
      <c r="AR322" s="13"/>
      <c r="AS322" s="13"/>
      <c r="AT322" s="13"/>
      <c r="AU322" s="13"/>
      <c r="AV322" s="13"/>
      <c r="AW322" s="13"/>
      <c r="AX322" s="13" t="s">
        <v>507</v>
      </c>
      <c r="AY322" s="7" t="s">
        <v>159</v>
      </c>
      <c r="AZ322" s="7"/>
      <c r="BA322" s="7" t="s">
        <v>46</v>
      </c>
      <c r="BB322" s="7" t="s">
        <v>1318</v>
      </c>
      <c r="BC322" s="7"/>
      <c r="BD322" s="9" t="n">
        <v>46337</v>
      </c>
      <c r="BE322" s="7"/>
      <c r="BF322" s="14" t="str">
        <f aca="true">IF(TRIM($A322)="Finalized","Closed",IF($BD322="","No review date set",IF($BD322&lt;TODAY(),"OVERDUE",IF($BD322-TODAY()&lt;=7,"Due within 7 days","Scheduled"))))</f>
        <v>Scheduled</v>
      </c>
      <c r="BG322" s="14" t="n">
        <f aca="true">IF($K322="","",TODAY()-$K322)</f>
        <v>5</v>
      </c>
      <c r="BH322" s="15" t="str">
        <f aca="false">IFERROR(LEFT(IF($B322="","Notes, ","")&amp;IF($K322="","Latest Date Worked, ","")&amp;IF($AY322="","Last Action, ","")&amp;IF(AND(OR(TRIM($A322)="Denied",TRIM($A322)="Rejected"),$BA322=""),"Denial Reason, ","")&amp;IF(AND(TRIM($A322)="Denied",$BB322="",TRIM($BA322)&lt;&gt;"NO DENIAL"),"Denial Code, ","")&amp;IF(AND(TRIM($A322)&lt;&gt;"Finalized",$BD322=""),"Next Review Date, ","")&amp;IF(AND(TRIM($A322)&lt;&gt;"Finalized",$BE322=""),"Next Step, ","")&amp;IF(AND(TRIM($A322)="Finalized",$AV322="",$AR322="",$AT322="",$AX322="",$AW322=""),"CPT outcome, ",""),LEN(IF($B322="","Notes, ","")&amp;IF($K322="","Latest Date Worked, ","")&amp;IF($AY322="","Last Action, ","")&amp;IF(AND(OR(TRIM($A322)="Denied",TRIM($A322)="Rejected"),$BA322=""),"Denial Reason, ","")&amp;IF(AND(TRIM($A322)="Denied",$BB322="",TRIM($BA322)&lt;&gt;"NO DENIAL"),"Denial Code, ","")&amp;IF(AND(TRIM($A322)&lt;&gt;"Finalized",$BD322=""),"Next Review Date, ","")&amp;IF(AND(TRIM($A322)&lt;&gt;"Finalized",$BE322=""),"Next Step, ","")&amp;IF(AND(TRIM($A322)="Finalized",$AV322="",$AR322="",$AT322="",$AX322="",$AW322=""),"CPT outcome, ",""))-2),"")</f>
        <v>Next Step</v>
      </c>
      <c r="BI322" s="15" t="str">
        <f aca="false">IF($BB322="","",IFERROR(INDEX('Denial Codes'!$C:$C,MATCH(LEFT($BB322,FIND(" - ",$BB322&amp;" - ")+2)&amp;"*",'Denial Codes'!$A:$A,0)),""))</f>
        <v>Eligibility / member ID</v>
      </c>
      <c r="BJ322" s="15" t="str">
        <f aca="false">IF($BA322="","",IFERROR(INDEX(Lists!$B:$B,MATCH(TRIM($BA322),Lists!$A:$A,0))&amp;"",""))</f>
        <v>Verify eligibility; correct the member ID/MBI, name or DOB and resubmit.</v>
      </c>
    </row>
    <row r="323" customFormat="false" ht="15" hidden="false" customHeight="false" outlineLevel="0" collapsed="false">
      <c r="A323" s="7" t="s">
        <v>17</v>
      </c>
      <c r="B323" s="7" t="s">
        <v>1298</v>
      </c>
      <c r="C323" s="8" t="n">
        <v>574481188</v>
      </c>
      <c r="D323" s="9" t="n">
        <v>46226</v>
      </c>
      <c r="E323" s="10" t="s">
        <v>1405</v>
      </c>
      <c r="F323" s="11" t="n">
        <v>46183</v>
      </c>
      <c r="G323" s="10" t="s">
        <v>260</v>
      </c>
      <c r="H323" s="10" t="s">
        <v>260</v>
      </c>
      <c r="I323" s="10" t="s">
        <v>163</v>
      </c>
      <c r="J323" s="10" t="s">
        <v>209</v>
      </c>
      <c r="K323" s="9" t="n">
        <v>46306</v>
      </c>
      <c r="L323" s="12" t="n">
        <f aca="true">IF($O323="","",$O323-TODAY())</f>
        <v>237</v>
      </c>
      <c r="M323" s="12" t="n">
        <f aca="true">IF(AND(TRIM($A323)="Finalized",$K323&lt;&gt;""),"",IF($D323="","",$D323+365-TODAY()))</f>
        <v>280</v>
      </c>
      <c r="N323" s="12" t="n">
        <f aca="true">IF(AND(TRIM($A323)="Finalized",$K323&lt;&gt;""),"",IF($D323="","",$D323+120-TODAY()))</f>
        <v>35</v>
      </c>
      <c r="O323" s="11" t="n">
        <f aca="false">IF(AND(TRIM($A323)="Finalized",$K323&lt;&gt;""),"",DATE(2027,6,10))</f>
        <v>46548</v>
      </c>
      <c r="P323" s="10" t="s">
        <v>114</v>
      </c>
      <c r="Q323" s="10" t="s">
        <v>115</v>
      </c>
      <c r="R323" s="10" t="s">
        <v>114</v>
      </c>
      <c r="S323" s="10" t="s">
        <v>116</v>
      </c>
      <c r="T323" s="10" t="s">
        <v>117</v>
      </c>
      <c r="U323" s="10" t="s">
        <v>116</v>
      </c>
      <c r="V323" s="10" t="s">
        <v>303</v>
      </c>
      <c r="W323" s="10" t="s">
        <v>183</v>
      </c>
      <c r="X323" s="10"/>
      <c r="Y323" s="10"/>
      <c r="Z323" s="10"/>
      <c r="AA323" s="10" t="s">
        <v>197</v>
      </c>
      <c r="AB323" s="8" t="n">
        <f aca="true">IF($F323="","",TODAY()-$F323)</f>
        <v>128</v>
      </c>
      <c r="AC323" s="10" t="s">
        <v>184</v>
      </c>
      <c r="AD323" s="10" t="s">
        <v>211</v>
      </c>
      <c r="AE323" s="10"/>
      <c r="AF323" s="10"/>
      <c r="AG323" s="10"/>
      <c r="AH323" s="10"/>
      <c r="AI323" s="10"/>
      <c r="AJ323" s="10" t="s">
        <v>380</v>
      </c>
      <c r="AK323" s="10"/>
      <c r="AL323" s="10"/>
      <c r="AM323" s="10"/>
      <c r="AN323" s="8"/>
      <c r="AO323" s="10" t="s">
        <v>201</v>
      </c>
      <c r="AP323" s="10" t="s">
        <v>202</v>
      </c>
      <c r="AQ323" s="11" t="n">
        <v>46217</v>
      </c>
      <c r="AR323" s="13"/>
      <c r="AS323" s="13"/>
      <c r="AT323" s="13"/>
      <c r="AU323" s="13"/>
      <c r="AV323" s="13"/>
      <c r="AW323" s="13"/>
      <c r="AX323" s="13" t="s">
        <v>659</v>
      </c>
      <c r="AY323" s="7" t="s">
        <v>159</v>
      </c>
      <c r="AZ323" s="7"/>
      <c r="BA323" s="7" t="s">
        <v>46</v>
      </c>
      <c r="BB323" s="7" t="s">
        <v>1318</v>
      </c>
      <c r="BC323" s="7"/>
      <c r="BD323" s="9" t="n">
        <v>46337</v>
      </c>
      <c r="BE323" s="7"/>
      <c r="BF323" s="14" t="str">
        <f aca="true">IF(TRIM($A323)="Finalized","Closed",IF($BD323="","No review date set",IF($BD323&lt;TODAY(),"OVERDUE",IF($BD323-TODAY()&lt;=7,"Due within 7 days","Scheduled"))))</f>
        <v>Scheduled</v>
      </c>
      <c r="BG323" s="14" t="n">
        <f aca="true">IF($K323="","",TODAY()-$K323)</f>
        <v>5</v>
      </c>
      <c r="BH323" s="15" t="str">
        <f aca="false">IFERROR(LEFT(IF($B323="","Notes, ","")&amp;IF($K323="","Latest Date Worked, ","")&amp;IF($AY323="","Last Action, ","")&amp;IF(AND(OR(TRIM($A323)="Denied",TRIM($A323)="Rejected"),$BA323=""),"Denial Reason, ","")&amp;IF(AND(TRIM($A323)="Denied",$BB323="",TRIM($BA323)&lt;&gt;"NO DENIAL"),"Denial Code, ","")&amp;IF(AND(TRIM($A323)&lt;&gt;"Finalized",$BD323=""),"Next Review Date, ","")&amp;IF(AND(TRIM($A323)&lt;&gt;"Finalized",$BE323=""),"Next Step, ","")&amp;IF(AND(TRIM($A323)="Finalized",$AV323="",$AR323="",$AT323="",$AX323="",$AW323=""),"CPT outcome, ",""),LEN(IF($B323="","Notes, ","")&amp;IF($K323="","Latest Date Worked, ","")&amp;IF($AY323="","Last Action, ","")&amp;IF(AND(OR(TRIM($A323)="Denied",TRIM($A323)="Rejected"),$BA323=""),"Denial Reason, ","")&amp;IF(AND(TRIM($A323)="Denied",$BB323="",TRIM($BA323)&lt;&gt;"NO DENIAL"),"Denial Code, ","")&amp;IF(AND(TRIM($A323)&lt;&gt;"Finalized",$BD323=""),"Next Review Date, ","")&amp;IF(AND(TRIM($A323)&lt;&gt;"Finalized",$BE323=""),"Next Step, ","")&amp;IF(AND(TRIM($A323)="Finalized",$AV323="",$AR323="",$AT323="",$AX323="",$AW323=""),"CPT outcome, ",""))-2),"")</f>
        <v>Next Step</v>
      </c>
      <c r="BI323" s="15" t="str">
        <f aca="false">IF($BB323="","",IFERROR(INDEX('Denial Codes'!$C:$C,MATCH(LEFT($BB323,FIND(" - ",$BB323&amp;" - ")+2)&amp;"*",'Denial Codes'!$A:$A,0)),""))</f>
        <v>Eligibility / member ID</v>
      </c>
      <c r="BJ323" s="15" t="str">
        <f aca="false">IF($BA323="","",IFERROR(INDEX(Lists!$B:$B,MATCH(TRIM($BA323),Lists!$A:$A,0))&amp;"",""))</f>
        <v>Verify eligibility; correct the member ID/MBI, name or DOB and resubmit.</v>
      </c>
    </row>
    <row r="324" customFormat="false" ht="15" hidden="false" customHeight="false" outlineLevel="0" collapsed="false">
      <c r="A324" s="7" t="s">
        <v>17</v>
      </c>
      <c r="B324" s="7" t="s">
        <v>1406</v>
      </c>
      <c r="C324" s="8" t="n">
        <v>574466870</v>
      </c>
      <c r="D324" s="9" t="n">
        <v>46217</v>
      </c>
      <c r="E324" s="10" t="s">
        <v>1407</v>
      </c>
      <c r="F324" s="11" t="n">
        <v>46188</v>
      </c>
      <c r="G324" s="10" t="s">
        <v>260</v>
      </c>
      <c r="H324" s="10" t="s">
        <v>260</v>
      </c>
      <c r="I324" s="10" t="s">
        <v>1245</v>
      </c>
      <c r="J324" s="10" t="s">
        <v>1222</v>
      </c>
      <c r="K324" s="9" t="n">
        <v>46305</v>
      </c>
      <c r="L324" s="12" t="n">
        <f aca="true">IF($O324="","",$O324-TODAY())</f>
        <v>242</v>
      </c>
      <c r="M324" s="12" t="n">
        <f aca="true">IF(AND(TRIM($A324)="Finalized",$K324&lt;&gt;""),"",IF($D324="","",$D324+365-TODAY()))</f>
        <v>271</v>
      </c>
      <c r="N324" s="12" t="n">
        <f aca="true">IF(AND(TRIM($A324)="Finalized",$K324&lt;&gt;""),"",IF($D324="","",$D324+120-TODAY()))</f>
        <v>26</v>
      </c>
      <c r="O324" s="11" t="n">
        <f aca="false">IF(AND(TRIM($A324)="Finalized",$K324&lt;&gt;""),"",DATE(2027,6,15))</f>
        <v>46553</v>
      </c>
      <c r="P324" s="10" t="s">
        <v>114</v>
      </c>
      <c r="Q324" s="10" t="s">
        <v>115</v>
      </c>
      <c r="R324" s="10" t="s">
        <v>114</v>
      </c>
      <c r="S324" s="10" t="s">
        <v>116</v>
      </c>
      <c r="T324" s="10" t="s">
        <v>117</v>
      </c>
      <c r="U324" s="10" t="s">
        <v>116</v>
      </c>
      <c r="V324" s="10" t="s">
        <v>303</v>
      </c>
      <c r="W324" s="10" t="s">
        <v>132</v>
      </c>
      <c r="X324" s="10"/>
      <c r="Y324" s="10"/>
      <c r="Z324" s="10"/>
      <c r="AA324" s="10" t="s">
        <v>197</v>
      </c>
      <c r="AB324" s="8" t="n">
        <f aca="true">IF($F324="","",TODAY()-$F324)</f>
        <v>123</v>
      </c>
      <c r="AC324" s="10" t="s">
        <v>545</v>
      </c>
      <c r="AD324" s="10"/>
      <c r="AE324" s="10"/>
      <c r="AF324" s="10"/>
      <c r="AG324" s="10"/>
      <c r="AH324" s="10"/>
      <c r="AI324" s="10"/>
      <c r="AJ324" s="10" t="s">
        <v>362</v>
      </c>
      <c r="AK324" s="10" t="s">
        <v>139</v>
      </c>
      <c r="AL324" s="10"/>
      <c r="AM324" s="10"/>
      <c r="AN324" s="8"/>
      <c r="AO324" s="10" t="s">
        <v>546</v>
      </c>
      <c r="AP324" s="10" t="s">
        <v>175</v>
      </c>
      <c r="AQ324" s="11" t="n">
        <v>46190</v>
      </c>
      <c r="AR324" s="13"/>
      <c r="AS324" s="13"/>
      <c r="AT324" s="13"/>
      <c r="AU324" s="13"/>
      <c r="AV324" s="13"/>
      <c r="AW324" s="13"/>
      <c r="AX324" s="13" t="s">
        <v>545</v>
      </c>
      <c r="AY324" s="7" t="s">
        <v>159</v>
      </c>
      <c r="AZ324" s="7"/>
      <c r="BA324" s="7" t="s">
        <v>34</v>
      </c>
      <c r="BB324" s="7"/>
      <c r="BC324" s="7"/>
      <c r="BD324" s="9" t="n">
        <v>46336</v>
      </c>
      <c r="BE324" s="7"/>
      <c r="BF324" s="14" t="str">
        <f aca="true">IF(TRIM($A324)="Finalized","Closed",IF($BD324="","No review date set",IF($BD324&lt;TODAY(),"OVERDUE",IF($BD324-TODAY()&lt;=7,"Due within 7 days","Scheduled"))))</f>
        <v>Scheduled</v>
      </c>
      <c r="BG324" s="14" t="n">
        <f aca="true">IF($K324="","",TODAY()-$K324)</f>
        <v>6</v>
      </c>
      <c r="BH324" s="15" t="str">
        <f aca="false">IFERROR(LEFT(IF($B324="","Notes, ","")&amp;IF($K324="","Latest Date Worked, ","")&amp;IF($AY324="","Last Action, ","")&amp;IF(AND(OR(TRIM($A324)="Denied",TRIM($A324)="Rejected"),$BA324=""),"Denial Reason, ","")&amp;IF(AND(TRIM($A324)="Denied",$BB324="",TRIM($BA324)&lt;&gt;"NO DENIAL"),"Denial Code, ","")&amp;IF(AND(TRIM($A324)&lt;&gt;"Finalized",$BD324=""),"Next Review Date, ","")&amp;IF(AND(TRIM($A324)&lt;&gt;"Finalized",$BE324=""),"Next Step, ","")&amp;IF(AND(TRIM($A324)="Finalized",$AV324="",$AR324="",$AT324="",$AX324="",$AW324=""),"CPT outcome, ",""),LEN(IF($B324="","Notes, ","")&amp;IF($K324="","Latest Date Worked, ","")&amp;IF($AY324="","Last Action, ","")&amp;IF(AND(OR(TRIM($A324)="Denied",TRIM($A324)="Rejected"),$BA324=""),"Denial Reason, ","")&amp;IF(AND(TRIM($A324)="Denied",$BB324="",TRIM($BA324)&lt;&gt;"NO DENIAL"),"Denial Code, ","")&amp;IF(AND(TRIM($A324)&lt;&gt;"Finalized",$BD324=""),"Next Review Date, ","")&amp;IF(AND(TRIM($A324)&lt;&gt;"Finalized",$BE324=""),"Next Step, ","")&amp;IF(AND(TRIM($A324)="Finalized",$AV324="",$AR324="",$AT324="",$AX324="",$AW324=""),"CPT outcome, ",""))-2),"")</f>
        <v>Denial Code, Next Step</v>
      </c>
      <c r="BI324" s="15" t="str">
        <f aca="false">IF($BB324="","",IFERROR(INDEX('Denial Codes'!$C:$C,MATCH(LEFT($BB324,FIND(" - ",$BB324&amp;" - ")+2)&amp;"*",'Denial Codes'!$A:$A,0)),""))</f>
        <v/>
      </c>
      <c r="BJ324" s="15" t="str">
        <f aca="false">IF($BA324="","",IFERROR(INDEX(Lists!$B:$B,MATCH(TRIM($BA324),Lists!$A:$A,0))&amp;"",""))</f>
        <v>Check the portal for an auth; request a retro-auth or file an appeal with the auth number, then resubmit.</v>
      </c>
    </row>
    <row r="325" customFormat="false" ht="15" hidden="false" customHeight="false" outlineLevel="0" collapsed="false">
      <c r="A325" s="7" t="s">
        <v>17</v>
      </c>
      <c r="B325" s="7" t="s">
        <v>1408</v>
      </c>
      <c r="C325" s="8" t="n">
        <v>574464654</v>
      </c>
      <c r="D325" s="9" t="n">
        <v>46202</v>
      </c>
      <c r="E325" s="10" t="s">
        <v>1409</v>
      </c>
      <c r="F325" s="11" t="n">
        <v>46189</v>
      </c>
      <c r="G325" s="10" t="s">
        <v>260</v>
      </c>
      <c r="H325" s="10" t="s">
        <v>260</v>
      </c>
      <c r="I325" s="10" t="s">
        <v>129</v>
      </c>
      <c r="J325" s="10" t="s">
        <v>815</v>
      </c>
      <c r="K325" s="9" t="n">
        <v>46305</v>
      </c>
      <c r="L325" s="12" t="n">
        <f aca="true">IF($O325="","",$O325-TODAY())</f>
        <v>243</v>
      </c>
      <c r="M325" s="12" t="n">
        <f aca="true">IF(AND(TRIM($A325)="Finalized",$K325&lt;&gt;""),"",IF($D325="","",$D325+365-TODAY()))</f>
        <v>256</v>
      </c>
      <c r="N325" s="12" t="n">
        <f aca="true">IF(AND(TRIM($A325)="Finalized",$K325&lt;&gt;""),"",IF($D325="","",$D325+120-TODAY()))</f>
        <v>11</v>
      </c>
      <c r="O325" s="11" t="n">
        <f aca="false">IF(AND(TRIM($A325)="Finalized",$K325&lt;&gt;""),"",DATE(2027,6,16))</f>
        <v>46554</v>
      </c>
      <c r="P325" s="10" t="s">
        <v>114</v>
      </c>
      <c r="Q325" s="10" t="s">
        <v>115</v>
      </c>
      <c r="R325" s="10" t="s">
        <v>114</v>
      </c>
      <c r="S325" s="10" t="s">
        <v>116</v>
      </c>
      <c r="T325" s="10" t="s">
        <v>117</v>
      </c>
      <c r="U325" s="10" t="s">
        <v>116</v>
      </c>
      <c r="V325" s="10" t="s">
        <v>303</v>
      </c>
      <c r="W325" s="10" t="s">
        <v>196</v>
      </c>
      <c r="X325" s="10"/>
      <c r="Y325" s="10"/>
      <c r="Z325" s="10"/>
      <c r="AA325" s="10" t="s">
        <v>197</v>
      </c>
      <c r="AB325" s="8" t="n">
        <f aca="true">IF($F325="","",TODAY()-$F325)</f>
        <v>122</v>
      </c>
      <c r="AC325" s="10" t="s">
        <v>487</v>
      </c>
      <c r="AD325" s="10" t="s">
        <v>198</v>
      </c>
      <c r="AE325" s="10" t="s">
        <v>222</v>
      </c>
      <c r="AF325" s="10"/>
      <c r="AG325" s="10"/>
      <c r="AH325" s="10"/>
      <c r="AI325" s="10"/>
      <c r="AJ325" s="10" t="s">
        <v>1410</v>
      </c>
      <c r="AK325" s="10" t="s">
        <v>223</v>
      </c>
      <c r="AL325" s="10"/>
      <c r="AM325" s="10"/>
      <c r="AN325" s="8"/>
      <c r="AO325" s="10" t="s">
        <v>201</v>
      </c>
      <c r="AP325" s="10" t="s">
        <v>202</v>
      </c>
      <c r="AQ325" s="11" t="n">
        <v>46195</v>
      </c>
      <c r="AR325" s="13"/>
      <c r="AS325" s="13"/>
      <c r="AT325" s="13"/>
      <c r="AU325" s="13"/>
      <c r="AV325" s="13"/>
      <c r="AW325" s="13"/>
      <c r="AX325" s="13" t="s">
        <v>816</v>
      </c>
      <c r="AY325" s="7" t="s">
        <v>159</v>
      </c>
      <c r="AZ325" s="7"/>
      <c r="BA325" s="7" t="s">
        <v>48</v>
      </c>
      <c r="BB325" s="7" t="s">
        <v>269</v>
      </c>
      <c r="BC325" s="7"/>
      <c r="BD325" s="9" t="n">
        <v>46336</v>
      </c>
      <c r="BE325" s="7"/>
      <c r="BF325" s="14" t="str">
        <f aca="true">IF(TRIM($A325)="Finalized","Closed",IF($BD325="","No review date set",IF($BD325&lt;TODAY(),"OVERDUE",IF($BD325-TODAY()&lt;=7,"Due within 7 days","Scheduled"))))</f>
        <v>Scheduled</v>
      </c>
      <c r="BG325" s="14" t="n">
        <f aca="true">IF($K325="","",TODAY()-$K325)</f>
        <v>6</v>
      </c>
      <c r="BH325" s="15" t="str">
        <f aca="false">IFERROR(LEFT(IF($B325="","Notes, ","")&amp;IF($K325="","Latest Date Worked, ","")&amp;IF($AY325="","Last Action, ","")&amp;IF(AND(OR(TRIM($A325)="Denied",TRIM($A325)="Rejected"),$BA325=""),"Denial Reason, ","")&amp;IF(AND(TRIM($A325)="Denied",$BB325="",TRIM($BA325)&lt;&gt;"NO DENIAL"),"Denial Code, ","")&amp;IF(AND(TRIM($A325)&lt;&gt;"Finalized",$BD325=""),"Next Review Date, ","")&amp;IF(AND(TRIM($A325)&lt;&gt;"Finalized",$BE325=""),"Next Step, ","")&amp;IF(AND(TRIM($A325)="Finalized",$AV325="",$AR325="",$AT325="",$AX325="",$AW325=""),"CPT outcome, ",""),LEN(IF($B325="","Notes, ","")&amp;IF($K325="","Latest Date Worked, ","")&amp;IF($AY325="","Last Action, ","")&amp;IF(AND(OR(TRIM($A325)="Denied",TRIM($A325)="Rejected"),$BA325=""),"Denial Reason, ","")&amp;IF(AND(TRIM($A325)="Denied",$BB325="",TRIM($BA325)&lt;&gt;"NO DENIAL"),"Denial Code, ","")&amp;IF(AND(TRIM($A325)&lt;&gt;"Finalized",$BD325=""),"Next Review Date, ","")&amp;IF(AND(TRIM($A325)&lt;&gt;"Finalized",$BE325=""),"Next Step, ","")&amp;IF(AND(TRIM($A325)="Finalized",$AV325="",$AR325="",$AT325="",$AX325="",$AW325=""),"CPT outcome, ",""))-2),"")</f>
        <v>Next Step</v>
      </c>
      <c r="BI325" s="15" t="str">
        <f aca="false">IF($BB325="","",IFERROR(INDEX('Denial Codes'!$C:$C,MATCH(LEFT($BB325,FIND(" - ",$BB325&amp;" - ")+2)&amp;"*",'Denial Codes'!$A:$A,0)),""))</f>
        <v>Referral / referring provider</v>
      </c>
      <c r="BJ325" s="15" t="str">
        <f aca="false">IF($BA325="","",IFERROR(INDEX(Lists!$B:$B,MATCH(TRIM($BA325),Lists!$A:$A,0))&amp;"",""))</f>
        <v>Get a valid referral or correct the referring provider, then resubmit.</v>
      </c>
    </row>
    <row r="326" customFormat="false" ht="15" hidden="false" customHeight="false" outlineLevel="0" collapsed="false">
      <c r="A326" s="7" t="s">
        <v>17</v>
      </c>
      <c r="B326" s="7" t="s">
        <v>1408</v>
      </c>
      <c r="C326" s="8" t="n">
        <v>574464671</v>
      </c>
      <c r="D326" s="9" t="n">
        <v>46212</v>
      </c>
      <c r="E326" s="10" t="s">
        <v>1193</v>
      </c>
      <c r="F326" s="11" t="n">
        <v>46191</v>
      </c>
      <c r="G326" s="10" t="s">
        <v>260</v>
      </c>
      <c r="H326" s="10" t="s">
        <v>260</v>
      </c>
      <c r="I326" s="10" t="s">
        <v>271</v>
      </c>
      <c r="J326" s="10" t="s">
        <v>194</v>
      </c>
      <c r="K326" s="9" t="n">
        <v>46305</v>
      </c>
      <c r="L326" s="12" t="n">
        <f aca="true">IF($O326="","",$O326-TODAY())</f>
        <v>245</v>
      </c>
      <c r="M326" s="12" t="n">
        <f aca="true">IF(AND(TRIM($A326)="Finalized",$K326&lt;&gt;""),"",IF($D326="","",$D326+365-TODAY()))</f>
        <v>266</v>
      </c>
      <c r="N326" s="12" t="n">
        <f aca="true">IF(AND(TRIM($A326)="Finalized",$K326&lt;&gt;""),"",IF($D326="","",$D326+120-TODAY()))</f>
        <v>21</v>
      </c>
      <c r="O326" s="11" t="n">
        <f aca="false">IF(AND(TRIM($A326)="Finalized",$K326&lt;&gt;""),"",DATE(2027,6,18))</f>
        <v>46556</v>
      </c>
      <c r="P326" s="10" t="s">
        <v>114</v>
      </c>
      <c r="Q326" s="10" t="s">
        <v>115</v>
      </c>
      <c r="R326" s="10" t="s">
        <v>114</v>
      </c>
      <c r="S326" s="10" t="s">
        <v>116</v>
      </c>
      <c r="T326" s="10" t="s">
        <v>117</v>
      </c>
      <c r="U326" s="10" t="s">
        <v>116</v>
      </c>
      <c r="V326" s="10" t="s">
        <v>303</v>
      </c>
      <c r="W326" s="10" t="s">
        <v>196</v>
      </c>
      <c r="X326" s="10"/>
      <c r="Y326" s="10"/>
      <c r="Z326" s="10"/>
      <c r="AA326" s="10" t="s">
        <v>197</v>
      </c>
      <c r="AB326" s="8" t="n">
        <f aca="true">IF($F326="","",TODAY()-$F326)</f>
        <v>120</v>
      </c>
      <c r="AC326" s="10" t="s">
        <v>198</v>
      </c>
      <c r="AD326" s="10"/>
      <c r="AE326" s="10"/>
      <c r="AF326" s="10"/>
      <c r="AG326" s="10"/>
      <c r="AH326" s="10"/>
      <c r="AI326" s="10"/>
      <c r="AJ326" s="10" t="s">
        <v>1411</v>
      </c>
      <c r="AK326" s="10" t="s">
        <v>267</v>
      </c>
      <c r="AL326" s="10" t="s">
        <v>444</v>
      </c>
      <c r="AM326" s="10"/>
      <c r="AN326" s="8"/>
      <c r="AO326" s="10" t="s">
        <v>213</v>
      </c>
      <c r="AP326" s="10" t="s">
        <v>224</v>
      </c>
      <c r="AQ326" s="11" t="n">
        <v>46204</v>
      </c>
      <c r="AR326" s="13"/>
      <c r="AS326" s="13"/>
      <c r="AT326" s="13"/>
      <c r="AU326" s="13"/>
      <c r="AV326" s="13"/>
      <c r="AW326" s="13"/>
      <c r="AX326" s="13" t="n">
        <v>93970</v>
      </c>
      <c r="AY326" s="7" t="s">
        <v>159</v>
      </c>
      <c r="AZ326" s="7"/>
      <c r="BA326" s="7" t="s">
        <v>48</v>
      </c>
      <c r="BB326" s="7" t="s">
        <v>269</v>
      </c>
      <c r="BC326" s="7"/>
      <c r="BD326" s="9" t="n">
        <v>46336</v>
      </c>
      <c r="BE326" s="7"/>
      <c r="BF326" s="14" t="str">
        <f aca="true">IF(TRIM($A326)="Finalized","Closed",IF($BD326="","No review date set",IF($BD326&lt;TODAY(),"OVERDUE",IF($BD326-TODAY()&lt;=7,"Due within 7 days","Scheduled"))))</f>
        <v>Scheduled</v>
      </c>
      <c r="BG326" s="14" t="n">
        <f aca="true">IF($K326="","",TODAY()-$K326)</f>
        <v>6</v>
      </c>
      <c r="BH326" s="15" t="str">
        <f aca="false">IFERROR(LEFT(IF($B326="","Notes, ","")&amp;IF($K326="","Latest Date Worked, ","")&amp;IF($AY326="","Last Action, ","")&amp;IF(AND(OR(TRIM($A326)="Denied",TRIM($A326)="Rejected"),$BA326=""),"Denial Reason, ","")&amp;IF(AND(TRIM($A326)="Denied",$BB326="",TRIM($BA326)&lt;&gt;"NO DENIAL"),"Denial Code, ","")&amp;IF(AND(TRIM($A326)&lt;&gt;"Finalized",$BD326=""),"Next Review Date, ","")&amp;IF(AND(TRIM($A326)&lt;&gt;"Finalized",$BE326=""),"Next Step, ","")&amp;IF(AND(TRIM($A326)="Finalized",$AV326="",$AR326="",$AT326="",$AX326="",$AW326=""),"CPT outcome, ",""),LEN(IF($B326="","Notes, ","")&amp;IF($K326="","Latest Date Worked, ","")&amp;IF($AY326="","Last Action, ","")&amp;IF(AND(OR(TRIM($A326)="Denied",TRIM($A326)="Rejected"),$BA326=""),"Denial Reason, ","")&amp;IF(AND(TRIM($A326)="Denied",$BB326="",TRIM($BA326)&lt;&gt;"NO DENIAL"),"Denial Code, ","")&amp;IF(AND(TRIM($A326)&lt;&gt;"Finalized",$BD326=""),"Next Review Date, ","")&amp;IF(AND(TRIM($A326)&lt;&gt;"Finalized",$BE326=""),"Next Step, ","")&amp;IF(AND(TRIM($A326)="Finalized",$AV326="",$AR326="",$AT326="",$AX326="",$AW326=""),"CPT outcome, ",""))-2),"")</f>
        <v>Next Step</v>
      </c>
      <c r="BI326" s="15" t="str">
        <f aca="false">IF($BB326="","",IFERROR(INDEX('Denial Codes'!$C:$C,MATCH(LEFT($BB326,FIND(" - ",$BB326&amp;" - ")+2)&amp;"*",'Denial Codes'!$A:$A,0)),""))</f>
        <v>Referral / referring provider</v>
      </c>
      <c r="BJ326" s="15" t="str">
        <f aca="false">IF($BA326="","",IFERROR(INDEX(Lists!$B:$B,MATCH(TRIM($BA326),Lists!$A:$A,0))&amp;"",""))</f>
        <v>Get a valid referral or correct the referring provider, then resubmit.</v>
      </c>
    </row>
    <row r="327" customFormat="false" ht="15" hidden="false" customHeight="false" outlineLevel="0" collapsed="false">
      <c r="A327" s="7" t="s">
        <v>17</v>
      </c>
      <c r="B327" s="7" t="s">
        <v>1298</v>
      </c>
      <c r="C327" s="8" t="n">
        <v>574466946</v>
      </c>
      <c r="D327" s="9" t="n">
        <v>46218</v>
      </c>
      <c r="E327" s="10" t="s">
        <v>1412</v>
      </c>
      <c r="F327" s="11" t="n">
        <v>46191</v>
      </c>
      <c r="G327" s="10" t="s">
        <v>260</v>
      </c>
      <c r="H327" s="10" t="s">
        <v>260</v>
      </c>
      <c r="I327" s="10" t="s">
        <v>243</v>
      </c>
      <c r="J327" s="10" t="s">
        <v>894</v>
      </c>
      <c r="K327" s="9" t="n">
        <v>46305</v>
      </c>
      <c r="L327" s="12" t="n">
        <f aca="true">IF($O327="","",$O327-TODAY())</f>
        <v>245</v>
      </c>
      <c r="M327" s="12" t="n">
        <f aca="true">IF(AND(TRIM($A327)="Finalized",$K327&lt;&gt;""),"",IF($D327="","",$D327+365-TODAY()))</f>
        <v>272</v>
      </c>
      <c r="N327" s="12" t="n">
        <f aca="true">IF(AND(TRIM($A327)="Finalized",$K327&lt;&gt;""),"",IF($D327="","",$D327+120-TODAY()))</f>
        <v>27</v>
      </c>
      <c r="O327" s="11" t="n">
        <f aca="false">IF(AND(TRIM($A327)="Finalized",$K327&lt;&gt;""),"",DATE(2027,6,18))</f>
        <v>46556</v>
      </c>
      <c r="P327" s="10" t="s">
        <v>114</v>
      </c>
      <c r="Q327" s="10" t="s">
        <v>115</v>
      </c>
      <c r="R327" s="10" t="s">
        <v>114</v>
      </c>
      <c r="S327" s="10" t="s">
        <v>116</v>
      </c>
      <c r="T327" s="10" t="s">
        <v>117</v>
      </c>
      <c r="U327" s="10" t="s">
        <v>116</v>
      </c>
      <c r="V327" s="10" t="s">
        <v>303</v>
      </c>
      <c r="W327" s="10" t="s">
        <v>132</v>
      </c>
      <c r="X327" s="10" t="s">
        <v>621</v>
      </c>
      <c r="Y327" s="10"/>
      <c r="Z327" s="10"/>
      <c r="AA327" s="10" t="s">
        <v>197</v>
      </c>
      <c r="AB327" s="8" t="n">
        <f aca="true">IF($F327="","",TODAY()-$F327)</f>
        <v>120</v>
      </c>
      <c r="AC327" s="10" t="s">
        <v>895</v>
      </c>
      <c r="AD327" s="10"/>
      <c r="AE327" s="10"/>
      <c r="AF327" s="10"/>
      <c r="AG327" s="10"/>
      <c r="AH327" s="10"/>
      <c r="AI327" s="10"/>
      <c r="AJ327" s="10" t="s">
        <v>686</v>
      </c>
      <c r="AK327" s="10"/>
      <c r="AL327" s="10"/>
      <c r="AM327" s="10"/>
      <c r="AN327" s="8"/>
      <c r="AO327" s="10" t="s">
        <v>341</v>
      </c>
      <c r="AP327" s="10" t="s">
        <v>175</v>
      </c>
      <c r="AQ327" s="11" t="n">
        <v>46210</v>
      </c>
      <c r="AR327" s="13"/>
      <c r="AS327" s="13"/>
      <c r="AT327" s="13"/>
      <c r="AU327" s="13"/>
      <c r="AV327" s="13"/>
      <c r="AW327" s="13"/>
      <c r="AX327" s="13"/>
      <c r="AY327" s="7" t="s">
        <v>159</v>
      </c>
      <c r="AZ327" s="7"/>
      <c r="BA327" s="7" t="s">
        <v>46</v>
      </c>
      <c r="BB327" s="7"/>
      <c r="BC327" s="7"/>
      <c r="BD327" s="9" t="n">
        <v>46336</v>
      </c>
      <c r="BE327" s="7"/>
      <c r="BF327" s="14" t="str">
        <f aca="true">IF(TRIM($A327)="Finalized","Closed",IF($BD327="","No review date set",IF($BD327&lt;TODAY(),"OVERDUE",IF($BD327-TODAY()&lt;=7,"Due within 7 days","Scheduled"))))</f>
        <v>Scheduled</v>
      </c>
      <c r="BG327" s="14" t="n">
        <f aca="true">IF($K327="","",TODAY()-$K327)</f>
        <v>6</v>
      </c>
      <c r="BH327" s="15" t="str">
        <f aca="false">IFERROR(LEFT(IF($B327="","Notes, ","")&amp;IF($K327="","Latest Date Worked, ","")&amp;IF($AY327="","Last Action, ","")&amp;IF(AND(OR(TRIM($A327)="Denied",TRIM($A327)="Rejected"),$BA327=""),"Denial Reason, ","")&amp;IF(AND(TRIM($A327)="Denied",$BB327="",TRIM($BA327)&lt;&gt;"NO DENIAL"),"Denial Code, ","")&amp;IF(AND(TRIM($A327)&lt;&gt;"Finalized",$BD327=""),"Next Review Date, ","")&amp;IF(AND(TRIM($A327)&lt;&gt;"Finalized",$BE327=""),"Next Step, ","")&amp;IF(AND(TRIM($A327)="Finalized",$AV327="",$AR327="",$AT327="",$AX327="",$AW327=""),"CPT outcome, ",""),LEN(IF($B327="","Notes, ","")&amp;IF($K327="","Latest Date Worked, ","")&amp;IF($AY327="","Last Action, ","")&amp;IF(AND(OR(TRIM($A327)="Denied",TRIM($A327)="Rejected"),$BA327=""),"Denial Reason, ","")&amp;IF(AND(TRIM($A327)="Denied",$BB327="",TRIM($BA327)&lt;&gt;"NO DENIAL"),"Denial Code, ","")&amp;IF(AND(TRIM($A327)&lt;&gt;"Finalized",$BD327=""),"Next Review Date, ","")&amp;IF(AND(TRIM($A327)&lt;&gt;"Finalized",$BE327=""),"Next Step, ","")&amp;IF(AND(TRIM($A327)="Finalized",$AV327="",$AR327="",$AT327="",$AX327="",$AW327=""),"CPT outcome, ",""))-2),"")</f>
        <v>Denial Code, Next Step</v>
      </c>
      <c r="BI327" s="15" t="str">
        <f aca="false">IF($BB327="","",IFERROR(INDEX('Denial Codes'!$C:$C,MATCH(LEFT($BB327,FIND(" - ",$BB327&amp;" - ")+2)&amp;"*",'Denial Codes'!$A:$A,0)),""))</f>
        <v/>
      </c>
      <c r="BJ327" s="15" t="str">
        <f aca="false">IF($BA327="","",IFERROR(INDEX(Lists!$B:$B,MATCH(TRIM($BA327),Lists!$A:$A,0))&amp;"",""))</f>
        <v>Verify eligibility; correct the member ID/MBI, name or DOB and resubmit.</v>
      </c>
    </row>
    <row r="328" customFormat="false" ht="15" hidden="false" customHeight="false" outlineLevel="0" collapsed="false">
      <c r="A328" s="7" t="s">
        <v>17</v>
      </c>
      <c r="B328" s="7" t="s">
        <v>1298</v>
      </c>
      <c r="C328" s="8" t="n">
        <v>574481284</v>
      </c>
      <c r="D328" s="9" t="n">
        <v>46225</v>
      </c>
      <c r="E328" s="10" t="s">
        <v>1263</v>
      </c>
      <c r="F328" s="11" t="n">
        <v>46192</v>
      </c>
      <c r="G328" s="10" t="s">
        <v>260</v>
      </c>
      <c r="H328" s="10" t="s">
        <v>260</v>
      </c>
      <c r="I328" s="10" t="s">
        <v>1264</v>
      </c>
      <c r="J328" s="10" t="s">
        <v>209</v>
      </c>
      <c r="K328" s="9" t="n">
        <v>46306</v>
      </c>
      <c r="L328" s="12" t="n">
        <f aca="true">IF($O328="","",$O328-TODAY())</f>
        <v>246</v>
      </c>
      <c r="M328" s="12" t="n">
        <f aca="true">IF(AND(TRIM($A328)="Finalized",$K328&lt;&gt;""),"",IF($D328="","",$D328+365-TODAY()))</f>
        <v>279</v>
      </c>
      <c r="N328" s="12" t="n">
        <f aca="true">IF(AND(TRIM($A328)="Finalized",$K328&lt;&gt;""),"",IF($D328="","",$D328+120-TODAY()))</f>
        <v>34</v>
      </c>
      <c r="O328" s="11" t="n">
        <f aca="false">IF(AND(TRIM($A328)="Finalized",$K328&lt;&gt;""),"",DATE(2027,6,19))</f>
        <v>46557</v>
      </c>
      <c r="P328" s="10" t="s">
        <v>114</v>
      </c>
      <c r="Q328" s="10" t="s">
        <v>115</v>
      </c>
      <c r="R328" s="10" t="s">
        <v>114</v>
      </c>
      <c r="S328" s="10" t="s">
        <v>116</v>
      </c>
      <c r="T328" s="10" t="s">
        <v>117</v>
      </c>
      <c r="U328" s="10" t="s">
        <v>116</v>
      </c>
      <c r="V328" s="10" t="s">
        <v>303</v>
      </c>
      <c r="W328" s="10" t="s">
        <v>183</v>
      </c>
      <c r="X328" s="10"/>
      <c r="Y328" s="10"/>
      <c r="Z328" s="10"/>
      <c r="AA328" s="10" t="s">
        <v>197</v>
      </c>
      <c r="AB328" s="8" t="n">
        <f aca="true">IF($F328="","",TODAY()-$F328)</f>
        <v>119</v>
      </c>
      <c r="AC328" s="10" t="s">
        <v>184</v>
      </c>
      <c r="AD328" s="10" t="s">
        <v>211</v>
      </c>
      <c r="AE328" s="10"/>
      <c r="AF328" s="10"/>
      <c r="AG328" s="10"/>
      <c r="AH328" s="10"/>
      <c r="AI328" s="10"/>
      <c r="AJ328" s="10" t="s">
        <v>186</v>
      </c>
      <c r="AK328" s="10"/>
      <c r="AL328" s="10"/>
      <c r="AM328" s="10"/>
      <c r="AN328" s="8"/>
      <c r="AO328" s="10" t="s">
        <v>255</v>
      </c>
      <c r="AP328" s="10" t="s">
        <v>202</v>
      </c>
      <c r="AQ328" s="11" t="n">
        <v>46217</v>
      </c>
      <c r="AR328" s="13"/>
      <c r="AS328" s="13"/>
      <c r="AT328" s="13"/>
      <c r="AU328" s="13"/>
      <c r="AV328" s="13"/>
      <c r="AW328" s="13"/>
      <c r="AX328" s="13" t="s">
        <v>659</v>
      </c>
      <c r="AY328" s="7" t="s">
        <v>159</v>
      </c>
      <c r="AZ328" s="7"/>
      <c r="BA328" s="7" t="s">
        <v>46</v>
      </c>
      <c r="BB328" s="7" t="s">
        <v>1318</v>
      </c>
      <c r="BC328" s="7"/>
      <c r="BD328" s="9" t="n">
        <v>46337</v>
      </c>
      <c r="BE328" s="7"/>
      <c r="BF328" s="14" t="str">
        <f aca="true">IF(TRIM($A328)="Finalized","Closed",IF($BD328="","No review date set",IF($BD328&lt;TODAY(),"OVERDUE",IF($BD328-TODAY()&lt;=7,"Due within 7 days","Scheduled"))))</f>
        <v>Scheduled</v>
      </c>
      <c r="BG328" s="14" t="n">
        <f aca="true">IF($K328="","",TODAY()-$K328)</f>
        <v>5</v>
      </c>
      <c r="BH328" s="15" t="str">
        <f aca="false">IFERROR(LEFT(IF($B328="","Notes, ","")&amp;IF($K328="","Latest Date Worked, ","")&amp;IF($AY328="","Last Action, ","")&amp;IF(AND(OR(TRIM($A328)="Denied",TRIM($A328)="Rejected"),$BA328=""),"Denial Reason, ","")&amp;IF(AND(TRIM($A328)="Denied",$BB328="",TRIM($BA328)&lt;&gt;"NO DENIAL"),"Denial Code, ","")&amp;IF(AND(TRIM($A328)&lt;&gt;"Finalized",$BD328=""),"Next Review Date, ","")&amp;IF(AND(TRIM($A328)&lt;&gt;"Finalized",$BE328=""),"Next Step, ","")&amp;IF(AND(TRIM($A328)="Finalized",$AV328="",$AR328="",$AT328="",$AX328="",$AW328=""),"CPT outcome, ",""),LEN(IF($B328="","Notes, ","")&amp;IF($K328="","Latest Date Worked, ","")&amp;IF($AY328="","Last Action, ","")&amp;IF(AND(OR(TRIM($A328)="Denied",TRIM($A328)="Rejected"),$BA328=""),"Denial Reason, ","")&amp;IF(AND(TRIM($A328)="Denied",$BB328="",TRIM($BA328)&lt;&gt;"NO DENIAL"),"Denial Code, ","")&amp;IF(AND(TRIM($A328)&lt;&gt;"Finalized",$BD328=""),"Next Review Date, ","")&amp;IF(AND(TRIM($A328)&lt;&gt;"Finalized",$BE328=""),"Next Step, ","")&amp;IF(AND(TRIM($A328)="Finalized",$AV328="",$AR328="",$AT328="",$AX328="",$AW328=""),"CPT outcome, ",""))-2),"")</f>
        <v>Next Step</v>
      </c>
      <c r="BI328" s="15" t="str">
        <f aca="false">IF($BB328="","",IFERROR(INDEX('Denial Codes'!$C:$C,MATCH(LEFT($BB328,FIND(" - ",$BB328&amp;" - ")+2)&amp;"*",'Denial Codes'!$A:$A,0)),""))</f>
        <v>Eligibility / member ID</v>
      </c>
      <c r="BJ328" s="15" t="str">
        <f aca="false">IF($BA328="","",IFERROR(INDEX(Lists!$B:$B,MATCH(TRIM($BA328),Lists!$A:$A,0))&amp;"",""))</f>
        <v>Verify eligibility; correct the member ID/MBI, name or DOB and resubmit.</v>
      </c>
    </row>
    <row r="329" customFormat="false" ht="15" hidden="false" customHeight="false" outlineLevel="0" collapsed="false">
      <c r="A329" s="7" t="s">
        <v>17</v>
      </c>
      <c r="B329" s="7" t="s">
        <v>1298</v>
      </c>
      <c r="C329" s="8" t="n">
        <v>574479803</v>
      </c>
      <c r="D329" s="9" t="n">
        <v>46209</v>
      </c>
      <c r="E329" s="10" t="s">
        <v>1413</v>
      </c>
      <c r="F329" s="11" t="n">
        <v>46197</v>
      </c>
      <c r="G329" s="10" t="s">
        <v>112</v>
      </c>
      <c r="H329" s="10" t="s">
        <v>112</v>
      </c>
      <c r="I329" s="10" t="s">
        <v>129</v>
      </c>
      <c r="J329" s="10" t="s">
        <v>1414</v>
      </c>
      <c r="K329" s="9" t="n">
        <v>46306</v>
      </c>
      <c r="L329" s="12" t="n">
        <f aca="true">IF($O329="","",$O329-TODAY())</f>
        <v>251</v>
      </c>
      <c r="M329" s="12" t="n">
        <f aca="true">IF(AND(TRIM($A329)="Finalized",$K329&lt;&gt;""),"",IF($D329="","",$D329+365-TODAY()))</f>
        <v>263</v>
      </c>
      <c r="N329" s="12" t="n">
        <f aca="true">IF(AND(TRIM($A329)="Finalized",$K329&lt;&gt;""),"",IF($D329="","",$D329+120-TODAY()))</f>
        <v>18</v>
      </c>
      <c r="O329" s="11" t="n">
        <f aca="false">IF(AND(TRIM($A329)="Finalized",$K329&lt;&gt;""),"",DATE(2027,6,24))</f>
        <v>46562</v>
      </c>
      <c r="P329" s="10" t="s">
        <v>114</v>
      </c>
      <c r="Q329" s="10" t="s">
        <v>115</v>
      </c>
      <c r="R329" s="10" t="s">
        <v>114</v>
      </c>
      <c r="S329" s="10" t="s">
        <v>116</v>
      </c>
      <c r="T329" s="10" t="s">
        <v>117</v>
      </c>
      <c r="U329" s="10" t="s">
        <v>116</v>
      </c>
      <c r="V329" s="10" t="s">
        <v>303</v>
      </c>
      <c r="W329" s="10" t="s">
        <v>119</v>
      </c>
      <c r="X329" s="10" t="s">
        <v>304</v>
      </c>
      <c r="Y329" s="10"/>
      <c r="Z329" s="10"/>
      <c r="AA329" s="10" t="s">
        <v>197</v>
      </c>
      <c r="AB329" s="8" t="n">
        <f aca="true">IF($F329="","",TODAY()-$F329)</f>
        <v>114</v>
      </c>
      <c r="AC329" s="10" t="s">
        <v>1415</v>
      </c>
      <c r="AD329" s="10"/>
      <c r="AE329" s="10"/>
      <c r="AF329" s="10"/>
      <c r="AG329" s="10"/>
      <c r="AH329" s="10"/>
      <c r="AI329" s="10"/>
      <c r="AJ329" s="10" t="s">
        <v>614</v>
      </c>
      <c r="AK329" s="10" t="s">
        <v>312</v>
      </c>
      <c r="AL329" s="10"/>
      <c r="AM329" s="10"/>
      <c r="AN329" s="8"/>
      <c r="AO329" s="10" t="s">
        <v>1399</v>
      </c>
      <c r="AP329" s="10" t="s">
        <v>1400</v>
      </c>
      <c r="AQ329" s="11" t="n">
        <v>46204</v>
      </c>
      <c r="AR329" s="13"/>
      <c r="AS329" s="13"/>
      <c r="AT329" s="13"/>
      <c r="AU329" s="13"/>
      <c r="AV329" s="13"/>
      <c r="AW329" s="13"/>
      <c r="AX329" s="13" t="s">
        <v>1415</v>
      </c>
      <c r="AY329" s="7" t="s">
        <v>159</v>
      </c>
      <c r="AZ329" s="7"/>
      <c r="BA329" s="7" t="s">
        <v>46</v>
      </c>
      <c r="BB329" s="7" t="s">
        <v>1318</v>
      </c>
      <c r="BC329" s="7"/>
      <c r="BD329" s="9" t="n">
        <v>46337</v>
      </c>
      <c r="BE329" s="7"/>
      <c r="BF329" s="14" t="str">
        <f aca="true">IF(TRIM($A329)="Finalized","Closed",IF($BD329="","No review date set",IF($BD329&lt;TODAY(),"OVERDUE",IF($BD329-TODAY()&lt;=7,"Due within 7 days","Scheduled"))))</f>
        <v>Scheduled</v>
      </c>
      <c r="BG329" s="14" t="n">
        <f aca="true">IF($K329="","",TODAY()-$K329)</f>
        <v>5</v>
      </c>
      <c r="BH329" s="15" t="str">
        <f aca="false">IFERROR(LEFT(IF($B329="","Notes, ","")&amp;IF($K329="","Latest Date Worked, ","")&amp;IF($AY329="","Last Action, ","")&amp;IF(AND(OR(TRIM($A329)="Denied",TRIM($A329)="Rejected"),$BA329=""),"Denial Reason, ","")&amp;IF(AND(TRIM($A329)="Denied",$BB329="",TRIM($BA329)&lt;&gt;"NO DENIAL"),"Denial Code, ","")&amp;IF(AND(TRIM($A329)&lt;&gt;"Finalized",$BD329=""),"Next Review Date, ","")&amp;IF(AND(TRIM($A329)&lt;&gt;"Finalized",$BE329=""),"Next Step, ","")&amp;IF(AND(TRIM($A329)="Finalized",$AV329="",$AR329="",$AT329="",$AX329="",$AW329=""),"CPT outcome, ",""),LEN(IF($B329="","Notes, ","")&amp;IF($K329="","Latest Date Worked, ","")&amp;IF($AY329="","Last Action, ","")&amp;IF(AND(OR(TRIM($A329)="Denied",TRIM($A329)="Rejected"),$BA329=""),"Denial Reason, ","")&amp;IF(AND(TRIM($A329)="Denied",$BB329="",TRIM($BA329)&lt;&gt;"NO DENIAL"),"Denial Code, ","")&amp;IF(AND(TRIM($A329)&lt;&gt;"Finalized",$BD329=""),"Next Review Date, ","")&amp;IF(AND(TRIM($A329)&lt;&gt;"Finalized",$BE329=""),"Next Step, ","")&amp;IF(AND(TRIM($A329)="Finalized",$AV329="",$AR329="",$AT329="",$AX329="",$AW329=""),"CPT outcome, ",""))-2),"")</f>
        <v>Next Step</v>
      </c>
      <c r="BI329" s="15" t="str">
        <f aca="false">IF($BB329="","",IFERROR(INDEX('Denial Codes'!$C:$C,MATCH(LEFT($BB329,FIND(" - ",$BB329&amp;" - ")+2)&amp;"*",'Denial Codes'!$A:$A,0)),""))</f>
        <v>Eligibility / member ID</v>
      </c>
      <c r="BJ329" s="15" t="str">
        <f aca="false">IF($BA329="","",IFERROR(INDEX(Lists!$B:$B,MATCH(TRIM($BA329),Lists!$A:$A,0))&amp;"",""))</f>
        <v>Verify eligibility; correct the member ID/MBI, name or DOB and resubmit.</v>
      </c>
    </row>
    <row r="330" customFormat="false" ht="15" hidden="false" customHeight="false" outlineLevel="0" collapsed="false">
      <c r="A330" s="7" t="s">
        <v>18</v>
      </c>
      <c r="B330" s="7" t="s">
        <v>1416</v>
      </c>
      <c r="C330" s="8" t="n">
        <v>564112414</v>
      </c>
      <c r="D330" s="9" t="n">
        <v>46252</v>
      </c>
      <c r="E330" s="10" t="s">
        <v>1417</v>
      </c>
      <c r="F330" s="11" t="n">
        <v>46199</v>
      </c>
      <c r="G330" s="10" t="s">
        <v>112</v>
      </c>
      <c r="H330" s="10" t="s">
        <v>112</v>
      </c>
      <c r="I330" s="10" t="s">
        <v>227</v>
      </c>
      <c r="J330" s="10" t="s">
        <v>272</v>
      </c>
      <c r="K330" s="9"/>
      <c r="L330" s="12" t="n">
        <f aca="true">IF($O330="","",$O330-TODAY())</f>
        <v>253</v>
      </c>
      <c r="M330" s="12" t="n">
        <f aca="true">IF(AND(TRIM($A330)="Finalized",$K330&lt;&gt;""),"",IF($D330="","",$D330+365-TODAY()))</f>
        <v>306</v>
      </c>
      <c r="N330" s="12" t="n">
        <f aca="true">IF(AND(TRIM($A330)="Finalized",$K330&lt;&gt;""),"",IF($D330="","",$D330+120-TODAY()))</f>
        <v>61</v>
      </c>
      <c r="O330" s="11" t="n">
        <f aca="false">IF(AND(TRIM($A330)="Finalized",$K330&lt;&gt;""),"",DATE(2027,6,26))</f>
        <v>46564</v>
      </c>
      <c r="P330" s="10" t="s">
        <v>114</v>
      </c>
      <c r="Q330" s="10" t="s">
        <v>115</v>
      </c>
      <c r="R330" s="10" t="s">
        <v>114</v>
      </c>
      <c r="S330" s="10" t="s">
        <v>116</v>
      </c>
      <c r="T330" s="10" t="s">
        <v>117</v>
      </c>
      <c r="U330" s="10" t="s">
        <v>116</v>
      </c>
      <c r="V330" s="10" t="s">
        <v>303</v>
      </c>
      <c r="W330" s="10" t="s">
        <v>119</v>
      </c>
      <c r="X330" s="10" t="s">
        <v>120</v>
      </c>
      <c r="Y330" s="10"/>
      <c r="Z330" s="10"/>
      <c r="AA330" s="10" t="s">
        <v>121</v>
      </c>
      <c r="AB330" s="8" t="n">
        <f aca="true">IF($F330="","",TODAY()-$F330)</f>
        <v>112</v>
      </c>
      <c r="AC330" s="10" t="s">
        <v>273</v>
      </c>
      <c r="AD330" s="10"/>
      <c r="AE330" s="10"/>
      <c r="AF330" s="10"/>
      <c r="AG330" s="10"/>
      <c r="AH330" s="10"/>
      <c r="AI330" s="10"/>
      <c r="AJ330" s="10" t="s">
        <v>123</v>
      </c>
      <c r="AK330" s="10" t="s">
        <v>170</v>
      </c>
      <c r="AL330" s="10"/>
      <c r="AM330" s="10"/>
      <c r="AN330" s="8"/>
      <c r="AO330" s="10" t="s">
        <v>125</v>
      </c>
      <c r="AP330" s="10" t="s">
        <v>126</v>
      </c>
      <c r="AQ330" s="11" t="n">
        <v>46205</v>
      </c>
      <c r="AR330" s="13"/>
      <c r="AS330" s="13"/>
      <c r="AT330" s="13"/>
      <c r="AU330" s="13"/>
      <c r="AV330" s="13" t="s">
        <v>273</v>
      </c>
      <c r="AW330" s="13"/>
      <c r="AX330" s="13" t="s">
        <v>273</v>
      </c>
      <c r="AY330" s="7" t="s">
        <v>233</v>
      </c>
      <c r="AZ330" s="7"/>
      <c r="BA330" s="7"/>
      <c r="BB330" s="7"/>
      <c r="BC330" s="7"/>
      <c r="BD330" s="9"/>
      <c r="BE330" s="7" t="s">
        <v>1418</v>
      </c>
      <c r="BF330" s="14" t="str">
        <f aca="true">IF(TRIM($A330)="Finalized","Closed",IF($BD330="","No review date set",IF($BD330&lt;TODAY(),"OVERDUE",IF($BD330-TODAY()&lt;=7,"Due within 7 days","Scheduled"))))</f>
        <v>No review date set</v>
      </c>
      <c r="BG330" s="14" t="str">
        <f aca="true">IF($K330="","",TODAY()-$K330)</f>
        <v/>
      </c>
      <c r="BH330" s="15" t="str">
        <f aca="false">IFERROR(LEFT(IF($B330="","Notes, ","")&amp;IF($K330="","Latest Date Worked, ","")&amp;IF($AY330="","Last Action, ","")&amp;IF(AND(OR(TRIM($A330)="Denied",TRIM($A330)="Rejected"),$BA330=""),"Denial Reason, ","")&amp;IF(AND(TRIM($A330)="Denied",$BB330="",TRIM($BA330)&lt;&gt;"NO DENIAL"),"Denial Code, ","")&amp;IF(AND(TRIM($A330)&lt;&gt;"Finalized",$BD330=""),"Next Review Date, ","")&amp;IF(AND(TRIM($A330)&lt;&gt;"Finalized",$BE330=""),"Next Step, ","")&amp;IF(AND(TRIM($A330)="Finalized",$AV330="",$AR330="",$AT330="",$AX330="",$AW330=""),"CPT outcome, ",""),LEN(IF($B330="","Notes, ","")&amp;IF($K330="","Latest Date Worked, ","")&amp;IF($AY330="","Last Action, ","")&amp;IF(AND(OR(TRIM($A330)="Denied",TRIM($A330)="Rejected"),$BA330=""),"Denial Reason, ","")&amp;IF(AND(TRIM($A330)="Denied",$BB330="",TRIM($BA330)&lt;&gt;"NO DENIAL"),"Denial Code, ","")&amp;IF(AND(TRIM($A330)&lt;&gt;"Finalized",$BD330=""),"Next Review Date, ","")&amp;IF(AND(TRIM($A330)&lt;&gt;"Finalized",$BE330=""),"Next Step, ","")&amp;IF(AND(TRIM($A330)="Finalized",$AV330="",$AR330="",$AT330="",$AX330="",$AW330=""),"CPT outcome, ",""))-2),"")</f>
        <v>Latest Date Worked, Next Review Date</v>
      </c>
      <c r="BI330" s="15" t="str">
        <f aca="false">IF($BB330="","",IFERROR(INDEX('Denial Codes'!$C:$C,MATCH(LEFT($BB330,FIND(" - ",$BB330&amp;" - ")+2)&amp;"*",'Denial Codes'!$A:$A,0)),""))</f>
        <v/>
      </c>
      <c r="BJ330" s="15" t="str">
        <f aca="false">IF($BA330="","",IFERROR(INDEX(Lists!$B:$B,MATCH(TRIM($BA330),Lists!$A:$A,0))&amp;"",""))</f>
        <v/>
      </c>
    </row>
    <row r="331" customFormat="false" ht="15" hidden="false" customHeight="false" outlineLevel="0" collapsed="false">
      <c r="A331" s="7" t="s">
        <v>18</v>
      </c>
      <c r="B331" s="7"/>
      <c r="C331" s="8" t="n">
        <v>563782794</v>
      </c>
      <c r="D331" s="9" t="n">
        <v>46225</v>
      </c>
      <c r="E331" s="10" t="s">
        <v>1419</v>
      </c>
      <c r="F331" s="11" t="n">
        <v>46202</v>
      </c>
      <c r="G331" s="10" t="s">
        <v>260</v>
      </c>
      <c r="H331" s="10" t="s">
        <v>260</v>
      </c>
      <c r="I331" s="10" t="s">
        <v>1420</v>
      </c>
      <c r="J331" s="10" t="s">
        <v>181</v>
      </c>
      <c r="K331" s="9"/>
      <c r="L331" s="12" t="n">
        <f aca="true">IF($O331="","",$O331-TODAY())</f>
        <v>256</v>
      </c>
      <c r="M331" s="12" t="n">
        <f aca="true">IF(AND(TRIM($A331)="Finalized",$K331&lt;&gt;""),"",IF($D331="","",$D331+365-TODAY()))</f>
        <v>279</v>
      </c>
      <c r="N331" s="12" t="n">
        <f aca="true">IF(AND(TRIM($A331)="Finalized",$K331&lt;&gt;""),"",IF($D331="","",$D331+120-TODAY()))</f>
        <v>34</v>
      </c>
      <c r="O331" s="11" t="n">
        <f aca="false">IF(AND(TRIM($A331)="Finalized",$K331&lt;&gt;""),"",DATE(2027,6,29))</f>
        <v>46567</v>
      </c>
      <c r="P331" s="10" t="s">
        <v>114</v>
      </c>
      <c r="Q331" s="10" t="s">
        <v>115</v>
      </c>
      <c r="R331" s="10" t="s">
        <v>114</v>
      </c>
      <c r="S331" s="10" t="s">
        <v>116</v>
      </c>
      <c r="T331" s="10" t="s">
        <v>117</v>
      </c>
      <c r="U331" s="10" t="s">
        <v>116</v>
      </c>
      <c r="V331" s="10" t="s">
        <v>303</v>
      </c>
      <c r="W331" s="10" t="s">
        <v>183</v>
      </c>
      <c r="X331" s="10"/>
      <c r="Y331" s="10"/>
      <c r="Z331" s="10"/>
      <c r="AA331" s="10" t="s">
        <v>197</v>
      </c>
      <c r="AB331" s="8" t="n">
        <f aca="true">IF($F331="","",TODAY()-$F331)</f>
        <v>109</v>
      </c>
      <c r="AC331" s="10" t="s">
        <v>184</v>
      </c>
      <c r="AD331" s="10" t="s">
        <v>185</v>
      </c>
      <c r="AE331" s="10"/>
      <c r="AF331" s="10"/>
      <c r="AG331" s="10"/>
      <c r="AH331" s="10"/>
      <c r="AI331" s="10"/>
      <c r="AJ331" s="10" t="s">
        <v>852</v>
      </c>
      <c r="AK331" s="10"/>
      <c r="AL331" s="10"/>
      <c r="AM331" s="10"/>
      <c r="AN331" s="8"/>
      <c r="AO331" s="10" t="s">
        <v>255</v>
      </c>
      <c r="AP331" s="10" t="s">
        <v>308</v>
      </c>
      <c r="AQ331" s="11" t="n">
        <v>46217</v>
      </c>
      <c r="AR331" s="13"/>
      <c r="AS331" s="13"/>
      <c r="AT331" s="13"/>
      <c r="AU331" s="13"/>
      <c r="AV331" s="13"/>
      <c r="AW331" s="13"/>
      <c r="AX331" s="13"/>
      <c r="AY331" s="7"/>
      <c r="AZ331" s="7"/>
      <c r="BA331" s="7" t="s">
        <v>46</v>
      </c>
      <c r="BB331" s="7" t="s">
        <v>1318</v>
      </c>
      <c r="BC331" s="7"/>
      <c r="BD331" s="9"/>
      <c r="BE331" s="7" t="s">
        <v>1421</v>
      </c>
      <c r="BF331" s="14" t="str">
        <f aca="true">IF(TRIM($A331)="Finalized","Closed",IF($BD331="","No review date set",IF($BD331&lt;TODAY(),"OVERDUE",IF($BD331-TODAY()&lt;=7,"Due within 7 days","Scheduled"))))</f>
        <v>No review date set</v>
      </c>
      <c r="BG331" s="14" t="str">
        <f aca="true">IF($K331="","",TODAY()-$K331)</f>
        <v/>
      </c>
      <c r="BH331" s="15" t="str">
        <f aca="false">IFERROR(LEFT(IF($B331="","Notes, ","")&amp;IF($K331="","Latest Date Worked, ","")&amp;IF($AY331="","Last Action, ","")&amp;IF(AND(OR(TRIM($A331)="Denied",TRIM($A331)="Rejected"),$BA331=""),"Denial Reason, ","")&amp;IF(AND(TRIM($A331)="Denied",$BB331="",TRIM($BA331)&lt;&gt;"NO DENIAL"),"Denial Code, ","")&amp;IF(AND(TRIM($A331)&lt;&gt;"Finalized",$BD331=""),"Next Review Date, ","")&amp;IF(AND(TRIM($A331)&lt;&gt;"Finalized",$BE331=""),"Next Step, ","")&amp;IF(AND(TRIM($A331)="Finalized",$AV331="",$AR331="",$AT331="",$AX331="",$AW331=""),"CPT outcome, ",""),LEN(IF($B331="","Notes, ","")&amp;IF($K331="","Latest Date Worked, ","")&amp;IF($AY331="","Last Action, ","")&amp;IF(AND(OR(TRIM($A331)="Denied",TRIM($A331)="Rejected"),$BA331=""),"Denial Reason, ","")&amp;IF(AND(TRIM($A331)="Denied",$BB331="",TRIM($BA331)&lt;&gt;"NO DENIAL"),"Denial Code, ","")&amp;IF(AND(TRIM($A331)&lt;&gt;"Finalized",$BD331=""),"Next Review Date, ","")&amp;IF(AND(TRIM($A331)&lt;&gt;"Finalized",$BE331=""),"Next Step, ","")&amp;IF(AND(TRIM($A331)="Finalized",$AV331="",$AR331="",$AT331="",$AX331="",$AW331=""),"CPT outcome, ",""))-2),"")</f>
        <v>Notes, Latest Date Worked, Last Action, Next Review Date</v>
      </c>
      <c r="BI331" s="15" t="str">
        <f aca="false">IF($BB331="","",IFERROR(INDEX('Denial Codes'!$C:$C,MATCH(LEFT($BB331,FIND(" - ",$BB331&amp;" - ")+2)&amp;"*",'Denial Codes'!$A:$A,0)),""))</f>
        <v>Eligibility / member ID</v>
      </c>
      <c r="BJ331" s="15" t="str">
        <f aca="false">IF($BA331="","",IFERROR(INDEX(Lists!$B:$B,MATCH(TRIM($BA331),Lists!$A:$A,0))&amp;"",""))</f>
        <v>Verify eligibility; correct the member ID/MBI, name or DOB and resubmit.</v>
      </c>
    </row>
    <row r="332" customFormat="false" ht="15" hidden="false" customHeight="false" outlineLevel="0" collapsed="false">
      <c r="A332" s="7" t="s">
        <v>17</v>
      </c>
      <c r="B332" s="7" t="s">
        <v>1422</v>
      </c>
      <c r="C332" s="8" t="n">
        <v>564117213</v>
      </c>
      <c r="D332" s="9" t="n">
        <v>46219</v>
      </c>
      <c r="E332" s="10" t="s">
        <v>1346</v>
      </c>
      <c r="F332" s="11" t="n">
        <v>46202</v>
      </c>
      <c r="G332" s="10" t="s">
        <v>279</v>
      </c>
      <c r="H332" s="10" t="s">
        <v>112</v>
      </c>
      <c r="I332" s="10" t="s">
        <v>279</v>
      </c>
      <c r="J332" s="10" t="s">
        <v>792</v>
      </c>
      <c r="K332" s="9" t="n">
        <v>46306</v>
      </c>
      <c r="L332" s="12" t="n">
        <f aca="true">IF($O332="","",$O332-TODAY())</f>
        <v>256</v>
      </c>
      <c r="M332" s="12" t="n">
        <f aca="true">IF(AND(TRIM($A332)="Finalized",$K332&lt;&gt;""),"",IF($D332="","",$D332+365-TODAY()))</f>
        <v>273</v>
      </c>
      <c r="N332" s="12" t="n">
        <f aca="true">IF(AND(TRIM($A332)="Finalized",$K332&lt;&gt;""),"",IF($D332="","",$D332+120-TODAY()))</f>
        <v>28</v>
      </c>
      <c r="O332" s="11" t="n">
        <f aca="false">IF(AND(TRIM($A332)="Finalized",$K332&lt;&gt;""),"",DATE(2027,6,29))</f>
        <v>46567</v>
      </c>
      <c r="P332" s="10" t="s">
        <v>114</v>
      </c>
      <c r="Q332" s="10" t="s">
        <v>115</v>
      </c>
      <c r="R332" s="10" t="s">
        <v>114</v>
      </c>
      <c r="S332" s="10" t="s">
        <v>116</v>
      </c>
      <c r="T332" s="10" t="s">
        <v>117</v>
      </c>
      <c r="U332" s="10" t="s">
        <v>116</v>
      </c>
      <c r="V332" s="10" t="s">
        <v>303</v>
      </c>
      <c r="W332" s="10" t="s">
        <v>119</v>
      </c>
      <c r="X332" s="10" t="s">
        <v>229</v>
      </c>
      <c r="Y332" s="10"/>
      <c r="Z332" s="10"/>
      <c r="AA332" s="10" t="s">
        <v>793</v>
      </c>
      <c r="AB332" s="8" t="n">
        <f aca="true">IF($F332="","",TODAY()-$F332)</f>
        <v>109</v>
      </c>
      <c r="AC332" s="10" t="s">
        <v>273</v>
      </c>
      <c r="AD332" s="10"/>
      <c r="AE332" s="10"/>
      <c r="AF332" s="10"/>
      <c r="AG332" s="10"/>
      <c r="AH332" s="10"/>
      <c r="AI332" s="10"/>
      <c r="AJ332" s="10" t="s">
        <v>123</v>
      </c>
      <c r="AK332" s="10"/>
      <c r="AL332" s="10"/>
      <c r="AM332" s="10"/>
      <c r="AN332" s="8" t="n">
        <v>567247169</v>
      </c>
      <c r="AO332" s="10" t="s">
        <v>1210</v>
      </c>
      <c r="AP332" s="10" t="s">
        <v>1211</v>
      </c>
      <c r="AQ332" s="11" t="n">
        <v>46205</v>
      </c>
      <c r="AR332" s="13"/>
      <c r="AS332" s="13"/>
      <c r="AT332" s="13"/>
      <c r="AU332" s="13"/>
      <c r="AV332" s="13" t="s">
        <v>273</v>
      </c>
      <c r="AW332" s="13"/>
      <c r="AX332" s="13" t="s">
        <v>273</v>
      </c>
      <c r="AY332" s="7" t="s">
        <v>159</v>
      </c>
      <c r="AZ332" s="7"/>
      <c r="BA332" s="7" t="s">
        <v>47</v>
      </c>
      <c r="BB332" s="7" t="s">
        <v>1423</v>
      </c>
      <c r="BC332" s="7"/>
      <c r="BD332" s="9" t="n">
        <v>46337</v>
      </c>
      <c r="BE332" s="7"/>
      <c r="BF332" s="14" t="str">
        <f aca="true">IF(TRIM($A332)="Finalized","Closed",IF($BD332="","No review date set",IF($BD332&lt;TODAY(),"OVERDUE",IF($BD332-TODAY()&lt;=7,"Due within 7 days","Scheduled"))))</f>
        <v>Scheduled</v>
      </c>
      <c r="BG332" s="14" t="n">
        <f aca="true">IF($K332="","",TODAY()-$K332)</f>
        <v>5</v>
      </c>
      <c r="BH332" s="15" t="str">
        <f aca="false">IFERROR(LEFT(IF($B332="","Notes, ","")&amp;IF($K332="","Latest Date Worked, ","")&amp;IF($AY332="","Last Action, ","")&amp;IF(AND(OR(TRIM($A332)="Denied",TRIM($A332)="Rejected"),$BA332=""),"Denial Reason, ","")&amp;IF(AND(TRIM($A332)="Denied",$BB332="",TRIM($BA332)&lt;&gt;"NO DENIAL"),"Denial Code, ","")&amp;IF(AND(TRIM($A332)&lt;&gt;"Finalized",$BD332=""),"Next Review Date, ","")&amp;IF(AND(TRIM($A332)&lt;&gt;"Finalized",$BE332=""),"Next Step, ","")&amp;IF(AND(TRIM($A332)="Finalized",$AV332="",$AR332="",$AT332="",$AX332="",$AW332=""),"CPT outcome, ",""),LEN(IF($B332="","Notes, ","")&amp;IF($K332="","Latest Date Worked, ","")&amp;IF($AY332="","Last Action, ","")&amp;IF(AND(OR(TRIM($A332)="Denied",TRIM($A332)="Rejected"),$BA332=""),"Denial Reason, ","")&amp;IF(AND(TRIM($A332)="Denied",$BB332="",TRIM($BA332)&lt;&gt;"NO DENIAL"),"Denial Code, ","")&amp;IF(AND(TRIM($A332)&lt;&gt;"Finalized",$BD332=""),"Next Review Date, ","")&amp;IF(AND(TRIM($A332)&lt;&gt;"Finalized",$BE332=""),"Next Step, ","")&amp;IF(AND(TRIM($A332)="Finalized",$AV332="",$AR332="",$AT332="",$AX332="",$AW332=""),"CPT outcome, ",""))-2),"")</f>
        <v>Next Step</v>
      </c>
      <c r="BI332" s="15" t="str">
        <f aca="false">IF($BB332="","",IFERROR(INDEX('Denial Codes'!$C:$C,MATCH(LEFT($BB332,FIND(" - ",$BB332&amp;" - ")+2)&amp;"*",'Denial Codes'!$A:$A,0)),""))</f>
        <v>Credentialing / out of network</v>
      </c>
      <c r="BJ332" s="15" t="str">
        <f aca="false">IF($BA332="","",IFERROR(INDEX(Lists!$B:$B,MATCH(TRIM($BA332),Lists!$A:$A,0))&amp;"",""))</f>
        <v>Check provider enrollment, NPI/TIN and network status; appeal once credentialing is confirmed.</v>
      </c>
    </row>
    <row r="333" customFormat="false" ht="15" hidden="false" customHeight="false" outlineLevel="0" collapsed="false">
      <c r="A333" s="7" t="s">
        <v>17</v>
      </c>
      <c r="B333" s="7" t="s">
        <v>1424</v>
      </c>
      <c r="C333" s="8" t="n">
        <v>566102944</v>
      </c>
      <c r="D333" s="9" t="n">
        <v>46240</v>
      </c>
      <c r="E333" s="10" t="s">
        <v>1425</v>
      </c>
      <c r="F333" s="11" t="n">
        <v>46202</v>
      </c>
      <c r="G333" s="10" t="s">
        <v>260</v>
      </c>
      <c r="H333" s="10" t="s">
        <v>260</v>
      </c>
      <c r="I333" s="10" t="s">
        <v>1426</v>
      </c>
      <c r="J333" s="10" t="s">
        <v>1427</v>
      </c>
      <c r="K333" s="9" t="n">
        <v>46309</v>
      </c>
      <c r="L333" s="12" t="n">
        <f aca="true">IF($O333="","",$O333-TODAY())</f>
        <v>256</v>
      </c>
      <c r="M333" s="12" t="n">
        <f aca="true">IF(AND(TRIM($A333)="Finalized",$K333&lt;&gt;""),"",IF($D333="","",$D333+365-TODAY()))</f>
        <v>294</v>
      </c>
      <c r="N333" s="12" t="n">
        <f aca="true">IF(AND(TRIM($A333)="Finalized",$K333&lt;&gt;""),"",IF($D333="","",$D333+120-TODAY()))</f>
        <v>49</v>
      </c>
      <c r="O333" s="11" t="n">
        <f aca="false">IF(AND(TRIM($A333)="Finalized",$K333&lt;&gt;""),"",DATE(2027,6,29))</f>
        <v>46567</v>
      </c>
      <c r="P333" s="10" t="s">
        <v>114</v>
      </c>
      <c r="Q333" s="10" t="s">
        <v>115</v>
      </c>
      <c r="R333" s="10" t="s">
        <v>114</v>
      </c>
      <c r="S333" s="10" t="s">
        <v>116</v>
      </c>
      <c r="T333" s="10" t="s">
        <v>117</v>
      </c>
      <c r="U333" s="10" t="s">
        <v>116</v>
      </c>
      <c r="V333" s="10" t="s">
        <v>303</v>
      </c>
      <c r="W333" s="10" t="s">
        <v>434</v>
      </c>
      <c r="X333" s="10" t="s">
        <v>619</v>
      </c>
      <c r="Y333" s="10" t="s">
        <v>758</v>
      </c>
      <c r="Z333" s="10" t="s">
        <v>436</v>
      </c>
      <c r="AA333" s="10" t="s">
        <v>1428</v>
      </c>
      <c r="AB333" s="8" t="n">
        <f aca="true">IF($F333="","",TODAY()-$F333)</f>
        <v>109</v>
      </c>
      <c r="AC333" s="10" t="s">
        <v>1083</v>
      </c>
      <c r="AD333" s="10" t="s">
        <v>440</v>
      </c>
      <c r="AE333" s="10" t="s">
        <v>443</v>
      </c>
      <c r="AF333" s="10" t="s">
        <v>439</v>
      </c>
      <c r="AG333" s="10" t="s">
        <v>442</v>
      </c>
      <c r="AH333" s="10" t="s">
        <v>441</v>
      </c>
      <c r="AI333" s="10"/>
      <c r="AJ333" s="10" t="s">
        <v>444</v>
      </c>
      <c r="AK333" s="10" t="s">
        <v>445</v>
      </c>
      <c r="AL333" s="10" t="s">
        <v>446</v>
      </c>
      <c r="AM333" s="10"/>
      <c r="AN333" s="8"/>
      <c r="AO333" s="10" t="s">
        <v>447</v>
      </c>
      <c r="AP333" s="10" t="s">
        <v>327</v>
      </c>
      <c r="AQ333" s="11" t="n">
        <v>46216</v>
      </c>
      <c r="AR333" s="13" t="n">
        <v>99153</v>
      </c>
      <c r="AS333" s="13" t="s">
        <v>1429</v>
      </c>
      <c r="AT333" s="13"/>
      <c r="AU333" s="13"/>
      <c r="AV333" s="13" t="s">
        <v>1430</v>
      </c>
      <c r="AW333" s="13"/>
      <c r="AX333" s="13" t="n">
        <v>75774</v>
      </c>
      <c r="AY333" s="7" t="s">
        <v>520</v>
      </c>
      <c r="AZ333" s="7"/>
      <c r="BA333" s="7" t="s">
        <v>43</v>
      </c>
      <c r="BB333" s="7" t="s">
        <v>299</v>
      </c>
      <c r="BC333" s="7" t="s">
        <v>1431</v>
      </c>
      <c r="BD333" s="9" t="n">
        <v>46340</v>
      </c>
      <c r="BE333" s="7"/>
      <c r="BF333" s="14" t="str">
        <f aca="true">IF(TRIM($A333)="Finalized","Closed",IF($BD333="","No review date set",IF($BD333&lt;TODAY(),"OVERDUE",IF($BD333-TODAY()&lt;=7,"Due within 7 days","Scheduled"))))</f>
        <v>Scheduled</v>
      </c>
      <c r="BG333" s="14" t="n">
        <f aca="true">IF($K333="","",TODAY()-$K333)</f>
        <v>2</v>
      </c>
      <c r="BH333" s="15" t="str">
        <f aca="false">IFERROR(LEFT(IF($B333="","Notes, ","")&amp;IF($K333="","Latest Date Worked, ","")&amp;IF($AY333="","Last Action, ","")&amp;IF(AND(OR(TRIM($A333)="Denied",TRIM($A333)="Rejected"),$BA333=""),"Denial Reason, ","")&amp;IF(AND(TRIM($A333)="Denied",$BB333="",TRIM($BA333)&lt;&gt;"NO DENIAL"),"Denial Code, ","")&amp;IF(AND(TRIM($A333)&lt;&gt;"Finalized",$BD333=""),"Next Review Date, ","")&amp;IF(AND(TRIM($A333)&lt;&gt;"Finalized",$BE333=""),"Next Step, ","")&amp;IF(AND(TRIM($A333)="Finalized",$AV333="",$AR333="",$AT333="",$AX333="",$AW333=""),"CPT outcome, ",""),LEN(IF($B333="","Notes, ","")&amp;IF($K333="","Latest Date Worked, ","")&amp;IF($AY333="","Last Action, ","")&amp;IF(AND(OR(TRIM($A333)="Denied",TRIM($A333)="Rejected"),$BA333=""),"Denial Reason, ","")&amp;IF(AND(TRIM($A333)="Denied",$BB333="",TRIM($BA333)&lt;&gt;"NO DENIAL"),"Denial Code, ","")&amp;IF(AND(TRIM($A333)&lt;&gt;"Finalized",$BD333=""),"Next Review Date, ","")&amp;IF(AND(TRIM($A333)&lt;&gt;"Finalized",$BE333=""),"Next Step, ","")&amp;IF(AND(TRIM($A333)="Finalized",$AV333="",$AR333="",$AT333="",$AX333="",$AW333=""),"CPT outcome, ",""))-2),"")</f>
        <v>Next Step</v>
      </c>
      <c r="BI333" s="15" t="str">
        <f aca="false">IF($BB333="","",IFERROR(INDEX('Denial Codes'!$C:$C,MATCH(LEFT($BB333,FIND(" - ",$BB333&amp;" - ")+2)&amp;"*",'Denial Codes'!$A:$A,0)),""))</f>
        <v>Medical necessity / frequency</v>
      </c>
      <c r="BJ333" s="15" t="str">
        <f aca="false">IF($BA333="","",IFERROR(INDEX(Lists!$B:$B,MATCH(TRIM($BA333),Lists!$A:$A,0))&amp;"",""))</f>
        <v>Appeal with medical records and a letter of medical necessity; check LCD/MUE limits.</v>
      </c>
    </row>
    <row r="334" customFormat="false" ht="15" hidden="false" customHeight="false" outlineLevel="0" collapsed="false">
      <c r="A334" s="7" t="s">
        <v>17</v>
      </c>
      <c r="B334" s="7"/>
      <c r="C334" s="8" t="n">
        <v>571501462</v>
      </c>
      <c r="D334" s="9" t="n">
        <v>46289</v>
      </c>
      <c r="E334" s="10" t="s">
        <v>1432</v>
      </c>
      <c r="F334" s="11" t="n">
        <v>46062</v>
      </c>
      <c r="G334" s="10" t="s">
        <v>530</v>
      </c>
      <c r="H334" s="10" t="s">
        <v>530</v>
      </c>
      <c r="I334" s="10" t="s">
        <v>129</v>
      </c>
      <c r="J334" s="10" t="s">
        <v>228</v>
      </c>
      <c r="K334" s="9" t="n">
        <v>46134</v>
      </c>
      <c r="L334" s="12" t="str">
        <f aca="true">IF($O334="","",$O334-TODAY())</f>
        <v/>
      </c>
      <c r="M334" s="12"/>
      <c r="N334" s="12"/>
      <c r="O334" s="11"/>
      <c r="P334" s="10"/>
      <c r="Q334" s="10" t="s">
        <v>131</v>
      </c>
      <c r="R334" s="10"/>
      <c r="S334" s="10"/>
      <c r="T334" s="10"/>
      <c r="U334" s="10"/>
      <c r="V334" s="10" t="s">
        <v>150</v>
      </c>
      <c r="W334" s="10" t="s">
        <v>119</v>
      </c>
      <c r="X334" s="10" t="s">
        <v>229</v>
      </c>
      <c r="Y334" s="10"/>
      <c r="Z334" s="10"/>
      <c r="AA334" s="10" t="s">
        <v>230</v>
      </c>
      <c r="AB334" s="8" t="n">
        <f aca="true">IF($F334="","",TODAY()-$F334)</f>
        <v>249</v>
      </c>
      <c r="AC334" s="10" t="s">
        <v>122</v>
      </c>
      <c r="AD334" s="10"/>
      <c r="AE334" s="10"/>
      <c r="AF334" s="10"/>
      <c r="AG334" s="10"/>
      <c r="AH334" s="10"/>
      <c r="AI334" s="10"/>
      <c r="AJ334" s="10" t="s">
        <v>1433</v>
      </c>
      <c r="AK334" s="10" t="s">
        <v>1434</v>
      </c>
      <c r="AL334" s="10"/>
      <c r="AM334" s="10"/>
      <c r="AN334" s="8"/>
      <c r="AO334" s="10" t="s">
        <v>838</v>
      </c>
      <c r="AP334" s="10" t="s">
        <v>404</v>
      </c>
      <c r="AQ334" s="11" t="n">
        <v>46063</v>
      </c>
      <c r="AR334" s="13"/>
      <c r="AS334" s="13"/>
      <c r="AT334" s="13"/>
      <c r="AU334" s="13"/>
      <c r="AV334" s="13"/>
      <c r="AW334" s="13"/>
      <c r="AX334" s="13"/>
      <c r="AY334" s="7" t="s">
        <v>159</v>
      </c>
      <c r="AZ334" s="7"/>
      <c r="BA334" s="7" t="s">
        <v>40</v>
      </c>
      <c r="BB334" s="7"/>
      <c r="BC334" s="7"/>
      <c r="BD334" s="9" t="n">
        <v>46164</v>
      </c>
      <c r="BE334" s="7"/>
      <c r="BF334" s="14" t="str">
        <f aca="true">IF(TRIM($A334)="Finalized","Closed",IF($BD334="","No review date set",IF($BD334&lt;TODAY(),"OVERDUE",IF($BD334-TODAY()&lt;=7,"Due within 7 days","Scheduled"))))</f>
        <v>OVERDUE</v>
      </c>
      <c r="BG334" s="14" t="n">
        <f aca="true">IF($K334="","",TODAY()-$K334)</f>
        <v>177</v>
      </c>
      <c r="BH334" s="15" t="str">
        <f aca="false">IFERROR(LEFT(IF($B334="","Notes, ","")&amp;IF($K334="","Latest Date Worked, ","")&amp;IF($AY334="","Last Action, ","")&amp;IF(AND(OR(TRIM($A334)="Denied",TRIM($A334)="Rejected"),$BA334=""),"Denial Reason, ","")&amp;IF(AND(TRIM($A334)="Denied",$BB334="",TRIM($BA334)&lt;&gt;"NO DENIAL"),"Denial Code, ","")&amp;IF(AND(TRIM($A334)&lt;&gt;"Finalized",$BD334=""),"Next Review Date, ","")&amp;IF(AND(TRIM($A334)&lt;&gt;"Finalized",$BE334=""),"Next Step, ","")&amp;IF(AND(TRIM($A334)="Finalized",$AV334="",$AR334="",$AT334="",$AX334="",$AW334=""),"CPT outcome, ",""),LEN(IF($B334="","Notes, ","")&amp;IF($K334="","Latest Date Worked, ","")&amp;IF($AY334="","Last Action, ","")&amp;IF(AND(OR(TRIM($A334)="Denied",TRIM($A334)="Rejected"),$BA334=""),"Denial Reason, ","")&amp;IF(AND(TRIM($A334)="Denied",$BB334="",TRIM($BA334)&lt;&gt;"NO DENIAL"),"Denial Code, ","")&amp;IF(AND(TRIM($A334)&lt;&gt;"Finalized",$BD334=""),"Next Review Date, ","")&amp;IF(AND(TRIM($A334)&lt;&gt;"Finalized",$BE334=""),"Next Step, ","")&amp;IF(AND(TRIM($A334)="Finalized",$AV334="",$AR334="",$AT334="",$AX334="",$AW334=""),"CPT outcome, ",""))-2),"")</f>
        <v>Notes, Denial Code, Next Step</v>
      </c>
      <c r="BI334" s="15" t="str">
        <f aca="false">IF($BB334="","",IFERROR(INDEX('Denial Codes'!$C:$C,MATCH(LEFT($BB334,FIND(" - ",$BB334&amp;" - ")+2)&amp;"*",'Denial Codes'!$A:$A,0)),""))</f>
        <v/>
      </c>
      <c r="BJ334" s="15" t="str">
        <f aca="false">IF($BA334="","",IFERROR(INDEX(Lists!$B:$B,MATCH(TRIM($BA334),Lists!$A:$A,0))&amp;"",""))</f>
        <v>Fix the code, units, charge or other claim data and resubmit as a corrected claim.</v>
      </c>
    </row>
    <row r="335" customFormat="false" ht="15" hidden="false" customHeight="false" outlineLevel="0" collapsed="false">
      <c r="A335" s="7" t="s">
        <v>17</v>
      </c>
      <c r="B335" s="7" t="s">
        <v>1435</v>
      </c>
      <c r="C335" s="8" t="n">
        <v>552275426</v>
      </c>
      <c r="D335" s="9" t="n">
        <v>46107</v>
      </c>
      <c r="E335" s="10" t="s">
        <v>192</v>
      </c>
      <c r="F335" s="11" t="n">
        <v>46079</v>
      </c>
      <c r="G335" s="10" t="s">
        <v>193</v>
      </c>
      <c r="H335" s="10" t="s">
        <v>193</v>
      </c>
      <c r="I335" s="10" t="s">
        <v>129</v>
      </c>
      <c r="J335" s="10" t="s">
        <v>1436</v>
      </c>
      <c r="K335" s="9" t="n">
        <v>46195</v>
      </c>
      <c r="L335" s="12" t="str">
        <f aca="true">IF($O335="","",$O335-TODAY())</f>
        <v/>
      </c>
      <c r="M335" s="12"/>
      <c r="N335" s="12" t="n">
        <f aca="true">IF(AND(TRIM($A335)="Finalized",$K335&lt;&gt;""),"",IF($D335="","",$D335+180-TODAY()))</f>
        <v>-24</v>
      </c>
      <c r="O335" s="11"/>
      <c r="P335" s="10"/>
      <c r="Q335" s="10" t="s">
        <v>195</v>
      </c>
      <c r="R335" s="10"/>
      <c r="S335" s="10"/>
      <c r="T335" s="10" t="s">
        <v>147</v>
      </c>
      <c r="U335" s="10" t="s">
        <v>116</v>
      </c>
      <c r="V335" s="10" t="s">
        <v>150</v>
      </c>
      <c r="W335" s="10" t="s">
        <v>132</v>
      </c>
      <c r="X335" s="10"/>
      <c r="Y335" s="10"/>
      <c r="Z335" s="10"/>
      <c r="AA335" s="10" t="s">
        <v>197</v>
      </c>
      <c r="AB335" s="8" t="n">
        <f aca="true">IF($F335="","",TODAY()-$F335)</f>
        <v>232</v>
      </c>
      <c r="AC335" s="10" t="s">
        <v>137</v>
      </c>
      <c r="AD335" s="10"/>
      <c r="AE335" s="10"/>
      <c r="AF335" s="10"/>
      <c r="AG335" s="10"/>
      <c r="AH335" s="10"/>
      <c r="AI335" s="10"/>
      <c r="AJ335" s="10" t="s">
        <v>139</v>
      </c>
      <c r="AK335" s="10" t="s">
        <v>1437</v>
      </c>
      <c r="AL335" s="10"/>
      <c r="AM335" s="10"/>
      <c r="AN335" s="8"/>
      <c r="AO335" s="10" t="s">
        <v>140</v>
      </c>
      <c r="AP335" s="10" t="s">
        <v>141</v>
      </c>
      <c r="AQ335" s="11" t="n">
        <v>46092</v>
      </c>
      <c r="AR335" s="13"/>
      <c r="AS335" s="13"/>
      <c r="AT335" s="13"/>
      <c r="AU335" s="13"/>
      <c r="AV335" s="13"/>
      <c r="AW335" s="13"/>
      <c r="AX335" s="13"/>
      <c r="AY335" s="7" t="s">
        <v>520</v>
      </c>
      <c r="AZ335" s="7"/>
      <c r="BA335" s="7" t="s">
        <v>34</v>
      </c>
      <c r="BB335" s="7"/>
      <c r="BC335" s="7" t="s">
        <v>1438</v>
      </c>
      <c r="BD335" s="9" t="n">
        <v>46225</v>
      </c>
      <c r="BE335" s="7"/>
      <c r="BF335" s="14" t="str">
        <f aca="true">IF(TRIM($A335)="Finalized","Closed",IF($BD335="","No review date set",IF($BD335&lt;TODAY(),"OVERDUE",IF($BD335-TODAY()&lt;=7,"Due within 7 days","Scheduled"))))</f>
        <v>OVERDUE</v>
      </c>
      <c r="BG335" s="14" t="n">
        <f aca="true">IF($K335="","",TODAY()-$K335)</f>
        <v>116</v>
      </c>
      <c r="BH335" s="15" t="str">
        <f aca="false">IFERROR(LEFT(IF($B335="","Notes, ","")&amp;IF($K335="","Latest Date Worked, ","")&amp;IF($AY335="","Last Action, ","")&amp;IF(AND(OR(TRIM($A335)="Denied",TRIM($A335)="Rejected"),$BA335=""),"Denial Reason, ","")&amp;IF(AND(TRIM($A335)="Denied",$BB335="",TRIM($BA335)&lt;&gt;"NO DENIAL"),"Denial Code, ","")&amp;IF(AND(TRIM($A335)&lt;&gt;"Finalized",$BD335=""),"Next Review Date, ","")&amp;IF(AND(TRIM($A335)&lt;&gt;"Finalized",$BE335=""),"Next Step, ","")&amp;IF(AND(TRIM($A335)="Finalized",$AV335="",$AR335="",$AT335="",$AX335="",$AW335=""),"CPT outcome, ",""),LEN(IF($B335="","Notes, ","")&amp;IF($K335="","Latest Date Worked, ","")&amp;IF($AY335="","Last Action, ","")&amp;IF(AND(OR(TRIM($A335)="Denied",TRIM($A335)="Rejected"),$BA335=""),"Denial Reason, ","")&amp;IF(AND(TRIM($A335)="Denied",$BB335="",TRIM($BA335)&lt;&gt;"NO DENIAL"),"Denial Code, ","")&amp;IF(AND(TRIM($A335)&lt;&gt;"Finalized",$BD335=""),"Next Review Date, ","")&amp;IF(AND(TRIM($A335)&lt;&gt;"Finalized",$BE335=""),"Next Step, ","")&amp;IF(AND(TRIM($A335)="Finalized",$AV335="",$AR335="",$AT335="",$AX335="",$AW335=""),"CPT outcome, ",""))-2),"")</f>
        <v>Denial Code, Next Step</v>
      </c>
      <c r="BI335" s="15" t="str">
        <f aca="false">IF($BB335="","",IFERROR(INDEX('Denial Codes'!$C:$C,MATCH(LEFT($BB335,FIND(" - ",$BB335&amp;" - ")+2)&amp;"*",'Denial Codes'!$A:$A,0)),""))</f>
        <v/>
      </c>
      <c r="BJ335" s="15" t="str">
        <f aca="false">IF($BA335="","",IFERROR(INDEX(Lists!$B:$B,MATCH(TRIM($BA335),Lists!$A:$A,0))&amp;"",""))</f>
        <v>Check the portal for an auth; request a retro-auth or file an appeal with the auth number, then resubmit.</v>
      </c>
    </row>
    <row r="336" customFormat="false" ht="15" hidden="false" customHeight="false" outlineLevel="0" collapsed="false">
      <c r="A336" s="7" t="s">
        <v>16</v>
      </c>
      <c r="B336" s="7" t="s">
        <v>1439</v>
      </c>
      <c r="C336" s="8" t="n">
        <v>555069563</v>
      </c>
      <c r="D336" s="9" t="n">
        <v>46132</v>
      </c>
      <c r="E336" s="10" t="s">
        <v>1440</v>
      </c>
      <c r="F336" s="11" t="n">
        <v>46089</v>
      </c>
      <c r="G336" s="10" t="s">
        <v>193</v>
      </c>
      <c r="H336" s="10" t="s">
        <v>193</v>
      </c>
      <c r="I336" s="10" t="s">
        <v>279</v>
      </c>
      <c r="J336" s="10" t="s">
        <v>1441</v>
      </c>
      <c r="K336" s="9" t="n">
        <v>46197</v>
      </c>
      <c r="L336" s="12" t="str">
        <f aca="true">IF($O336="","",$O336-TODAY())</f>
        <v/>
      </c>
      <c r="M336" s="12"/>
      <c r="N336" s="12" t="str">
        <f aca="true">IF(AND(TRIM($A336)="Finalized",$K336&lt;&gt;""),"",IF($D336="","",$D336+180-TODAY()))</f>
        <v/>
      </c>
      <c r="O336" s="11"/>
      <c r="P336" s="10"/>
      <c r="Q336" s="10" t="s">
        <v>195</v>
      </c>
      <c r="R336" s="10"/>
      <c r="S336" s="10"/>
      <c r="T336" s="10" t="s">
        <v>147</v>
      </c>
      <c r="U336" s="10" t="s">
        <v>116</v>
      </c>
      <c r="V336" s="10" t="s">
        <v>167</v>
      </c>
      <c r="W336" s="10" t="s">
        <v>434</v>
      </c>
      <c r="X336" s="10" t="s">
        <v>655</v>
      </c>
      <c r="Y336" s="10" t="s">
        <v>621</v>
      </c>
      <c r="Z336" s="10"/>
      <c r="AA336" s="10" t="s">
        <v>797</v>
      </c>
      <c r="AB336" s="8" t="n">
        <f aca="true">IF($F336="","",TODAY()-$F336)</f>
        <v>222</v>
      </c>
      <c r="AC336" s="10" t="s">
        <v>439</v>
      </c>
      <c r="AD336" s="10" t="s">
        <v>441</v>
      </c>
      <c r="AE336" s="10" t="s">
        <v>657</v>
      </c>
      <c r="AF336" s="10" t="s">
        <v>442</v>
      </c>
      <c r="AG336" s="10" t="s">
        <v>443</v>
      </c>
      <c r="AH336" s="10" t="s">
        <v>438</v>
      </c>
      <c r="AI336" s="10" t="s">
        <v>440</v>
      </c>
      <c r="AJ336" s="10" t="s">
        <v>579</v>
      </c>
      <c r="AK336" s="10" t="s">
        <v>445</v>
      </c>
      <c r="AL336" s="10" t="s">
        <v>622</v>
      </c>
      <c r="AM336" s="10"/>
      <c r="AN336" s="8"/>
      <c r="AO336" s="10" t="s">
        <v>447</v>
      </c>
      <c r="AP336" s="10" t="s">
        <v>202</v>
      </c>
      <c r="AQ336" s="11" t="n">
        <v>46119</v>
      </c>
      <c r="AR336" s="13"/>
      <c r="AS336" s="13"/>
      <c r="AT336" s="13"/>
      <c r="AU336" s="13"/>
      <c r="AV336" s="13" t="s">
        <v>1442</v>
      </c>
      <c r="AW336" s="13"/>
      <c r="AX336" s="13" t="s">
        <v>1442</v>
      </c>
      <c r="AY336" s="7" t="s">
        <v>363</v>
      </c>
      <c r="AZ336" s="7" t="s">
        <v>203</v>
      </c>
      <c r="BA336" s="7" t="s">
        <v>47</v>
      </c>
      <c r="BB336" s="7" t="s">
        <v>1443</v>
      </c>
      <c r="BC336" s="7" t="s">
        <v>1444</v>
      </c>
      <c r="BD336" s="9"/>
      <c r="BE336" s="7"/>
      <c r="BF336" s="14" t="str">
        <f aca="true">IF(TRIM($A336)="Finalized","Closed",IF($BD336="","No review date set",IF($BD336&lt;TODAY(),"OVERDUE",IF($BD336-TODAY()&lt;=7,"Due within 7 days","Scheduled"))))</f>
        <v>Closed</v>
      </c>
      <c r="BG336" s="14" t="n">
        <f aca="true">IF($K336="","",TODAY()-$K336)</f>
        <v>114</v>
      </c>
      <c r="BH336" s="15" t="str">
        <f aca="false">IFERROR(LEFT(IF($B336="","Notes, ","")&amp;IF($K336="","Latest Date Worked, ","")&amp;IF($AY336="","Last Action, ","")&amp;IF(AND(OR(TRIM($A336)="Denied",TRIM($A336)="Rejected"),$BA336=""),"Denial Reason, ","")&amp;IF(AND(TRIM($A336)="Denied",$BB336="",TRIM($BA336)&lt;&gt;"NO DENIAL"),"Denial Code, ","")&amp;IF(AND(TRIM($A336)&lt;&gt;"Finalized",$BD336=""),"Next Review Date, ","")&amp;IF(AND(TRIM($A336)&lt;&gt;"Finalized",$BE336=""),"Next Step, ","")&amp;IF(AND(TRIM($A336)="Finalized",$AV336="",$AR336="",$AT336="",$AX336="",$AW336=""),"CPT outcome, ",""),LEN(IF($B336="","Notes, ","")&amp;IF($K336="","Latest Date Worked, ","")&amp;IF($AY336="","Last Action, ","")&amp;IF(AND(OR(TRIM($A336)="Denied",TRIM($A336)="Rejected"),$BA336=""),"Denial Reason, ","")&amp;IF(AND(TRIM($A336)="Denied",$BB336="",TRIM($BA336)&lt;&gt;"NO DENIAL"),"Denial Code, ","")&amp;IF(AND(TRIM($A336)&lt;&gt;"Finalized",$BD336=""),"Next Review Date, ","")&amp;IF(AND(TRIM($A336)&lt;&gt;"Finalized",$BE336=""),"Next Step, ","")&amp;IF(AND(TRIM($A336)="Finalized",$AV336="",$AR336="",$AT336="",$AX336="",$AW336=""),"CPT outcome, ",""))-2),"")</f>
        <v/>
      </c>
      <c r="BI336" s="15" t="str">
        <f aca="false">IF($BB336="","",IFERROR(INDEX('Denial Codes'!$C:$C,MATCH(LEFT($BB336,FIND(" - ",$BB336&amp;" - ")+2)&amp;"*",'Denial Codes'!$A:$A,0)),""))</f>
        <v>Credentialing / out of network</v>
      </c>
      <c r="BJ336" s="15" t="str">
        <f aca="false">IF($BA336="","",IFERROR(INDEX(Lists!$B:$B,MATCH(TRIM($BA336),Lists!$A:$A,0))&amp;"",""))</f>
        <v>Check provider enrollment, NPI/TIN and network status; appeal once credentialing is confirmed.</v>
      </c>
    </row>
    <row r="337" customFormat="false" ht="15" hidden="false" customHeight="false" outlineLevel="0" collapsed="false">
      <c r="A337" s="7" t="s">
        <v>20</v>
      </c>
      <c r="B337" s="7"/>
      <c r="C337" s="8" t="n">
        <v>558686759</v>
      </c>
      <c r="D337" s="9" t="n">
        <v>46181</v>
      </c>
      <c r="E337" s="10" t="s">
        <v>1445</v>
      </c>
      <c r="F337" s="11" t="n">
        <v>46132</v>
      </c>
      <c r="G337" s="10" t="s">
        <v>530</v>
      </c>
      <c r="H337" s="10" t="s">
        <v>530</v>
      </c>
      <c r="I337" s="10" t="s">
        <v>129</v>
      </c>
      <c r="J337" s="10" t="s">
        <v>1446</v>
      </c>
      <c r="K337" s="9" t="n">
        <v>46199</v>
      </c>
      <c r="L337" s="12" t="str">
        <f aca="true">IF($O337="","",$O337-TODAY())</f>
        <v/>
      </c>
      <c r="M337" s="12"/>
      <c r="N337" s="12"/>
      <c r="O337" s="11"/>
      <c r="P337" s="10"/>
      <c r="Q337" s="10" t="s">
        <v>131</v>
      </c>
      <c r="R337" s="10"/>
      <c r="S337" s="10"/>
      <c r="T337" s="10"/>
      <c r="U337" s="10"/>
      <c r="V337" s="10" t="s">
        <v>221</v>
      </c>
      <c r="W337" s="10" t="s">
        <v>434</v>
      </c>
      <c r="X337" s="10" t="s">
        <v>478</v>
      </c>
      <c r="Y337" s="10" t="s">
        <v>620</v>
      </c>
      <c r="Z337" s="10" t="s">
        <v>621</v>
      </c>
      <c r="AA337" s="10" t="s">
        <v>951</v>
      </c>
      <c r="AB337" s="8" t="n">
        <f aca="true">IF($F337="","",TODAY()-$F337)</f>
        <v>179</v>
      </c>
      <c r="AC337" s="10" t="s">
        <v>439</v>
      </c>
      <c r="AD337" s="10" t="s">
        <v>441</v>
      </c>
      <c r="AE337" s="10" t="s">
        <v>438</v>
      </c>
      <c r="AF337" s="10" t="s">
        <v>443</v>
      </c>
      <c r="AG337" s="10" t="s">
        <v>657</v>
      </c>
      <c r="AH337" s="10" t="s">
        <v>440</v>
      </c>
      <c r="AI337" s="10" t="s">
        <v>442</v>
      </c>
      <c r="AJ337" s="10" t="s">
        <v>579</v>
      </c>
      <c r="AK337" s="10" t="s">
        <v>445</v>
      </c>
      <c r="AL337" s="10" t="s">
        <v>622</v>
      </c>
      <c r="AM337" s="10"/>
      <c r="AN337" s="8"/>
      <c r="AO337" s="10" t="s">
        <v>447</v>
      </c>
      <c r="AP337" s="10" t="s">
        <v>327</v>
      </c>
      <c r="AQ337" s="11" t="n">
        <v>46152</v>
      </c>
      <c r="AR337" s="13"/>
      <c r="AS337" s="13"/>
      <c r="AT337" s="13"/>
      <c r="AU337" s="13"/>
      <c r="AV337" s="13"/>
      <c r="AW337" s="13" t="s">
        <v>1447</v>
      </c>
      <c r="AX337" s="13" t="s">
        <v>1447</v>
      </c>
      <c r="AY337" s="7" t="s">
        <v>233</v>
      </c>
      <c r="AZ337" s="7"/>
      <c r="BA337" s="7"/>
      <c r="BB337" s="7" t="s">
        <v>386</v>
      </c>
      <c r="BC337" s="7"/>
      <c r="BD337" s="9" t="n">
        <v>46229</v>
      </c>
      <c r="BE337" s="7" t="s">
        <v>527</v>
      </c>
      <c r="BF337" s="14" t="str">
        <f aca="true">IF(TRIM($A337)="Finalized","Closed",IF($BD337="","No review date set",IF($BD337&lt;TODAY(),"OVERDUE",IF($BD337-TODAY()&lt;=7,"Due within 7 days","Scheduled"))))</f>
        <v>OVERDUE</v>
      </c>
      <c r="BG337" s="14" t="n">
        <f aca="true">IF($K337="","",TODAY()-$K337)</f>
        <v>112</v>
      </c>
      <c r="BH337" s="15" t="str">
        <f aca="false">IFERROR(LEFT(IF($B337="","Notes, ","")&amp;IF($K337="","Latest Date Worked, ","")&amp;IF($AY337="","Last Action, ","")&amp;IF(AND(OR(TRIM($A337)="Denied",TRIM($A337)="Rejected"),$BA337=""),"Denial Reason, ","")&amp;IF(AND(TRIM($A337)="Denied",$BB337="",TRIM($BA337)&lt;&gt;"NO DENIAL"),"Denial Code, ","")&amp;IF(AND(TRIM($A337)&lt;&gt;"Finalized",$BD337=""),"Next Review Date, ","")&amp;IF(AND(TRIM($A337)&lt;&gt;"Finalized",$BE337=""),"Next Step, ","")&amp;IF(AND(TRIM($A337)="Finalized",$AV337="",$AR337="",$AT337="",$AX337="",$AW337=""),"CPT outcome, ",""),LEN(IF($B337="","Notes, ","")&amp;IF($K337="","Latest Date Worked, ","")&amp;IF($AY337="","Last Action, ","")&amp;IF(AND(OR(TRIM($A337)="Denied",TRIM($A337)="Rejected"),$BA337=""),"Denial Reason, ","")&amp;IF(AND(TRIM($A337)="Denied",$BB337="",TRIM($BA337)&lt;&gt;"NO DENIAL"),"Denial Code, ","")&amp;IF(AND(TRIM($A337)&lt;&gt;"Finalized",$BD337=""),"Next Review Date, ","")&amp;IF(AND(TRIM($A337)&lt;&gt;"Finalized",$BE337=""),"Next Step, ","")&amp;IF(AND(TRIM($A337)="Finalized",$AV337="",$AR337="",$AT337="",$AX337="",$AW337=""),"CPT outcome, ",""))-2),"")</f>
        <v>Notes</v>
      </c>
      <c r="BI337" s="15" t="str">
        <f aca="false">IF($BB337="","",IFERROR(INDEX('Denial Codes'!$C:$C,MATCH(LEFT($BB337,FIND(" - ",$BB337&amp;" - ")+2)&amp;"*",'Denial Codes'!$A:$A,0)),""))</f>
        <v>Other</v>
      </c>
      <c r="BJ337" s="15" t="str">
        <f aca="false">IF($BA337="","",IFERROR(INDEX(Lists!$B:$B,MATCH(TRIM($BA337),Lists!$A:$A,0))&amp;"",""))</f>
        <v/>
      </c>
    </row>
    <row r="338" customFormat="false" ht="15" hidden="false" customHeight="false" outlineLevel="0" collapsed="false">
      <c r="A338" s="7" t="s">
        <v>17</v>
      </c>
      <c r="B338" s="7" t="s">
        <v>1448</v>
      </c>
      <c r="C338" s="8" t="n">
        <v>553079628</v>
      </c>
      <c r="D338" s="9" t="n">
        <v>46112</v>
      </c>
      <c r="E338" s="10" t="s">
        <v>1449</v>
      </c>
      <c r="F338" s="11" t="n">
        <v>46064</v>
      </c>
      <c r="G338" s="10" t="s">
        <v>530</v>
      </c>
      <c r="H338" s="10" t="s">
        <v>530</v>
      </c>
      <c r="I338" s="10" t="s">
        <v>129</v>
      </c>
      <c r="J338" s="10" t="s">
        <v>113</v>
      </c>
      <c r="K338" s="9" t="n">
        <v>46244</v>
      </c>
      <c r="L338" s="12" t="str">
        <f aca="true">IF($O338="","",$O338-TODAY())</f>
        <v/>
      </c>
      <c r="M338" s="12"/>
      <c r="N338" s="12"/>
      <c r="O338" s="11"/>
      <c r="P338" s="10"/>
      <c r="Q338" s="10" t="s">
        <v>131</v>
      </c>
      <c r="R338" s="10"/>
      <c r="S338" s="10"/>
      <c r="T338" s="10"/>
      <c r="U338" s="10"/>
      <c r="V338" s="10" t="s">
        <v>150</v>
      </c>
      <c r="W338" s="10" t="s">
        <v>119</v>
      </c>
      <c r="X338" s="10" t="s">
        <v>120</v>
      </c>
      <c r="Y338" s="10"/>
      <c r="Z338" s="10"/>
      <c r="AA338" s="10" t="s">
        <v>121</v>
      </c>
      <c r="AB338" s="8" t="n">
        <f aca="true">IF($F338="","",TODAY()-$F338)</f>
        <v>247</v>
      </c>
      <c r="AC338" s="10" t="s">
        <v>122</v>
      </c>
      <c r="AD338" s="10"/>
      <c r="AE338" s="10"/>
      <c r="AF338" s="10"/>
      <c r="AG338" s="10"/>
      <c r="AH338" s="10"/>
      <c r="AI338" s="10"/>
      <c r="AJ338" s="10" t="s">
        <v>123</v>
      </c>
      <c r="AK338" s="10" t="s">
        <v>1450</v>
      </c>
      <c r="AL338" s="10"/>
      <c r="AM338" s="10"/>
      <c r="AN338" s="8"/>
      <c r="AO338" s="10" t="s">
        <v>336</v>
      </c>
      <c r="AP338" s="10" t="s">
        <v>268</v>
      </c>
      <c r="AQ338" s="11" t="n">
        <v>46099</v>
      </c>
      <c r="AR338" s="13"/>
      <c r="AS338" s="13"/>
      <c r="AT338" s="13"/>
      <c r="AU338" s="13"/>
      <c r="AV338" s="13"/>
      <c r="AW338" s="13"/>
      <c r="AX338" s="13"/>
      <c r="AY338" s="7" t="s">
        <v>328</v>
      </c>
      <c r="AZ338" s="7"/>
      <c r="BA338" s="7" t="s">
        <v>40</v>
      </c>
      <c r="BB338" s="7"/>
      <c r="BC338" s="7" t="s">
        <v>1451</v>
      </c>
      <c r="BD338" s="9" t="n">
        <v>46275</v>
      </c>
      <c r="BE338" s="7"/>
      <c r="BF338" s="14" t="str">
        <f aca="true">IF(TRIM($A338)="Finalized","Closed",IF($BD338="","No review date set",IF($BD338&lt;TODAY(),"OVERDUE",IF($BD338-TODAY()&lt;=7,"Due within 7 days","Scheduled"))))</f>
        <v>OVERDUE</v>
      </c>
      <c r="BG338" s="14" t="n">
        <f aca="true">IF($K338="","",TODAY()-$K338)</f>
        <v>67</v>
      </c>
      <c r="BH338" s="15" t="str">
        <f aca="false">IFERROR(LEFT(IF($B338="","Notes, ","")&amp;IF($K338="","Latest Date Worked, ","")&amp;IF($AY338="","Last Action, ","")&amp;IF(AND(OR(TRIM($A338)="Denied",TRIM($A338)="Rejected"),$BA338=""),"Denial Reason, ","")&amp;IF(AND(TRIM($A338)="Denied",$BB338="",TRIM($BA338)&lt;&gt;"NO DENIAL"),"Denial Code, ","")&amp;IF(AND(TRIM($A338)&lt;&gt;"Finalized",$BD338=""),"Next Review Date, ","")&amp;IF(AND(TRIM($A338)&lt;&gt;"Finalized",$BE338=""),"Next Step, ","")&amp;IF(AND(TRIM($A338)="Finalized",$AV338="",$AR338="",$AT338="",$AX338="",$AW338=""),"CPT outcome, ",""),LEN(IF($B338="","Notes, ","")&amp;IF($K338="","Latest Date Worked, ","")&amp;IF($AY338="","Last Action, ","")&amp;IF(AND(OR(TRIM($A338)="Denied",TRIM($A338)="Rejected"),$BA338=""),"Denial Reason, ","")&amp;IF(AND(TRIM($A338)="Denied",$BB338="",TRIM($BA338)&lt;&gt;"NO DENIAL"),"Denial Code, ","")&amp;IF(AND(TRIM($A338)&lt;&gt;"Finalized",$BD338=""),"Next Review Date, ","")&amp;IF(AND(TRIM($A338)&lt;&gt;"Finalized",$BE338=""),"Next Step, ","")&amp;IF(AND(TRIM($A338)="Finalized",$AV338="",$AR338="",$AT338="",$AX338="",$AW338=""),"CPT outcome, ",""))-2),"")</f>
        <v>Denial Code, Next Step</v>
      </c>
      <c r="BI338" s="15" t="str">
        <f aca="false">IF($BB338="","",IFERROR(INDEX('Denial Codes'!$C:$C,MATCH(LEFT($BB338,FIND(" - ",$BB338&amp;" - ")+2)&amp;"*",'Denial Codes'!$A:$A,0)),""))</f>
        <v/>
      </c>
      <c r="BJ338" s="15" t="str">
        <f aca="false">IF($BA338="","",IFERROR(INDEX(Lists!$B:$B,MATCH(TRIM($BA338),Lists!$A:$A,0))&amp;"",""))</f>
        <v>Fix the code, units, charge or other claim data and resubmit as a corrected claim.</v>
      </c>
    </row>
    <row r="339" customFormat="false" ht="15" hidden="false" customHeight="false" outlineLevel="0" collapsed="false">
      <c r="A339" s="7" t="s">
        <v>17</v>
      </c>
      <c r="B339" s="7" t="s">
        <v>1452</v>
      </c>
      <c r="C339" s="8" t="n">
        <v>559748258</v>
      </c>
      <c r="D339" s="9" t="n">
        <v>46168</v>
      </c>
      <c r="E339" s="10" t="s">
        <v>1453</v>
      </c>
      <c r="F339" s="11" t="n">
        <v>46146</v>
      </c>
      <c r="G339" s="10" t="s">
        <v>530</v>
      </c>
      <c r="H339" s="10" t="s">
        <v>530</v>
      </c>
      <c r="I339" s="10" t="s">
        <v>129</v>
      </c>
      <c r="J339" s="10" t="s">
        <v>1242</v>
      </c>
      <c r="K339" s="9" t="n">
        <v>46244</v>
      </c>
      <c r="L339" s="12" t="str">
        <f aca="true">IF($O339="","",$O339-TODAY())</f>
        <v/>
      </c>
      <c r="M339" s="12"/>
      <c r="N339" s="12"/>
      <c r="O339" s="11"/>
      <c r="P339" s="10"/>
      <c r="Q339" s="10" t="s">
        <v>131</v>
      </c>
      <c r="R339" s="10"/>
      <c r="S339" s="10"/>
      <c r="T339" s="10"/>
      <c r="U339" s="10"/>
      <c r="V339" s="10" t="s">
        <v>266</v>
      </c>
      <c r="W339" s="10" t="s">
        <v>119</v>
      </c>
      <c r="X339" s="10" t="s">
        <v>304</v>
      </c>
      <c r="Y339" s="10"/>
      <c r="Z339" s="10"/>
      <c r="AA339" s="10" t="s">
        <v>197</v>
      </c>
      <c r="AB339" s="8" t="n">
        <f aca="true">IF($F339="","",TODAY()-$F339)</f>
        <v>165</v>
      </c>
      <c r="AC339" s="10" t="s">
        <v>584</v>
      </c>
      <c r="AD339" s="10"/>
      <c r="AE339" s="10"/>
      <c r="AF339" s="10"/>
      <c r="AG339" s="10"/>
      <c r="AH339" s="10"/>
      <c r="AI339" s="10"/>
      <c r="AJ339" s="10" t="s">
        <v>139</v>
      </c>
      <c r="AK339" s="10"/>
      <c r="AL339" s="10"/>
      <c r="AM339" s="10"/>
      <c r="AN339" s="8"/>
      <c r="AO339" s="10" t="s">
        <v>359</v>
      </c>
      <c r="AP339" s="10" t="s">
        <v>404</v>
      </c>
      <c r="AQ339" s="11" t="n">
        <v>46162</v>
      </c>
      <c r="AR339" s="13"/>
      <c r="AS339" s="13"/>
      <c r="AT339" s="13"/>
      <c r="AU339" s="13"/>
      <c r="AV339" s="13"/>
      <c r="AW339" s="13"/>
      <c r="AX339" s="13"/>
      <c r="AY339" s="7" t="s">
        <v>328</v>
      </c>
      <c r="AZ339" s="7"/>
      <c r="BA339" s="7" t="s">
        <v>40</v>
      </c>
      <c r="BB339" s="7"/>
      <c r="BC339" s="7" t="s">
        <v>1451</v>
      </c>
      <c r="BD339" s="9" t="n">
        <v>46275</v>
      </c>
      <c r="BE339" s="7"/>
      <c r="BF339" s="14" t="str">
        <f aca="true">IF(TRIM($A339)="Finalized","Closed",IF($BD339="","No review date set",IF($BD339&lt;TODAY(),"OVERDUE",IF($BD339-TODAY()&lt;=7,"Due within 7 days","Scheduled"))))</f>
        <v>OVERDUE</v>
      </c>
      <c r="BG339" s="14" t="n">
        <f aca="true">IF($K339="","",TODAY()-$K339)</f>
        <v>67</v>
      </c>
      <c r="BH339" s="15" t="str">
        <f aca="false">IFERROR(LEFT(IF($B339="","Notes, ","")&amp;IF($K339="","Latest Date Worked, ","")&amp;IF($AY339="","Last Action, ","")&amp;IF(AND(OR(TRIM($A339)="Denied",TRIM($A339)="Rejected"),$BA339=""),"Denial Reason, ","")&amp;IF(AND(TRIM($A339)="Denied",$BB339="",TRIM($BA339)&lt;&gt;"NO DENIAL"),"Denial Code, ","")&amp;IF(AND(TRIM($A339)&lt;&gt;"Finalized",$BD339=""),"Next Review Date, ","")&amp;IF(AND(TRIM($A339)&lt;&gt;"Finalized",$BE339=""),"Next Step, ","")&amp;IF(AND(TRIM($A339)="Finalized",$AV339="",$AR339="",$AT339="",$AX339="",$AW339=""),"CPT outcome, ",""),LEN(IF($B339="","Notes, ","")&amp;IF($K339="","Latest Date Worked, ","")&amp;IF($AY339="","Last Action, ","")&amp;IF(AND(OR(TRIM($A339)="Denied",TRIM($A339)="Rejected"),$BA339=""),"Denial Reason, ","")&amp;IF(AND(TRIM($A339)="Denied",$BB339="",TRIM($BA339)&lt;&gt;"NO DENIAL"),"Denial Code, ","")&amp;IF(AND(TRIM($A339)&lt;&gt;"Finalized",$BD339=""),"Next Review Date, ","")&amp;IF(AND(TRIM($A339)&lt;&gt;"Finalized",$BE339=""),"Next Step, ","")&amp;IF(AND(TRIM($A339)="Finalized",$AV339="",$AR339="",$AT339="",$AX339="",$AW339=""),"CPT outcome, ",""))-2),"")</f>
        <v>Denial Code, Next Step</v>
      </c>
      <c r="BI339" s="15" t="str">
        <f aca="false">IF($BB339="","",IFERROR(INDEX('Denial Codes'!$C:$C,MATCH(LEFT($BB339,FIND(" - ",$BB339&amp;" - ")+2)&amp;"*",'Denial Codes'!$A:$A,0)),""))</f>
        <v/>
      </c>
      <c r="BJ339" s="15" t="str">
        <f aca="false">IF($BA339="","",IFERROR(INDEX(Lists!$B:$B,MATCH(TRIM($BA339),Lists!$A:$A,0))&amp;"",""))</f>
        <v>Fix the code, units, charge or other claim data and resubmit as a corrected claim.</v>
      </c>
    </row>
    <row r="340" customFormat="false" ht="15" hidden="false" customHeight="false" outlineLevel="0" collapsed="false">
      <c r="A340" s="7" t="s">
        <v>17</v>
      </c>
      <c r="B340" s="7" t="s">
        <v>1452</v>
      </c>
      <c r="C340" s="8" t="n">
        <v>559795824</v>
      </c>
      <c r="D340" s="9" t="n">
        <v>46171</v>
      </c>
      <c r="E340" s="10" t="s">
        <v>1454</v>
      </c>
      <c r="F340" s="11" t="n">
        <v>46149</v>
      </c>
      <c r="G340" s="10" t="s">
        <v>530</v>
      </c>
      <c r="H340" s="10" t="s">
        <v>530</v>
      </c>
      <c r="I340" s="10" t="s">
        <v>129</v>
      </c>
      <c r="J340" s="10" t="s">
        <v>461</v>
      </c>
      <c r="K340" s="9" t="n">
        <v>46244</v>
      </c>
      <c r="L340" s="12" t="str">
        <f aca="true">IF($O340="","",$O340-TODAY())</f>
        <v/>
      </c>
      <c r="M340" s="12"/>
      <c r="N340" s="12"/>
      <c r="O340" s="11"/>
      <c r="P340" s="10"/>
      <c r="Q340" s="10" t="s">
        <v>131</v>
      </c>
      <c r="R340" s="10"/>
      <c r="S340" s="10"/>
      <c r="T340" s="10"/>
      <c r="U340" s="10"/>
      <c r="V340" s="10" t="s">
        <v>266</v>
      </c>
      <c r="W340" s="10" t="s">
        <v>119</v>
      </c>
      <c r="X340" s="10" t="s">
        <v>120</v>
      </c>
      <c r="Y340" s="10"/>
      <c r="Z340" s="10"/>
      <c r="AA340" s="10" t="s">
        <v>230</v>
      </c>
      <c r="AB340" s="8" t="n">
        <f aca="true">IF($F340="","",TODAY()-$F340)</f>
        <v>162</v>
      </c>
      <c r="AC340" s="10" t="s">
        <v>273</v>
      </c>
      <c r="AD340" s="10"/>
      <c r="AE340" s="10"/>
      <c r="AF340" s="10"/>
      <c r="AG340" s="10"/>
      <c r="AH340" s="10"/>
      <c r="AI340" s="10"/>
      <c r="AJ340" s="10" t="s">
        <v>123</v>
      </c>
      <c r="AK340" s="10" t="s">
        <v>686</v>
      </c>
      <c r="AL340" s="10"/>
      <c r="AM340" s="10"/>
      <c r="AN340" s="8"/>
      <c r="AO340" s="10" t="s">
        <v>764</v>
      </c>
      <c r="AP340" s="10" t="s">
        <v>202</v>
      </c>
      <c r="AQ340" s="11" t="n">
        <v>46162</v>
      </c>
      <c r="AR340" s="13"/>
      <c r="AS340" s="13"/>
      <c r="AT340" s="13"/>
      <c r="AU340" s="13"/>
      <c r="AV340" s="13"/>
      <c r="AW340" s="13"/>
      <c r="AX340" s="13"/>
      <c r="AY340" s="7" t="s">
        <v>328</v>
      </c>
      <c r="AZ340" s="7"/>
      <c r="BA340" s="7" t="s">
        <v>40</v>
      </c>
      <c r="BB340" s="7"/>
      <c r="BC340" s="7" t="s">
        <v>1451</v>
      </c>
      <c r="BD340" s="9" t="n">
        <v>46275</v>
      </c>
      <c r="BE340" s="7"/>
      <c r="BF340" s="14" t="str">
        <f aca="true">IF(TRIM($A340)="Finalized","Closed",IF($BD340="","No review date set",IF($BD340&lt;TODAY(),"OVERDUE",IF($BD340-TODAY()&lt;=7,"Due within 7 days","Scheduled"))))</f>
        <v>OVERDUE</v>
      </c>
      <c r="BG340" s="14" t="n">
        <f aca="true">IF($K340="","",TODAY()-$K340)</f>
        <v>67</v>
      </c>
      <c r="BH340" s="15" t="str">
        <f aca="false">IFERROR(LEFT(IF($B340="","Notes, ","")&amp;IF($K340="","Latest Date Worked, ","")&amp;IF($AY340="","Last Action, ","")&amp;IF(AND(OR(TRIM($A340)="Denied",TRIM($A340)="Rejected"),$BA340=""),"Denial Reason, ","")&amp;IF(AND(TRIM($A340)="Denied",$BB340="",TRIM($BA340)&lt;&gt;"NO DENIAL"),"Denial Code, ","")&amp;IF(AND(TRIM($A340)&lt;&gt;"Finalized",$BD340=""),"Next Review Date, ","")&amp;IF(AND(TRIM($A340)&lt;&gt;"Finalized",$BE340=""),"Next Step, ","")&amp;IF(AND(TRIM($A340)="Finalized",$AV340="",$AR340="",$AT340="",$AX340="",$AW340=""),"CPT outcome, ",""),LEN(IF($B340="","Notes, ","")&amp;IF($K340="","Latest Date Worked, ","")&amp;IF($AY340="","Last Action, ","")&amp;IF(AND(OR(TRIM($A340)="Denied",TRIM($A340)="Rejected"),$BA340=""),"Denial Reason, ","")&amp;IF(AND(TRIM($A340)="Denied",$BB340="",TRIM($BA340)&lt;&gt;"NO DENIAL"),"Denial Code, ","")&amp;IF(AND(TRIM($A340)&lt;&gt;"Finalized",$BD340=""),"Next Review Date, ","")&amp;IF(AND(TRIM($A340)&lt;&gt;"Finalized",$BE340=""),"Next Step, ","")&amp;IF(AND(TRIM($A340)="Finalized",$AV340="",$AR340="",$AT340="",$AX340="",$AW340=""),"CPT outcome, ",""))-2),"")</f>
        <v>Denial Code, Next Step</v>
      </c>
      <c r="BI340" s="15" t="str">
        <f aca="false">IF($BB340="","",IFERROR(INDEX('Denial Codes'!$C:$C,MATCH(LEFT($BB340,FIND(" - ",$BB340&amp;" - ")+2)&amp;"*",'Denial Codes'!$A:$A,0)),""))</f>
        <v/>
      </c>
      <c r="BJ340" s="15" t="str">
        <f aca="false">IF($BA340="","",IFERROR(INDEX(Lists!$B:$B,MATCH(TRIM($BA340),Lists!$A:$A,0))&amp;"",""))</f>
        <v>Fix the code, units, charge or other claim data and resubmit as a corrected claim.</v>
      </c>
    </row>
    <row r="341" customFormat="false" ht="15" hidden="false" customHeight="false" outlineLevel="0" collapsed="false">
      <c r="A341" s="7" t="s">
        <v>21</v>
      </c>
      <c r="B341" s="7" t="s">
        <v>1455</v>
      </c>
      <c r="C341" s="8" t="n">
        <v>569036930</v>
      </c>
      <c r="D341" s="9" t="n">
        <v>46191</v>
      </c>
      <c r="E341" s="10" t="s">
        <v>1456</v>
      </c>
      <c r="F341" s="11" t="n">
        <v>46148</v>
      </c>
      <c r="G341" s="10" t="s">
        <v>369</v>
      </c>
      <c r="H341" s="10" t="s">
        <v>369</v>
      </c>
      <c r="I341" s="10" t="s">
        <v>129</v>
      </c>
      <c r="J341" s="10" t="s">
        <v>181</v>
      </c>
      <c r="K341" s="9" t="n">
        <v>46307</v>
      </c>
      <c r="L341" s="12" t="n">
        <f aca="true">IF($O341="","",$O341-TODAY())</f>
        <v>-73</v>
      </c>
      <c r="M341" s="12" t="n">
        <f aca="true">IF(AND(TRIM($A341)="Finalized",$K341&lt;&gt;""),"",IF($D341="","",$D341+365-TODAY()))</f>
        <v>245</v>
      </c>
      <c r="N341" s="12" t="n">
        <f aca="true">IF(AND(TRIM($A341)="Finalized",$K341&lt;&gt;""),"",IF($D341="","",$D341+365-TODAY()))</f>
        <v>245</v>
      </c>
      <c r="O341" s="11" t="n">
        <f aca="false">IF(AND(TRIM($A341)="Finalized",$K341&lt;&gt;""),"",DATE(2026,8,4))</f>
        <v>46238</v>
      </c>
      <c r="P341" s="10" t="s">
        <v>165</v>
      </c>
      <c r="Q341" s="10" t="s">
        <v>371</v>
      </c>
      <c r="R341" s="10" t="s">
        <v>114</v>
      </c>
      <c r="S341" s="10" t="s">
        <v>116</v>
      </c>
      <c r="T341" s="10" t="s">
        <v>114</v>
      </c>
      <c r="U341" s="10" t="s">
        <v>116</v>
      </c>
      <c r="V341" s="10" t="s">
        <v>266</v>
      </c>
      <c r="W341" s="10" t="s">
        <v>183</v>
      </c>
      <c r="X341" s="10"/>
      <c r="Y341" s="10"/>
      <c r="Z341" s="10"/>
      <c r="AA341" s="10" t="s">
        <v>197</v>
      </c>
      <c r="AB341" s="8" t="n">
        <f aca="true">IF($F341="","",TODAY()-$F341)</f>
        <v>163</v>
      </c>
      <c r="AC341" s="10" t="s">
        <v>184</v>
      </c>
      <c r="AD341" s="10" t="s">
        <v>185</v>
      </c>
      <c r="AE341" s="10"/>
      <c r="AF341" s="10"/>
      <c r="AG341" s="10"/>
      <c r="AH341" s="10"/>
      <c r="AI341" s="10"/>
      <c r="AJ341" s="10" t="s">
        <v>186</v>
      </c>
      <c r="AK341" s="10"/>
      <c r="AL341" s="10"/>
      <c r="AM341" s="10"/>
      <c r="AN341" s="8"/>
      <c r="AO341" s="10" t="s">
        <v>326</v>
      </c>
      <c r="AP341" s="10" t="s">
        <v>202</v>
      </c>
      <c r="AQ341" s="11" t="n">
        <v>46182</v>
      </c>
      <c r="AR341" s="13"/>
      <c r="AS341" s="13"/>
      <c r="AT341" s="13"/>
      <c r="AU341" s="13"/>
      <c r="AV341" s="13"/>
      <c r="AW341" s="13"/>
      <c r="AX341" s="13"/>
      <c r="AY341" s="7" t="s">
        <v>159</v>
      </c>
      <c r="AZ341" s="7" t="s">
        <v>1457</v>
      </c>
      <c r="BA341" s="7" t="s">
        <v>44</v>
      </c>
      <c r="BB341" s="7"/>
      <c r="BC341" s="7" t="s">
        <v>1458</v>
      </c>
      <c r="BD341" s="9" t="n">
        <v>46338</v>
      </c>
      <c r="BE341" s="7"/>
      <c r="BF341" s="14" t="str">
        <f aca="true">IF(TRIM($A341)="Finalized","Closed",IF($BD341="","No review date set",IF($BD341&lt;TODAY(),"OVERDUE",IF($BD341-TODAY()&lt;=7,"Due within 7 days","Scheduled"))))</f>
        <v>Scheduled</v>
      </c>
      <c r="BG341" s="14" t="n">
        <f aca="true">IF($K341="","",TODAY()-$K341)</f>
        <v>4</v>
      </c>
      <c r="BH341" s="15" t="str">
        <f aca="false">IFERROR(LEFT(IF($B341="","Notes, ","")&amp;IF($K341="","Latest Date Worked, ","")&amp;IF($AY341="","Last Action, ","")&amp;IF(AND(OR(TRIM($A341)="Denied",TRIM($A341)="Rejected"),$BA341=""),"Denial Reason, ","")&amp;IF(AND(TRIM($A341)="Denied",$BB341="",TRIM($BA341)&lt;&gt;"NO DENIAL"),"Denial Code, ","")&amp;IF(AND(TRIM($A341)&lt;&gt;"Finalized",$BD341=""),"Next Review Date, ","")&amp;IF(AND(TRIM($A341)&lt;&gt;"Finalized",$BE341=""),"Next Step, ","")&amp;IF(AND(TRIM($A341)="Finalized",$AV341="",$AR341="",$AT341="",$AX341="",$AW341=""),"CPT outcome, ",""),LEN(IF($B341="","Notes, ","")&amp;IF($K341="","Latest Date Worked, ","")&amp;IF($AY341="","Last Action, ","")&amp;IF(AND(OR(TRIM($A341)="Denied",TRIM($A341)="Rejected"),$BA341=""),"Denial Reason, ","")&amp;IF(AND(TRIM($A341)="Denied",$BB341="",TRIM($BA341)&lt;&gt;"NO DENIAL"),"Denial Code, ","")&amp;IF(AND(TRIM($A341)&lt;&gt;"Finalized",$BD341=""),"Next Review Date, ","")&amp;IF(AND(TRIM($A341)&lt;&gt;"Finalized",$BE341=""),"Next Step, ","")&amp;IF(AND(TRIM($A341)="Finalized",$AV341="",$AR341="",$AT341="",$AX341="",$AW341=""),"CPT outcome, ",""))-2),"")</f>
        <v>Next Step</v>
      </c>
      <c r="BI341" s="15" t="str">
        <f aca="false">IF($BB341="","",IFERROR(INDEX('Denial Codes'!$C:$C,MATCH(LEFT($BB341,FIND(" - ",$BB341&amp;" - ")+2)&amp;"*",'Denial Codes'!$A:$A,0)),""))</f>
        <v/>
      </c>
      <c r="BJ341" s="15" t="str">
        <f aca="false">IF($BA341="","",IFERROR(INDEX(Lists!$B:$B,MATCH(TRIM($BA341),Lists!$A:$A,0))&amp;"",""))</f>
        <v>Bill the correct payer, delegated vendor or capitated group/IPA (e.g. Optum Behavioral, Preferred Homecare).</v>
      </c>
    </row>
    <row r="342" customFormat="false" ht="15" hidden="false" customHeight="false" outlineLevel="0" collapsed="false">
      <c r="A342" s="7" t="s">
        <v>21</v>
      </c>
      <c r="B342" s="7" t="s">
        <v>1459</v>
      </c>
      <c r="C342" s="8" t="n">
        <v>569036426</v>
      </c>
      <c r="D342" s="9" t="n">
        <v>46257</v>
      </c>
      <c r="E342" s="10" t="s">
        <v>1460</v>
      </c>
      <c r="F342" s="11" t="n">
        <v>46157</v>
      </c>
      <c r="G342" s="10" t="s">
        <v>369</v>
      </c>
      <c r="H342" s="10" t="s">
        <v>369</v>
      </c>
      <c r="I342" s="10" t="s">
        <v>129</v>
      </c>
      <c r="J342" s="10" t="s">
        <v>400</v>
      </c>
      <c r="K342" s="9" t="n">
        <v>46307</v>
      </c>
      <c r="L342" s="12" t="n">
        <f aca="true">IF($O342="","",$O342-TODAY())</f>
        <v>-64</v>
      </c>
      <c r="M342" s="12" t="n">
        <f aca="true">IF(AND(TRIM($A342)="Finalized",$K342&lt;&gt;""),"",IF($D342="","",$D342+365-TODAY()))</f>
        <v>311</v>
      </c>
      <c r="N342" s="12" t="n">
        <f aca="true">IF(AND(TRIM($A342)="Finalized",$K342&lt;&gt;""),"",IF($D342="","",$D342+365-TODAY()))</f>
        <v>311</v>
      </c>
      <c r="O342" s="11" t="n">
        <f aca="false">IF(AND(TRIM($A342)="Finalized",$K342&lt;&gt;""),"",DATE(2026,8,13))</f>
        <v>46247</v>
      </c>
      <c r="P342" s="10" t="s">
        <v>165</v>
      </c>
      <c r="Q342" s="10" t="s">
        <v>371</v>
      </c>
      <c r="R342" s="10" t="s">
        <v>114</v>
      </c>
      <c r="S342" s="10" t="s">
        <v>116</v>
      </c>
      <c r="T342" s="10" t="s">
        <v>114</v>
      </c>
      <c r="U342" s="10" t="s">
        <v>116</v>
      </c>
      <c r="V342" s="10" t="s">
        <v>266</v>
      </c>
      <c r="W342" s="10" t="s">
        <v>183</v>
      </c>
      <c r="X342" s="10"/>
      <c r="Y342" s="10"/>
      <c r="Z342" s="10"/>
      <c r="AA342" s="10" t="s">
        <v>197</v>
      </c>
      <c r="AB342" s="8" t="n">
        <f aca="true">IF($F342="","",TODAY()-$F342)</f>
        <v>154</v>
      </c>
      <c r="AC342" s="10" t="s">
        <v>185</v>
      </c>
      <c r="AD342" s="10" t="s">
        <v>184</v>
      </c>
      <c r="AE342" s="10"/>
      <c r="AF342" s="10"/>
      <c r="AG342" s="10"/>
      <c r="AH342" s="10"/>
      <c r="AI342" s="10"/>
      <c r="AJ342" s="10" t="s">
        <v>340</v>
      </c>
      <c r="AK342" s="10"/>
      <c r="AL342" s="10"/>
      <c r="AM342" s="10"/>
      <c r="AN342" s="8"/>
      <c r="AO342" s="10" t="s">
        <v>506</v>
      </c>
      <c r="AP342" s="10" t="s">
        <v>188</v>
      </c>
      <c r="AQ342" s="11" t="n">
        <v>46181</v>
      </c>
      <c r="AR342" s="13"/>
      <c r="AS342" s="13"/>
      <c r="AT342" s="13"/>
      <c r="AU342" s="13"/>
      <c r="AV342" s="13"/>
      <c r="AW342" s="13"/>
      <c r="AX342" s="13"/>
      <c r="AY342" s="7" t="s">
        <v>159</v>
      </c>
      <c r="AZ342" s="7" t="s">
        <v>1457</v>
      </c>
      <c r="BA342" s="7" t="s">
        <v>44</v>
      </c>
      <c r="BB342" s="7"/>
      <c r="BC342" s="7" t="s">
        <v>1458</v>
      </c>
      <c r="BD342" s="9" t="n">
        <v>46338</v>
      </c>
      <c r="BE342" s="7"/>
      <c r="BF342" s="14" t="str">
        <f aca="true">IF(TRIM($A342)="Finalized","Closed",IF($BD342="","No review date set",IF($BD342&lt;TODAY(),"OVERDUE",IF($BD342-TODAY()&lt;=7,"Due within 7 days","Scheduled"))))</f>
        <v>Scheduled</v>
      </c>
      <c r="BG342" s="14" t="n">
        <f aca="true">IF($K342="","",TODAY()-$K342)</f>
        <v>4</v>
      </c>
      <c r="BH342" s="15" t="str">
        <f aca="false">IFERROR(LEFT(IF($B342="","Notes, ","")&amp;IF($K342="","Latest Date Worked, ","")&amp;IF($AY342="","Last Action, ","")&amp;IF(AND(OR(TRIM($A342)="Denied",TRIM($A342)="Rejected"),$BA342=""),"Denial Reason, ","")&amp;IF(AND(TRIM($A342)="Denied",$BB342="",TRIM($BA342)&lt;&gt;"NO DENIAL"),"Denial Code, ","")&amp;IF(AND(TRIM($A342)&lt;&gt;"Finalized",$BD342=""),"Next Review Date, ","")&amp;IF(AND(TRIM($A342)&lt;&gt;"Finalized",$BE342=""),"Next Step, ","")&amp;IF(AND(TRIM($A342)="Finalized",$AV342="",$AR342="",$AT342="",$AX342="",$AW342=""),"CPT outcome, ",""),LEN(IF($B342="","Notes, ","")&amp;IF($K342="","Latest Date Worked, ","")&amp;IF($AY342="","Last Action, ","")&amp;IF(AND(OR(TRIM($A342)="Denied",TRIM($A342)="Rejected"),$BA342=""),"Denial Reason, ","")&amp;IF(AND(TRIM($A342)="Denied",$BB342="",TRIM($BA342)&lt;&gt;"NO DENIAL"),"Denial Code, ","")&amp;IF(AND(TRIM($A342)&lt;&gt;"Finalized",$BD342=""),"Next Review Date, ","")&amp;IF(AND(TRIM($A342)&lt;&gt;"Finalized",$BE342=""),"Next Step, ","")&amp;IF(AND(TRIM($A342)="Finalized",$AV342="",$AR342="",$AT342="",$AX342="",$AW342=""),"CPT outcome, ",""))-2),"")</f>
        <v>Next Step</v>
      </c>
      <c r="BI342" s="15" t="str">
        <f aca="false">IF($BB342="","",IFERROR(INDEX('Denial Codes'!$C:$C,MATCH(LEFT($BB342,FIND(" - ",$BB342&amp;" - ")+2)&amp;"*",'Denial Codes'!$A:$A,0)),""))</f>
        <v/>
      </c>
      <c r="BJ342" s="15" t="str">
        <f aca="false">IF($BA342="","",IFERROR(INDEX(Lists!$B:$B,MATCH(TRIM($BA342),Lists!$A:$A,0))&amp;"",""))</f>
        <v>Bill the correct payer, delegated vendor or capitated group/IPA (e.g. Optum Behavioral, Preferred Homecare).</v>
      </c>
    </row>
    <row r="343" customFormat="false" ht="15" hidden="false" customHeight="false" outlineLevel="0" collapsed="false">
      <c r="A343" s="7" t="s">
        <v>21</v>
      </c>
      <c r="B343" s="7" t="s">
        <v>1461</v>
      </c>
      <c r="C343" s="8" t="n">
        <v>569035837</v>
      </c>
      <c r="D343" s="9" t="n">
        <v>46191</v>
      </c>
      <c r="E343" s="10" t="s">
        <v>1462</v>
      </c>
      <c r="F343" s="11" t="n">
        <v>46164</v>
      </c>
      <c r="G343" s="10" t="s">
        <v>369</v>
      </c>
      <c r="H343" s="10" t="s">
        <v>369</v>
      </c>
      <c r="I343" s="10" t="s">
        <v>129</v>
      </c>
      <c r="J343" s="10" t="s">
        <v>181</v>
      </c>
      <c r="K343" s="9" t="n">
        <v>46307</v>
      </c>
      <c r="L343" s="12" t="n">
        <f aca="true">IF($O343="","",$O343-TODAY())</f>
        <v>-57</v>
      </c>
      <c r="M343" s="12" t="n">
        <f aca="true">IF(AND(TRIM($A343)="Finalized",$K343&lt;&gt;""),"",IF($D343="","",$D343+365-TODAY()))</f>
        <v>245</v>
      </c>
      <c r="N343" s="12" t="n">
        <f aca="true">IF(AND(TRIM($A343)="Finalized",$K343&lt;&gt;""),"",IF($D343="","",$D343+365-TODAY()))</f>
        <v>245</v>
      </c>
      <c r="O343" s="11" t="n">
        <f aca="false">IF(AND(TRIM($A343)="Finalized",$K343&lt;&gt;""),"",DATE(2026,8,20))</f>
        <v>46254</v>
      </c>
      <c r="P343" s="10" t="s">
        <v>165</v>
      </c>
      <c r="Q343" s="10" t="s">
        <v>371</v>
      </c>
      <c r="R343" s="10" t="s">
        <v>114</v>
      </c>
      <c r="S343" s="10" t="s">
        <v>116</v>
      </c>
      <c r="T343" s="10" t="s">
        <v>114</v>
      </c>
      <c r="U343" s="10" t="s">
        <v>116</v>
      </c>
      <c r="V343" s="10" t="s">
        <v>266</v>
      </c>
      <c r="W343" s="10" t="s">
        <v>183</v>
      </c>
      <c r="X343" s="10"/>
      <c r="Y343" s="10"/>
      <c r="Z343" s="10"/>
      <c r="AA343" s="10" t="s">
        <v>197</v>
      </c>
      <c r="AB343" s="8" t="n">
        <f aca="true">IF($F343="","",TODAY()-$F343)</f>
        <v>147</v>
      </c>
      <c r="AC343" s="10" t="s">
        <v>184</v>
      </c>
      <c r="AD343" s="10" t="s">
        <v>185</v>
      </c>
      <c r="AE343" s="10"/>
      <c r="AF343" s="10"/>
      <c r="AG343" s="10"/>
      <c r="AH343" s="10"/>
      <c r="AI343" s="10"/>
      <c r="AJ343" s="10" t="s">
        <v>852</v>
      </c>
      <c r="AK343" s="10" t="s">
        <v>385</v>
      </c>
      <c r="AL343" s="10"/>
      <c r="AM343" s="10"/>
      <c r="AN343" s="8"/>
      <c r="AO343" s="10" t="s">
        <v>187</v>
      </c>
      <c r="AP343" s="10" t="s">
        <v>188</v>
      </c>
      <c r="AQ343" s="11" t="n">
        <v>46182</v>
      </c>
      <c r="AR343" s="13"/>
      <c r="AS343" s="13"/>
      <c r="AT343" s="13"/>
      <c r="AU343" s="13"/>
      <c r="AV343" s="13"/>
      <c r="AW343" s="13"/>
      <c r="AX343" s="13"/>
      <c r="AY343" s="7" t="s">
        <v>159</v>
      </c>
      <c r="AZ343" s="7" t="s">
        <v>1457</v>
      </c>
      <c r="BA343" s="7" t="s">
        <v>44</v>
      </c>
      <c r="BB343" s="7"/>
      <c r="BC343" s="7" t="s">
        <v>1458</v>
      </c>
      <c r="BD343" s="9" t="n">
        <v>46338</v>
      </c>
      <c r="BE343" s="7"/>
      <c r="BF343" s="14" t="str">
        <f aca="true">IF(TRIM($A343)="Finalized","Closed",IF($BD343="","No review date set",IF($BD343&lt;TODAY(),"OVERDUE",IF($BD343-TODAY()&lt;=7,"Due within 7 days","Scheduled"))))</f>
        <v>Scheduled</v>
      </c>
      <c r="BG343" s="14" t="n">
        <f aca="true">IF($K343="","",TODAY()-$K343)</f>
        <v>4</v>
      </c>
      <c r="BH343" s="15" t="str">
        <f aca="false">IFERROR(LEFT(IF($B343="","Notes, ","")&amp;IF($K343="","Latest Date Worked, ","")&amp;IF($AY343="","Last Action, ","")&amp;IF(AND(OR(TRIM($A343)="Denied",TRIM($A343)="Rejected"),$BA343=""),"Denial Reason, ","")&amp;IF(AND(TRIM($A343)="Denied",$BB343="",TRIM($BA343)&lt;&gt;"NO DENIAL"),"Denial Code, ","")&amp;IF(AND(TRIM($A343)&lt;&gt;"Finalized",$BD343=""),"Next Review Date, ","")&amp;IF(AND(TRIM($A343)&lt;&gt;"Finalized",$BE343=""),"Next Step, ","")&amp;IF(AND(TRIM($A343)="Finalized",$AV343="",$AR343="",$AT343="",$AX343="",$AW343=""),"CPT outcome, ",""),LEN(IF($B343="","Notes, ","")&amp;IF($K343="","Latest Date Worked, ","")&amp;IF($AY343="","Last Action, ","")&amp;IF(AND(OR(TRIM($A343)="Denied",TRIM($A343)="Rejected"),$BA343=""),"Denial Reason, ","")&amp;IF(AND(TRIM($A343)="Denied",$BB343="",TRIM($BA343)&lt;&gt;"NO DENIAL"),"Denial Code, ","")&amp;IF(AND(TRIM($A343)&lt;&gt;"Finalized",$BD343=""),"Next Review Date, ","")&amp;IF(AND(TRIM($A343)&lt;&gt;"Finalized",$BE343=""),"Next Step, ","")&amp;IF(AND(TRIM($A343)="Finalized",$AV343="",$AR343="",$AT343="",$AX343="",$AW343=""),"CPT outcome, ",""))-2),"")</f>
        <v>Next Step</v>
      </c>
      <c r="BI343" s="15" t="str">
        <f aca="false">IF($BB343="","",IFERROR(INDEX('Denial Codes'!$C:$C,MATCH(LEFT($BB343,FIND(" - ",$BB343&amp;" - ")+2)&amp;"*",'Denial Codes'!$A:$A,0)),""))</f>
        <v/>
      </c>
      <c r="BJ343" s="15" t="str">
        <f aca="false">IF($BA343="","",IFERROR(INDEX(Lists!$B:$B,MATCH(TRIM($BA343),Lists!$A:$A,0))&amp;"",""))</f>
        <v>Bill the correct payer, delegated vendor or capitated group/IPA (e.g. Optum Behavioral, Preferred Homecare).</v>
      </c>
    </row>
    <row r="344" customFormat="false" ht="15" hidden="false" customHeight="false" outlineLevel="0" collapsed="false">
      <c r="A344" s="7" t="s">
        <v>21</v>
      </c>
      <c r="B344" s="7" t="s">
        <v>1459</v>
      </c>
      <c r="C344" s="8" t="n">
        <v>569034695</v>
      </c>
      <c r="D344" s="9" t="n">
        <v>46257</v>
      </c>
      <c r="E344" s="10" t="s">
        <v>1463</v>
      </c>
      <c r="F344" s="11" t="n">
        <v>46170</v>
      </c>
      <c r="G344" s="10" t="s">
        <v>369</v>
      </c>
      <c r="H344" s="10" t="s">
        <v>369</v>
      </c>
      <c r="I344" s="10" t="s">
        <v>129</v>
      </c>
      <c r="J344" s="10" t="s">
        <v>400</v>
      </c>
      <c r="K344" s="9" t="n">
        <v>46307</v>
      </c>
      <c r="L344" s="12" t="n">
        <f aca="true">IF($O344="","",$O344-TODAY())</f>
        <v>-51</v>
      </c>
      <c r="M344" s="12" t="n">
        <f aca="true">IF(AND(TRIM($A344)="Finalized",$K344&lt;&gt;""),"",IF($D344="","",$D344+365-TODAY()))</f>
        <v>311</v>
      </c>
      <c r="N344" s="12" t="n">
        <f aca="true">IF(AND(TRIM($A344)="Finalized",$K344&lt;&gt;""),"",IF($D344="","",$D344+365-TODAY()))</f>
        <v>311</v>
      </c>
      <c r="O344" s="11" t="n">
        <f aca="false">IF(AND(TRIM($A344)="Finalized",$K344&lt;&gt;""),"",DATE(2026,8,26))</f>
        <v>46260</v>
      </c>
      <c r="P344" s="10" t="s">
        <v>165</v>
      </c>
      <c r="Q344" s="10" t="s">
        <v>371</v>
      </c>
      <c r="R344" s="10" t="s">
        <v>114</v>
      </c>
      <c r="S344" s="10" t="s">
        <v>116</v>
      </c>
      <c r="T344" s="10" t="s">
        <v>114</v>
      </c>
      <c r="U344" s="10" t="s">
        <v>116</v>
      </c>
      <c r="V344" s="10" t="s">
        <v>266</v>
      </c>
      <c r="W344" s="10" t="s">
        <v>183</v>
      </c>
      <c r="X344" s="10"/>
      <c r="Y344" s="10"/>
      <c r="Z344" s="10"/>
      <c r="AA344" s="10" t="s">
        <v>197</v>
      </c>
      <c r="AB344" s="8" t="n">
        <f aca="true">IF($F344="","",TODAY()-$F344)</f>
        <v>141</v>
      </c>
      <c r="AC344" s="10" t="s">
        <v>185</v>
      </c>
      <c r="AD344" s="10" t="s">
        <v>184</v>
      </c>
      <c r="AE344" s="10"/>
      <c r="AF344" s="10"/>
      <c r="AG344" s="10"/>
      <c r="AH344" s="10"/>
      <c r="AI344" s="10"/>
      <c r="AJ344" s="10" t="s">
        <v>340</v>
      </c>
      <c r="AK344" s="10"/>
      <c r="AL344" s="10"/>
      <c r="AM344" s="10"/>
      <c r="AN344" s="8"/>
      <c r="AO344" s="10" t="s">
        <v>506</v>
      </c>
      <c r="AP344" s="10" t="s">
        <v>188</v>
      </c>
      <c r="AQ344" s="11" t="n">
        <v>46182</v>
      </c>
      <c r="AR344" s="13"/>
      <c r="AS344" s="13"/>
      <c r="AT344" s="13"/>
      <c r="AU344" s="13"/>
      <c r="AV344" s="13"/>
      <c r="AW344" s="13"/>
      <c r="AX344" s="13"/>
      <c r="AY344" s="7" t="s">
        <v>159</v>
      </c>
      <c r="AZ344" s="7" t="s">
        <v>1457</v>
      </c>
      <c r="BA344" s="7" t="s">
        <v>44</v>
      </c>
      <c r="BB344" s="7"/>
      <c r="BC344" s="7" t="s">
        <v>1458</v>
      </c>
      <c r="BD344" s="9" t="n">
        <v>46338</v>
      </c>
      <c r="BE344" s="7"/>
      <c r="BF344" s="14" t="str">
        <f aca="true">IF(TRIM($A344)="Finalized","Closed",IF($BD344="","No review date set",IF($BD344&lt;TODAY(),"OVERDUE",IF($BD344-TODAY()&lt;=7,"Due within 7 days","Scheduled"))))</f>
        <v>Scheduled</v>
      </c>
      <c r="BG344" s="14" t="n">
        <f aca="true">IF($K344="","",TODAY()-$K344)</f>
        <v>4</v>
      </c>
      <c r="BH344" s="15" t="str">
        <f aca="false">IFERROR(LEFT(IF($B344="","Notes, ","")&amp;IF($K344="","Latest Date Worked, ","")&amp;IF($AY344="","Last Action, ","")&amp;IF(AND(OR(TRIM($A344)="Denied",TRIM($A344)="Rejected"),$BA344=""),"Denial Reason, ","")&amp;IF(AND(TRIM($A344)="Denied",$BB344="",TRIM($BA344)&lt;&gt;"NO DENIAL"),"Denial Code, ","")&amp;IF(AND(TRIM($A344)&lt;&gt;"Finalized",$BD344=""),"Next Review Date, ","")&amp;IF(AND(TRIM($A344)&lt;&gt;"Finalized",$BE344=""),"Next Step, ","")&amp;IF(AND(TRIM($A344)="Finalized",$AV344="",$AR344="",$AT344="",$AX344="",$AW344=""),"CPT outcome, ",""),LEN(IF($B344="","Notes, ","")&amp;IF($K344="","Latest Date Worked, ","")&amp;IF($AY344="","Last Action, ","")&amp;IF(AND(OR(TRIM($A344)="Denied",TRIM($A344)="Rejected"),$BA344=""),"Denial Reason, ","")&amp;IF(AND(TRIM($A344)="Denied",$BB344="",TRIM($BA344)&lt;&gt;"NO DENIAL"),"Denial Code, ","")&amp;IF(AND(TRIM($A344)&lt;&gt;"Finalized",$BD344=""),"Next Review Date, ","")&amp;IF(AND(TRIM($A344)&lt;&gt;"Finalized",$BE344=""),"Next Step, ","")&amp;IF(AND(TRIM($A344)="Finalized",$AV344="",$AR344="",$AT344="",$AX344="",$AW344=""),"CPT outcome, ",""))-2),"")</f>
        <v>Next Step</v>
      </c>
      <c r="BI344" s="15" t="str">
        <f aca="false">IF($BB344="","",IFERROR(INDEX('Denial Codes'!$C:$C,MATCH(LEFT($BB344,FIND(" - ",$BB344&amp;" - ")+2)&amp;"*",'Denial Codes'!$A:$A,0)),""))</f>
        <v/>
      </c>
      <c r="BJ344" s="15" t="str">
        <f aca="false">IF($BA344="","",IFERROR(INDEX(Lists!$B:$B,MATCH(TRIM($BA344),Lists!$A:$A,0))&amp;"",""))</f>
        <v>Bill the correct payer, delegated vendor or capitated group/IPA (e.g. Optum Behavioral, Preferred Homecare).</v>
      </c>
    </row>
    <row r="345" customFormat="false" ht="15" hidden="false" customHeight="false" outlineLevel="0" collapsed="false">
      <c r="A345" s="7" t="s">
        <v>21</v>
      </c>
      <c r="B345" s="7" t="s">
        <v>1461</v>
      </c>
      <c r="C345" s="8" t="n">
        <v>570895731</v>
      </c>
      <c r="D345" s="9" t="n">
        <v>46128</v>
      </c>
      <c r="E345" s="10" t="s">
        <v>1432</v>
      </c>
      <c r="F345" s="11" t="n">
        <v>46099</v>
      </c>
      <c r="G345" s="10" t="s">
        <v>369</v>
      </c>
      <c r="H345" s="10" t="s">
        <v>369</v>
      </c>
      <c r="I345" s="10" t="s">
        <v>129</v>
      </c>
      <c r="J345" s="10" t="s">
        <v>424</v>
      </c>
      <c r="K345" s="9" t="n">
        <v>46307</v>
      </c>
      <c r="L345" s="12" t="n">
        <f aca="true">IF($O345="","",$O345-TODAY())</f>
        <v>-122</v>
      </c>
      <c r="M345" s="12" t="n">
        <f aca="true">IF(AND(TRIM($A345)="Finalized",$K345&lt;&gt;""),"",IF($D345="","",$D345+365-TODAY()))</f>
        <v>182</v>
      </c>
      <c r="N345" s="12" t="n">
        <f aca="true">IF(AND(TRIM($A345)="Finalized",$K345&lt;&gt;""),"",IF($D345="","",$D345+365-TODAY()))</f>
        <v>182</v>
      </c>
      <c r="O345" s="11" t="n">
        <f aca="false">IF(AND(TRIM($A345)="Finalized",$K345&lt;&gt;""),"",DATE(2026,6,16))</f>
        <v>46189</v>
      </c>
      <c r="P345" s="10" t="s">
        <v>165</v>
      </c>
      <c r="Q345" s="10" t="s">
        <v>371</v>
      </c>
      <c r="R345" s="10" t="s">
        <v>114</v>
      </c>
      <c r="S345" s="10" t="s">
        <v>116</v>
      </c>
      <c r="T345" s="10" t="s">
        <v>114</v>
      </c>
      <c r="U345" s="10" t="s">
        <v>116</v>
      </c>
      <c r="V345" s="10" t="s">
        <v>167</v>
      </c>
      <c r="W345" s="10" t="s">
        <v>183</v>
      </c>
      <c r="X345" s="10"/>
      <c r="Y345" s="10"/>
      <c r="Z345" s="10"/>
      <c r="AA345" s="10" t="s">
        <v>197</v>
      </c>
      <c r="AB345" s="8" t="n">
        <f aca="true">IF($F345="","",TODAY()-$F345)</f>
        <v>212</v>
      </c>
      <c r="AC345" s="10" t="s">
        <v>211</v>
      </c>
      <c r="AD345" s="10" t="s">
        <v>184</v>
      </c>
      <c r="AE345" s="10"/>
      <c r="AF345" s="10"/>
      <c r="AG345" s="10"/>
      <c r="AH345" s="10"/>
      <c r="AI345" s="10"/>
      <c r="AJ345" s="10" t="s">
        <v>340</v>
      </c>
      <c r="AK345" s="10"/>
      <c r="AL345" s="10"/>
      <c r="AM345" s="10"/>
      <c r="AN345" s="8"/>
      <c r="AO345" s="10" t="s">
        <v>187</v>
      </c>
      <c r="AP345" s="10" t="s">
        <v>188</v>
      </c>
      <c r="AQ345" s="11" t="n">
        <v>46119</v>
      </c>
      <c r="AR345" s="13"/>
      <c r="AS345" s="13"/>
      <c r="AT345" s="13"/>
      <c r="AU345" s="13"/>
      <c r="AV345" s="13"/>
      <c r="AW345" s="13"/>
      <c r="AX345" s="13"/>
      <c r="AY345" s="7" t="s">
        <v>159</v>
      </c>
      <c r="AZ345" s="7" t="s">
        <v>1457</v>
      </c>
      <c r="BA345" s="7" t="s">
        <v>44</v>
      </c>
      <c r="BB345" s="7"/>
      <c r="BC345" s="7" t="s">
        <v>1458</v>
      </c>
      <c r="BD345" s="9" t="n">
        <v>46338</v>
      </c>
      <c r="BE345" s="7"/>
      <c r="BF345" s="14" t="str">
        <f aca="true">IF(TRIM($A345)="Finalized","Closed",IF($BD345="","No review date set",IF($BD345&lt;TODAY(),"OVERDUE",IF($BD345-TODAY()&lt;=7,"Due within 7 days","Scheduled"))))</f>
        <v>Scheduled</v>
      </c>
      <c r="BG345" s="14" t="n">
        <f aca="true">IF($K345="","",TODAY()-$K345)</f>
        <v>4</v>
      </c>
      <c r="BH345" s="15" t="str">
        <f aca="false">IFERROR(LEFT(IF($B345="","Notes, ","")&amp;IF($K345="","Latest Date Worked, ","")&amp;IF($AY345="","Last Action, ","")&amp;IF(AND(OR(TRIM($A345)="Denied",TRIM($A345)="Rejected"),$BA345=""),"Denial Reason, ","")&amp;IF(AND(TRIM($A345)="Denied",$BB345="",TRIM($BA345)&lt;&gt;"NO DENIAL"),"Denial Code, ","")&amp;IF(AND(TRIM($A345)&lt;&gt;"Finalized",$BD345=""),"Next Review Date, ","")&amp;IF(AND(TRIM($A345)&lt;&gt;"Finalized",$BE345=""),"Next Step, ","")&amp;IF(AND(TRIM($A345)="Finalized",$AV345="",$AR345="",$AT345="",$AX345="",$AW345=""),"CPT outcome, ",""),LEN(IF($B345="","Notes, ","")&amp;IF($K345="","Latest Date Worked, ","")&amp;IF($AY345="","Last Action, ","")&amp;IF(AND(OR(TRIM($A345)="Denied",TRIM($A345)="Rejected"),$BA345=""),"Denial Reason, ","")&amp;IF(AND(TRIM($A345)="Denied",$BB345="",TRIM($BA345)&lt;&gt;"NO DENIAL"),"Denial Code, ","")&amp;IF(AND(TRIM($A345)&lt;&gt;"Finalized",$BD345=""),"Next Review Date, ","")&amp;IF(AND(TRIM($A345)&lt;&gt;"Finalized",$BE345=""),"Next Step, ","")&amp;IF(AND(TRIM($A345)="Finalized",$AV345="",$AR345="",$AT345="",$AX345="",$AW345=""),"CPT outcome, ",""))-2),"")</f>
        <v>Next Step</v>
      </c>
      <c r="BI345" s="15" t="str">
        <f aca="false">IF($BB345="","",IFERROR(INDEX('Denial Codes'!$C:$C,MATCH(LEFT($BB345,FIND(" - ",$BB345&amp;" - ")+2)&amp;"*",'Denial Codes'!$A:$A,0)),""))</f>
        <v/>
      </c>
      <c r="BJ345" s="15" t="str">
        <f aca="false">IF($BA345="","",IFERROR(INDEX(Lists!$B:$B,MATCH(TRIM($BA345),Lists!$A:$A,0))&amp;"",""))</f>
        <v>Bill the correct payer, delegated vendor or capitated group/IPA (e.g. Optum Behavioral, Preferred Homecare).</v>
      </c>
    </row>
    <row r="346" customFormat="false" ht="15" hidden="false" customHeight="false" outlineLevel="0" collapsed="false">
      <c r="A346" s="7" t="s">
        <v>20</v>
      </c>
      <c r="B346" s="7" t="s">
        <v>1464</v>
      </c>
      <c r="C346" s="8" t="n">
        <v>553577987</v>
      </c>
      <c r="D346" s="9" t="n">
        <v>46164</v>
      </c>
      <c r="E346" s="10" t="s">
        <v>1465</v>
      </c>
      <c r="F346" s="11" t="n">
        <v>46104</v>
      </c>
      <c r="G346" s="10" t="s">
        <v>787</v>
      </c>
      <c r="H346" s="10" t="s">
        <v>1466</v>
      </c>
      <c r="I346" s="10" t="s">
        <v>787</v>
      </c>
      <c r="J346" s="10" t="s">
        <v>456</v>
      </c>
      <c r="K346" s="9" t="n">
        <v>46269</v>
      </c>
      <c r="L346" s="12" t="str">
        <f aca="true">IF($O346="","",$O346-TODAY())</f>
        <v/>
      </c>
      <c r="M346" s="12"/>
      <c r="N346" s="12"/>
      <c r="O346" s="11"/>
      <c r="P346" s="10"/>
      <c r="Q346" s="10" t="s">
        <v>131</v>
      </c>
      <c r="R346" s="10"/>
      <c r="S346" s="10"/>
      <c r="T346" s="10"/>
      <c r="U346" s="10"/>
      <c r="V346" s="10" t="s">
        <v>167</v>
      </c>
      <c r="W346" s="10" t="s">
        <v>183</v>
      </c>
      <c r="X346" s="10"/>
      <c r="Y346" s="10"/>
      <c r="Z346" s="10"/>
      <c r="AA346" s="10" t="s">
        <v>430</v>
      </c>
      <c r="AB346" s="8" t="n">
        <f aca="true">IF($F346="","",TODAY()-$F346)</f>
        <v>207</v>
      </c>
      <c r="AC346" s="10" t="s">
        <v>184</v>
      </c>
      <c r="AD346" s="10" t="s">
        <v>185</v>
      </c>
      <c r="AE346" s="10"/>
      <c r="AF346" s="10"/>
      <c r="AG346" s="10"/>
      <c r="AH346" s="10"/>
      <c r="AI346" s="10"/>
      <c r="AJ346" s="10" t="s">
        <v>340</v>
      </c>
      <c r="AK346" s="10"/>
      <c r="AL346" s="10"/>
      <c r="AM346" s="10"/>
      <c r="AN346" s="8" t="n">
        <v>557766116</v>
      </c>
      <c r="AO346" s="10" t="s">
        <v>359</v>
      </c>
      <c r="AP346" s="10" t="s">
        <v>308</v>
      </c>
      <c r="AQ346" s="11" t="n">
        <v>46119</v>
      </c>
      <c r="AR346" s="13"/>
      <c r="AS346" s="13"/>
      <c r="AT346" s="13"/>
      <c r="AU346" s="13"/>
      <c r="AV346" s="13" t="s">
        <v>507</v>
      </c>
      <c r="AW346" s="13"/>
      <c r="AX346" s="13" t="s">
        <v>507</v>
      </c>
      <c r="AY346" s="7" t="s">
        <v>233</v>
      </c>
      <c r="AZ346" s="7" t="s">
        <v>465</v>
      </c>
      <c r="BA346" s="7"/>
      <c r="BB346" s="7"/>
      <c r="BC346" s="7"/>
      <c r="BD346" s="9" t="n">
        <v>46299</v>
      </c>
      <c r="BE346" s="7" t="s">
        <v>527</v>
      </c>
      <c r="BF346" s="14" t="str">
        <f aca="true">IF(TRIM($A346)="Finalized","Closed",IF($BD346="","No review date set",IF($BD346&lt;TODAY(),"OVERDUE",IF($BD346-TODAY()&lt;=7,"Due within 7 days","Scheduled"))))</f>
        <v>OVERDUE</v>
      </c>
      <c r="BG346" s="14" t="n">
        <f aca="true">IF($K346="","",TODAY()-$K346)</f>
        <v>42</v>
      </c>
      <c r="BH346" s="15" t="str">
        <f aca="false">IFERROR(LEFT(IF($B346="","Notes, ","")&amp;IF($K346="","Latest Date Worked, ","")&amp;IF($AY346="","Last Action, ","")&amp;IF(AND(OR(TRIM($A346)="Denied",TRIM($A346)="Rejected"),$BA346=""),"Denial Reason, ","")&amp;IF(AND(TRIM($A346)="Denied",$BB346="",TRIM($BA346)&lt;&gt;"NO DENIAL"),"Denial Code, ","")&amp;IF(AND(TRIM($A346)&lt;&gt;"Finalized",$BD346=""),"Next Review Date, ","")&amp;IF(AND(TRIM($A346)&lt;&gt;"Finalized",$BE346=""),"Next Step, ","")&amp;IF(AND(TRIM($A346)="Finalized",$AV346="",$AR346="",$AT346="",$AX346="",$AW346=""),"CPT outcome, ",""),LEN(IF($B346="","Notes, ","")&amp;IF($K346="","Latest Date Worked, ","")&amp;IF($AY346="","Last Action, ","")&amp;IF(AND(OR(TRIM($A346)="Denied",TRIM($A346)="Rejected"),$BA346=""),"Denial Reason, ","")&amp;IF(AND(TRIM($A346)="Denied",$BB346="",TRIM($BA346)&lt;&gt;"NO DENIAL"),"Denial Code, ","")&amp;IF(AND(TRIM($A346)&lt;&gt;"Finalized",$BD346=""),"Next Review Date, ","")&amp;IF(AND(TRIM($A346)&lt;&gt;"Finalized",$BE346=""),"Next Step, ","")&amp;IF(AND(TRIM($A346)="Finalized",$AV346="",$AR346="",$AT346="",$AX346="",$AW346=""),"CPT outcome, ",""))-2),"")</f>
        <v/>
      </c>
      <c r="BI346" s="15" t="str">
        <f aca="false">IF($BB346="","",IFERROR(INDEX('Denial Codes'!$C:$C,MATCH(LEFT($BB346,FIND(" - ",$BB346&amp;" - ")+2)&amp;"*",'Denial Codes'!$A:$A,0)),""))</f>
        <v/>
      </c>
      <c r="BJ346" s="15" t="str">
        <f aca="false">IF($BA346="","",IFERROR(INDEX(Lists!$B:$B,MATCH(TRIM($BA346),Lists!$A:$A,0))&amp;"",""))</f>
        <v/>
      </c>
    </row>
    <row r="347" customFormat="false" ht="15" hidden="false" customHeight="false" outlineLevel="0" collapsed="false">
      <c r="A347" s="7" t="s">
        <v>17</v>
      </c>
      <c r="B347" s="7" t="s">
        <v>1467</v>
      </c>
      <c r="C347" s="8" t="n">
        <v>548926996</v>
      </c>
      <c r="D347" s="9" t="n">
        <v>46141</v>
      </c>
      <c r="E347" s="10" t="s">
        <v>1440</v>
      </c>
      <c r="F347" s="11" t="n">
        <v>46034</v>
      </c>
      <c r="G347" s="10" t="s">
        <v>193</v>
      </c>
      <c r="H347" s="10" t="s">
        <v>193</v>
      </c>
      <c r="I347" s="10" t="s">
        <v>279</v>
      </c>
      <c r="J347" s="10" t="s">
        <v>1468</v>
      </c>
      <c r="K347" s="9" t="n">
        <v>46305</v>
      </c>
      <c r="L347" s="12" t="str">
        <f aca="true">IF($O347="","",$O347-TODAY())</f>
        <v/>
      </c>
      <c r="M347" s="12"/>
      <c r="N347" s="12" t="n">
        <f aca="true">IF(AND(TRIM($A347)="Finalized",$K347&lt;&gt;""),"",IF($D347="","",$D347+180-TODAY()))</f>
        <v>10</v>
      </c>
      <c r="O347" s="11"/>
      <c r="P347" s="10"/>
      <c r="Q347" s="10" t="s">
        <v>195</v>
      </c>
      <c r="R347" s="10"/>
      <c r="S347" s="10"/>
      <c r="T347" s="10" t="s">
        <v>147</v>
      </c>
      <c r="U347" s="10" t="s">
        <v>116</v>
      </c>
      <c r="V347" s="10" t="s">
        <v>118</v>
      </c>
      <c r="W347" s="10" t="s">
        <v>434</v>
      </c>
      <c r="X347" s="10" t="s">
        <v>655</v>
      </c>
      <c r="Y347" s="10" t="s">
        <v>436</v>
      </c>
      <c r="Z347" s="10"/>
      <c r="AA347" s="10" t="s">
        <v>1359</v>
      </c>
      <c r="AB347" s="8" t="n">
        <f aca="true">IF($F347="","",TODAY()-$F347)</f>
        <v>277</v>
      </c>
      <c r="AC347" s="10" t="s">
        <v>441</v>
      </c>
      <c r="AD347" s="10" t="s">
        <v>440</v>
      </c>
      <c r="AE347" s="10" t="s">
        <v>443</v>
      </c>
      <c r="AF347" s="10" t="s">
        <v>657</v>
      </c>
      <c r="AG347" s="10" t="s">
        <v>439</v>
      </c>
      <c r="AH347" s="10" t="s">
        <v>438</v>
      </c>
      <c r="AI347" s="10" t="s">
        <v>442</v>
      </c>
      <c r="AJ347" s="10" t="s">
        <v>444</v>
      </c>
      <c r="AK347" s="10" t="s">
        <v>445</v>
      </c>
      <c r="AL347" s="10" t="s">
        <v>446</v>
      </c>
      <c r="AM347" s="10"/>
      <c r="AN347" s="8"/>
      <c r="AO347" s="10" t="s">
        <v>447</v>
      </c>
      <c r="AP347" s="10" t="s">
        <v>202</v>
      </c>
      <c r="AQ347" s="11" t="n">
        <v>46062</v>
      </c>
      <c r="AR347" s="13"/>
      <c r="AS347" s="13"/>
      <c r="AT347" s="13"/>
      <c r="AU347" s="13"/>
      <c r="AV347" s="13"/>
      <c r="AW347" s="13"/>
      <c r="AX347" s="13"/>
      <c r="AY347" s="7" t="s">
        <v>203</v>
      </c>
      <c r="AZ347" s="7" t="s">
        <v>203</v>
      </c>
      <c r="BA347" s="7" t="s">
        <v>36</v>
      </c>
      <c r="BB347" s="7" t="s">
        <v>204</v>
      </c>
      <c r="BC347" s="7" t="s">
        <v>1469</v>
      </c>
      <c r="BD347" s="9" t="n">
        <v>46336</v>
      </c>
      <c r="BE347" s="7"/>
      <c r="BF347" s="14" t="str">
        <f aca="true">IF(TRIM($A347)="Finalized","Closed",IF($BD347="","No review date set",IF($BD347&lt;TODAY(),"OVERDUE",IF($BD347-TODAY()&lt;=7,"Due within 7 days","Scheduled"))))</f>
        <v>Scheduled</v>
      </c>
      <c r="BG347" s="14" t="n">
        <f aca="true">IF($K347="","",TODAY()-$K347)</f>
        <v>6</v>
      </c>
      <c r="BH347" s="15" t="str">
        <f aca="false">IFERROR(LEFT(IF($B347="","Notes, ","")&amp;IF($K347="","Latest Date Worked, ","")&amp;IF($AY347="","Last Action, ","")&amp;IF(AND(OR(TRIM($A347)="Denied",TRIM($A347)="Rejected"),$BA347=""),"Denial Reason, ","")&amp;IF(AND(TRIM($A347)="Denied",$BB347="",TRIM($BA347)&lt;&gt;"NO DENIAL"),"Denial Code, ","")&amp;IF(AND(TRIM($A347)&lt;&gt;"Finalized",$BD347=""),"Next Review Date, ","")&amp;IF(AND(TRIM($A347)&lt;&gt;"Finalized",$BE347=""),"Next Step, ","")&amp;IF(AND(TRIM($A347)="Finalized",$AV347="",$AR347="",$AT347="",$AX347="",$AW347=""),"CPT outcome, ",""),LEN(IF($B347="","Notes, ","")&amp;IF($K347="","Latest Date Worked, ","")&amp;IF($AY347="","Last Action, ","")&amp;IF(AND(OR(TRIM($A347)="Denied",TRIM($A347)="Rejected"),$BA347=""),"Denial Reason, ","")&amp;IF(AND(TRIM($A347)="Denied",$BB347="",TRIM($BA347)&lt;&gt;"NO DENIAL"),"Denial Code, ","")&amp;IF(AND(TRIM($A347)&lt;&gt;"Finalized",$BD347=""),"Next Review Date, ","")&amp;IF(AND(TRIM($A347)&lt;&gt;"Finalized",$BE347=""),"Next Step, ","")&amp;IF(AND(TRIM($A347)="Finalized",$AV347="",$AR347="",$AT347="",$AX347="",$AW347=""),"CPT outcome, ",""))-2),"")</f>
        <v>Next Step</v>
      </c>
      <c r="BI347" s="15" t="str">
        <f aca="false">IF($BB347="","",IFERROR(INDEX('Denial Codes'!$C:$C,MATCH(LEFT($BB347,FIND(" - ",$BB347&amp;" - ")+2)&amp;"*",'Denial Codes'!$A:$A,0)),""))</f>
        <v>Medical records needed</v>
      </c>
      <c r="BJ347" s="15" t="str">
        <f aca="false">IF($BA347="","",IFERROR(INDEX(Lists!$B:$B,MATCH(TRIM($BA347),Lists!$A:$A,0))&amp;"",""))</f>
        <v>Upload the MR on the payer portal, note the PIQ/reference number and set a review date.</v>
      </c>
    </row>
    <row r="348" customFormat="false" ht="15" hidden="false" customHeight="false" outlineLevel="0" collapsed="false">
      <c r="A348" s="7" t="s">
        <v>18</v>
      </c>
      <c r="B348" s="7"/>
      <c r="C348" s="8" t="n">
        <v>549178846</v>
      </c>
      <c r="D348" s="9" t="n">
        <v>46111</v>
      </c>
      <c r="E348" s="10" t="s">
        <v>127</v>
      </c>
      <c r="F348" s="11" t="n">
        <v>46045</v>
      </c>
      <c r="G348" s="10" t="s">
        <v>128</v>
      </c>
      <c r="H348" s="10" t="s">
        <v>128</v>
      </c>
      <c r="I348" s="10" t="s">
        <v>129</v>
      </c>
      <c r="J348" s="10" t="s">
        <v>1470</v>
      </c>
      <c r="K348" s="9"/>
      <c r="L348" s="12" t="str">
        <f aca="true">IF($O348="","",$O348-TODAY())</f>
        <v/>
      </c>
      <c r="M348" s="12"/>
      <c r="N348" s="12"/>
      <c r="O348" s="11"/>
      <c r="P348" s="10"/>
      <c r="Q348" s="10" t="s">
        <v>131</v>
      </c>
      <c r="R348" s="10"/>
      <c r="S348" s="10"/>
      <c r="T348" s="10"/>
      <c r="U348" s="10"/>
      <c r="V348" s="10" t="s">
        <v>118</v>
      </c>
      <c r="W348" s="10" t="s">
        <v>132</v>
      </c>
      <c r="X348" s="10" t="s">
        <v>133</v>
      </c>
      <c r="Y348" s="10" t="s">
        <v>134</v>
      </c>
      <c r="Z348" s="10"/>
      <c r="AA348" s="10" t="s">
        <v>197</v>
      </c>
      <c r="AB348" s="8" t="n">
        <f aca="true">IF($F348="","",TODAY()-$F348)</f>
        <v>266</v>
      </c>
      <c r="AC348" s="10" t="s">
        <v>137</v>
      </c>
      <c r="AD348" s="10" t="s">
        <v>137</v>
      </c>
      <c r="AE348" s="10"/>
      <c r="AF348" s="10"/>
      <c r="AG348" s="10"/>
      <c r="AH348" s="10"/>
      <c r="AI348" s="10"/>
      <c r="AJ348" s="10" t="s">
        <v>138</v>
      </c>
      <c r="AK348" s="10" t="s">
        <v>139</v>
      </c>
      <c r="AL348" s="10"/>
      <c r="AM348" s="10"/>
      <c r="AN348" s="8"/>
      <c r="AO348" s="10" t="s">
        <v>140</v>
      </c>
      <c r="AP348" s="10" t="s">
        <v>141</v>
      </c>
      <c r="AQ348" s="11" t="n">
        <v>46058</v>
      </c>
      <c r="AR348" s="13"/>
      <c r="AS348" s="13"/>
      <c r="AT348" s="13"/>
      <c r="AU348" s="13"/>
      <c r="AV348" s="13"/>
      <c r="AW348" s="13"/>
      <c r="AX348" s="13"/>
      <c r="AY348" s="7" t="s">
        <v>233</v>
      </c>
      <c r="AZ348" s="7"/>
      <c r="BA348" s="7"/>
      <c r="BB348" s="7"/>
      <c r="BC348" s="7"/>
      <c r="BD348" s="9"/>
      <c r="BE348" s="7" t="s">
        <v>142</v>
      </c>
      <c r="BF348" s="14" t="str">
        <f aca="true">IF(TRIM($A348)="Finalized","Closed",IF($BD348="","No review date set",IF($BD348&lt;TODAY(),"OVERDUE",IF($BD348-TODAY()&lt;=7,"Due within 7 days","Scheduled"))))</f>
        <v>No review date set</v>
      </c>
      <c r="BG348" s="14" t="str">
        <f aca="true">IF($K348="","",TODAY()-$K348)</f>
        <v/>
      </c>
      <c r="BH348" s="15" t="str">
        <f aca="false">IFERROR(LEFT(IF($B348="","Notes, ","")&amp;IF($K348="","Latest Date Worked, ","")&amp;IF($AY348="","Last Action, ","")&amp;IF(AND(OR(TRIM($A348)="Denied",TRIM($A348)="Rejected"),$BA348=""),"Denial Reason, ","")&amp;IF(AND(TRIM($A348)="Denied",$BB348="",TRIM($BA348)&lt;&gt;"NO DENIAL"),"Denial Code, ","")&amp;IF(AND(TRIM($A348)&lt;&gt;"Finalized",$BD348=""),"Next Review Date, ","")&amp;IF(AND(TRIM($A348)&lt;&gt;"Finalized",$BE348=""),"Next Step, ","")&amp;IF(AND(TRIM($A348)="Finalized",$AV348="",$AR348="",$AT348="",$AX348="",$AW348=""),"CPT outcome, ",""),LEN(IF($B348="","Notes, ","")&amp;IF($K348="","Latest Date Worked, ","")&amp;IF($AY348="","Last Action, ","")&amp;IF(AND(OR(TRIM($A348)="Denied",TRIM($A348)="Rejected"),$BA348=""),"Denial Reason, ","")&amp;IF(AND(TRIM($A348)="Denied",$BB348="",TRIM($BA348)&lt;&gt;"NO DENIAL"),"Denial Code, ","")&amp;IF(AND(TRIM($A348)&lt;&gt;"Finalized",$BD348=""),"Next Review Date, ","")&amp;IF(AND(TRIM($A348)&lt;&gt;"Finalized",$BE348=""),"Next Step, ","")&amp;IF(AND(TRIM($A348)="Finalized",$AV348="",$AR348="",$AT348="",$AX348="",$AW348=""),"CPT outcome, ",""))-2),"")</f>
        <v>Notes, Latest Date Worked, Next Review Date</v>
      </c>
      <c r="BI348" s="15" t="str">
        <f aca="false">IF($BB348="","",IFERROR(INDEX('Denial Codes'!$C:$C,MATCH(LEFT($BB348,FIND(" - ",$BB348&amp;" - ")+2)&amp;"*",'Denial Codes'!$A:$A,0)),""))</f>
        <v/>
      </c>
      <c r="BJ348" s="15" t="str">
        <f aca="false">IF($BA348="","",IFERROR(INDEX(Lists!$B:$B,MATCH(TRIM($BA348),Lists!$A:$A,0))&amp;"",""))</f>
        <v/>
      </c>
    </row>
    <row r="349" customFormat="false" ht="15" hidden="false" customHeight="false" outlineLevel="0" collapsed="false">
      <c r="A349" s="7" t="s">
        <v>19</v>
      </c>
      <c r="B349" s="7" t="s">
        <v>1471</v>
      </c>
      <c r="C349" s="8" t="n">
        <v>571716115</v>
      </c>
      <c r="D349" s="9" t="n">
        <v>46177</v>
      </c>
      <c r="E349" s="10" t="s">
        <v>1472</v>
      </c>
      <c r="F349" s="11" t="n">
        <v>46048</v>
      </c>
      <c r="G349" s="10" t="s">
        <v>243</v>
      </c>
      <c r="H349" s="10" t="s">
        <v>243</v>
      </c>
      <c r="I349" s="10" t="s">
        <v>129</v>
      </c>
      <c r="J349" s="10" t="s">
        <v>1473</v>
      </c>
      <c r="K349" s="9" t="n">
        <v>46280</v>
      </c>
      <c r="L349" s="12" t="str">
        <f aca="true">IF($O349="","",$O349-TODAY())</f>
        <v/>
      </c>
      <c r="M349" s="12"/>
      <c r="N349" s="12"/>
      <c r="O349" s="11"/>
      <c r="P349" s="10"/>
      <c r="Q349" s="10" t="s">
        <v>131</v>
      </c>
      <c r="R349" s="10"/>
      <c r="S349" s="10"/>
      <c r="T349" s="10"/>
      <c r="U349" s="10"/>
      <c r="V349" s="10" t="s">
        <v>118</v>
      </c>
      <c r="W349" s="10" t="s">
        <v>132</v>
      </c>
      <c r="X349" s="10" t="s">
        <v>1474</v>
      </c>
      <c r="Y349" s="10"/>
      <c r="Z349" s="10"/>
      <c r="AA349" s="10" t="s">
        <v>197</v>
      </c>
      <c r="AB349" s="8" t="n">
        <f aca="true">IF($F349="","",TODAY()-$F349)</f>
        <v>263</v>
      </c>
      <c r="AC349" s="10" t="s">
        <v>545</v>
      </c>
      <c r="AD349" s="10"/>
      <c r="AE349" s="10"/>
      <c r="AF349" s="10"/>
      <c r="AG349" s="10"/>
      <c r="AH349" s="10"/>
      <c r="AI349" s="10"/>
      <c r="AJ349" s="10" t="s">
        <v>362</v>
      </c>
      <c r="AK349" s="10"/>
      <c r="AL349" s="10"/>
      <c r="AM349" s="10"/>
      <c r="AN349" s="8"/>
      <c r="AO349" s="10" t="s">
        <v>546</v>
      </c>
      <c r="AP349" s="10" t="s">
        <v>175</v>
      </c>
      <c r="AQ349" s="11" t="n">
        <v>46079</v>
      </c>
      <c r="AR349" s="13"/>
      <c r="AS349" s="13"/>
      <c r="AT349" s="13"/>
      <c r="AU349" s="13"/>
      <c r="AV349" s="13"/>
      <c r="AW349" s="13"/>
      <c r="AX349" s="13" t="n">
        <v>63655</v>
      </c>
      <c r="AY349" s="7" t="s">
        <v>159</v>
      </c>
      <c r="AZ349" s="7" t="s">
        <v>203</v>
      </c>
      <c r="BA349" s="7" t="s">
        <v>36</v>
      </c>
      <c r="BB349" s="7"/>
      <c r="BC349" s="7"/>
      <c r="BD349" s="9" t="n">
        <v>46310</v>
      </c>
      <c r="BE349" s="7"/>
      <c r="BF349" s="14" t="str">
        <f aca="true">IF(TRIM($A349)="Finalized","Closed",IF($BD349="","No review date set",IF($BD349&lt;TODAY(),"OVERDUE",IF($BD349-TODAY()&lt;=7,"Due within 7 days","Scheduled"))))</f>
        <v>OVERDUE</v>
      </c>
      <c r="BG349" s="14" t="n">
        <f aca="true">IF($K349="","",TODAY()-$K349)</f>
        <v>31</v>
      </c>
      <c r="BH349" s="15" t="str">
        <f aca="false">IFERROR(LEFT(IF($B349="","Notes, ","")&amp;IF($K349="","Latest Date Worked, ","")&amp;IF($AY349="","Last Action, ","")&amp;IF(AND(OR(TRIM($A349)="Denied",TRIM($A349)="Rejected"),$BA349=""),"Denial Reason, ","")&amp;IF(AND(TRIM($A349)="Denied",$BB349="",TRIM($BA349)&lt;&gt;"NO DENIAL"),"Denial Code, ","")&amp;IF(AND(TRIM($A349)&lt;&gt;"Finalized",$BD349=""),"Next Review Date, ","")&amp;IF(AND(TRIM($A349)&lt;&gt;"Finalized",$BE349=""),"Next Step, ","")&amp;IF(AND(TRIM($A349)="Finalized",$AV349="",$AR349="",$AT349="",$AX349="",$AW349=""),"CPT outcome, ",""),LEN(IF($B349="","Notes, ","")&amp;IF($K349="","Latest Date Worked, ","")&amp;IF($AY349="","Last Action, ","")&amp;IF(AND(OR(TRIM($A349)="Denied",TRIM($A349)="Rejected"),$BA349=""),"Denial Reason, ","")&amp;IF(AND(TRIM($A349)="Denied",$BB349="",TRIM($BA349)&lt;&gt;"NO DENIAL"),"Denial Code, ","")&amp;IF(AND(TRIM($A349)&lt;&gt;"Finalized",$BD349=""),"Next Review Date, ","")&amp;IF(AND(TRIM($A349)&lt;&gt;"Finalized",$BE349=""),"Next Step, ","")&amp;IF(AND(TRIM($A349)="Finalized",$AV349="",$AR349="",$AT349="",$AX349="",$AW349=""),"CPT outcome, ",""))-2),"")</f>
        <v>Next Step</v>
      </c>
      <c r="BI349" s="15" t="str">
        <f aca="false">IF($BB349="","",IFERROR(INDEX('Denial Codes'!$C:$C,MATCH(LEFT($BB349,FIND(" - ",$BB349&amp;" - ")+2)&amp;"*",'Denial Codes'!$A:$A,0)),""))</f>
        <v/>
      </c>
      <c r="BJ349" s="15" t="str">
        <f aca="false">IF($BA349="","",IFERROR(INDEX(Lists!$B:$B,MATCH(TRIM($BA349),Lists!$A:$A,0))&amp;"",""))</f>
        <v>Upload the MR on the payer portal, note the PIQ/reference number and set a review date.</v>
      </c>
    </row>
    <row r="350" customFormat="false" ht="15" hidden="false" customHeight="false" outlineLevel="0" collapsed="false">
      <c r="A350" s="7" t="s">
        <v>18</v>
      </c>
      <c r="B350" s="7" t="s">
        <v>1475</v>
      </c>
      <c r="C350" s="8" t="n">
        <v>556696226</v>
      </c>
      <c r="D350" s="9"/>
      <c r="E350" s="10" t="s">
        <v>1476</v>
      </c>
      <c r="F350" s="11" t="n">
        <v>46125</v>
      </c>
      <c r="G350" s="10" t="s">
        <v>1477</v>
      </c>
      <c r="H350" s="10" t="s">
        <v>1477</v>
      </c>
      <c r="I350" s="10" t="s">
        <v>129</v>
      </c>
      <c r="J350" s="10" t="s">
        <v>1478</v>
      </c>
      <c r="K350" s="9"/>
      <c r="L350" s="12" t="str">
        <f aca="true">IF($O350="","",$O350-TODAY())</f>
        <v/>
      </c>
      <c r="M350" s="12"/>
      <c r="N350" s="12"/>
      <c r="O350" s="11"/>
      <c r="P350" s="10"/>
      <c r="Q350" s="10" t="s">
        <v>131</v>
      </c>
      <c r="R350" s="10"/>
      <c r="S350" s="10"/>
      <c r="T350" s="10"/>
      <c r="U350" s="10"/>
      <c r="V350" s="10" t="s">
        <v>221</v>
      </c>
      <c r="W350" s="10" t="s">
        <v>132</v>
      </c>
      <c r="X350" s="10" t="s">
        <v>1479</v>
      </c>
      <c r="Y350" s="10"/>
      <c r="Z350" s="10"/>
      <c r="AA350" s="10" t="s">
        <v>197</v>
      </c>
      <c r="AB350" s="8" t="n">
        <f aca="true">IF($F350="","",TODAY()-$F350)</f>
        <v>186</v>
      </c>
      <c r="AC350" s="10" t="s">
        <v>858</v>
      </c>
      <c r="AD350" s="10" t="s">
        <v>1126</v>
      </c>
      <c r="AE350" s="10"/>
      <c r="AF350" s="10"/>
      <c r="AG350" s="10"/>
      <c r="AH350" s="10"/>
      <c r="AI350" s="10"/>
      <c r="AJ350" s="10" t="s">
        <v>124</v>
      </c>
      <c r="AK350" s="10" t="s">
        <v>139</v>
      </c>
      <c r="AL350" s="10" t="s">
        <v>598</v>
      </c>
      <c r="AM350" s="10" t="s">
        <v>1410</v>
      </c>
      <c r="AN350" s="8"/>
      <c r="AO350" s="10" t="s">
        <v>546</v>
      </c>
      <c r="AP350" s="10" t="s">
        <v>175</v>
      </c>
      <c r="AQ350" s="11" t="n">
        <v>46133</v>
      </c>
      <c r="AR350" s="13"/>
      <c r="AS350" s="13"/>
      <c r="AT350" s="13"/>
      <c r="AU350" s="13"/>
      <c r="AV350" s="13"/>
      <c r="AW350" s="13"/>
      <c r="AX350" s="13"/>
      <c r="AY350" s="7"/>
      <c r="AZ350" s="7"/>
      <c r="BA350" s="7"/>
      <c r="BB350" s="7"/>
      <c r="BC350" s="7"/>
      <c r="BD350" s="9"/>
      <c r="BE350" s="7" t="s">
        <v>1480</v>
      </c>
      <c r="BF350" s="14" t="str">
        <f aca="true">IF(TRIM($A350)="Finalized","Closed",IF($BD350="","No review date set",IF($BD350&lt;TODAY(),"OVERDUE",IF($BD350-TODAY()&lt;=7,"Due within 7 days","Scheduled"))))</f>
        <v>No review date set</v>
      </c>
      <c r="BG350" s="14" t="str">
        <f aca="true">IF($K350="","",TODAY()-$K350)</f>
        <v/>
      </c>
      <c r="BH350" s="15" t="str">
        <f aca="false">IFERROR(LEFT(IF($B350="","Notes, ","")&amp;IF($K350="","Latest Date Worked, ","")&amp;IF($AY350="","Last Action, ","")&amp;IF(AND(OR(TRIM($A350)="Denied",TRIM($A350)="Rejected"),$BA350=""),"Denial Reason, ","")&amp;IF(AND(TRIM($A350)="Denied",$BB350="",TRIM($BA350)&lt;&gt;"NO DENIAL"),"Denial Code, ","")&amp;IF(AND(TRIM($A350)&lt;&gt;"Finalized",$BD350=""),"Next Review Date, ","")&amp;IF(AND(TRIM($A350)&lt;&gt;"Finalized",$BE350=""),"Next Step, ","")&amp;IF(AND(TRIM($A350)="Finalized",$AV350="",$AR350="",$AT350="",$AX350="",$AW350=""),"CPT outcome, ",""),LEN(IF($B350="","Notes, ","")&amp;IF($K350="","Latest Date Worked, ","")&amp;IF($AY350="","Last Action, ","")&amp;IF(AND(OR(TRIM($A350)="Denied",TRIM($A350)="Rejected"),$BA350=""),"Denial Reason, ","")&amp;IF(AND(TRIM($A350)="Denied",$BB350="",TRIM($BA350)&lt;&gt;"NO DENIAL"),"Denial Code, ","")&amp;IF(AND(TRIM($A350)&lt;&gt;"Finalized",$BD350=""),"Next Review Date, ","")&amp;IF(AND(TRIM($A350)&lt;&gt;"Finalized",$BE350=""),"Next Step, ","")&amp;IF(AND(TRIM($A350)="Finalized",$AV350="",$AR350="",$AT350="",$AX350="",$AW350=""),"CPT outcome, ",""))-2),"")</f>
        <v>Latest Date Worked, Last Action, Next Review Date</v>
      </c>
      <c r="BI350" s="15" t="str">
        <f aca="false">IF($BB350="","",IFERROR(INDEX('Denial Codes'!$C:$C,MATCH(LEFT($BB350,FIND(" - ",$BB350&amp;" - ")+2)&amp;"*",'Denial Codes'!$A:$A,0)),""))</f>
        <v/>
      </c>
      <c r="BJ350" s="15" t="str">
        <f aca="false">IF($BA350="","",IFERROR(INDEX(Lists!$B:$B,MATCH(TRIM($BA350),Lists!$A:$A,0))&amp;"",""))</f>
        <v/>
      </c>
    </row>
    <row r="351" customFormat="false" ht="15" hidden="false" customHeight="false" outlineLevel="0" collapsed="false">
      <c r="A351" s="7" t="s">
        <v>18</v>
      </c>
      <c r="B351" s="7"/>
      <c r="C351" s="8" t="n">
        <v>556047036</v>
      </c>
      <c r="D351" s="9"/>
      <c r="E351" s="10" t="s">
        <v>1481</v>
      </c>
      <c r="F351" s="11" t="n">
        <v>46127</v>
      </c>
      <c r="G351" s="10" t="s">
        <v>128</v>
      </c>
      <c r="H351" s="10" t="s">
        <v>128</v>
      </c>
      <c r="I351" s="10" t="s">
        <v>129</v>
      </c>
      <c r="J351" s="10" t="s">
        <v>370</v>
      </c>
      <c r="K351" s="9"/>
      <c r="L351" s="12" t="str">
        <f aca="true">IF($O351="","",$O351-TODAY())</f>
        <v/>
      </c>
      <c r="M351" s="12"/>
      <c r="N351" s="12"/>
      <c r="O351" s="11"/>
      <c r="P351" s="10"/>
      <c r="Q351" s="10" t="s">
        <v>131</v>
      </c>
      <c r="R351" s="10"/>
      <c r="S351" s="10"/>
      <c r="T351" s="10"/>
      <c r="U351" s="10"/>
      <c r="V351" s="10" t="s">
        <v>221</v>
      </c>
      <c r="W351" s="10" t="s">
        <v>183</v>
      </c>
      <c r="X351" s="10"/>
      <c r="Y351" s="10"/>
      <c r="Z351" s="10"/>
      <c r="AA351" s="10" t="s">
        <v>197</v>
      </c>
      <c r="AB351" s="8" t="n">
        <f aca="true">IF($F351="","",TODAY()-$F351)</f>
        <v>184</v>
      </c>
      <c r="AC351" s="10" t="s">
        <v>211</v>
      </c>
      <c r="AD351" s="10"/>
      <c r="AE351" s="10"/>
      <c r="AF351" s="10"/>
      <c r="AG351" s="10"/>
      <c r="AH351" s="10"/>
      <c r="AI351" s="10"/>
      <c r="AJ351" s="10" t="s">
        <v>186</v>
      </c>
      <c r="AK351" s="10"/>
      <c r="AL351" s="10"/>
      <c r="AM351" s="10"/>
      <c r="AN351" s="8"/>
      <c r="AO351" s="10" t="s">
        <v>359</v>
      </c>
      <c r="AP351" s="10" t="s">
        <v>202</v>
      </c>
      <c r="AQ351" s="11" t="n">
        <v>46153</v>
      </c>
      <c r="AR351" s="13"/>
      <c r="AS351" s="13"/>
      <c r="AT351" s="13"/>
      <c r="AU351" s="13"/>
      <c r="AV351" s="13"/>
      <c r="AW351" s="13"/>
      <c r="AX351" s="13"/>
      <c r="AY351" s="7" t="s">
        <v>233</v>
      </c>
      <c r="AZ351" s="7"/>
      <c r="BA351" s="7"/>
      <c r="BB351" s="7"/>
      <c r="BC351" s="7"/>
      <c r="BD351" s="9"/>
      <c r="BE351" s="7" t="s">
        <v>142</v>
      </c>
      <c r="BF351" s="14" t="str">
        <f aca="true">IF(TRIM($A351)="Finalized","Closed",IF($BD351="","No review date set",IF($BD351&lt;TODAY(),"OVERDUE",IF($BD351-TODAY()&lt;=7,"Due within 7 days","Scheduled"))))</f>
        <v>No review date set</v>
      </c>
      <c r="BG351" s="14" t="str">
        <f aca="true">IF($K351="","",TODAY()-$K351)</f>
        <v/>
      </c>
      <c r="BH351" s="15" t="str">
        <f aca="false">IFERROR(LEFT(IF($B351="","Notes, ","")&amp;IF($K351="","Latest Date Worked, ","")&amp;IF($AY351="","Last Action, ","")&amp;IF(AND(OR(TRIM($A351)="Denied",TRIM($A351)="Rejected"),$BA351=""),"Denial Reason, ","")&amp;IF(AND(TRIM($A351)="Denied",$BB351="",TRIM($BA351)&lt;&gt;"NO DENIAL"),"Denial Code, ","")&amp;IF(AND(TRIM($A351)&lt;&gt;"Finalized",$BD351=""),"Next Review Date, ","")&amp;IF(AND(TRIM($A351)&lt;&gt;"Finalized",$BE351=""),"Next Step, ","")&amp;IF(AND(TRIM($A351)="Finalized",$AV351="",$AR351="",$AT351="",$AX351="",$AW351=""),"CPT outcome, ",""),LEN(IF($B351="","Notes, ","")&amp;IF($K351="","Latest Date Worked, ","")&amp;IF($AY351="","Last Action, ","")&amp;IF(AND(OR(TRIM($A351)="Denied",TRIM($A351)="Rejected"),$BA351=""),"Denial Reason, ","")&amp;IF(AND(TRIM($A351)="Denied",$BB351="",TRIM($BA351)&lt;&gt;"NO DENIAL"),"Denial Code, ","")&amp;IF(AND(TRIM($A351)&lt;&gt;"Finalized",$BD351=""),"Next Review Date, ","")&amp;IF(AND(TRIM($A351)&lt;&gt;"Finalized",$BE351=""),"Next Step, ","")&amp;IF(AND(TRIM($A351)="Finalized",$AV351="",$AR351="",$AT351="",$AX351="",$AW351=""),"CPT outcome, ",""))-2),"")</f>
        <v>Notes, Latest Date Worked, Next Review Date</v>
      </c>
      <c r="BI351" s="15" t="str">
        <f aca="false">IF($BB351="","",IFERROR(INDEX('Denial Codes'!$C:$C,MATCH(LEFT($BB351,FIND(" - ",$BB351&amp;" - ")+2)&amp;"*",'Denial Codes'!$A:$A,0)),""))</f>
        <v/>
      </c>
      <c r="BJ351" s="15" t="str">
        <f aca="false">IF($BA351="","",IFERROR(INDEX(Lists!$B:$B,MATCH(TRIM($BA351),Lists!$A:$A,0))&amp;"",""))</f>
        <v/>
      </c>
    </row>
    <row r="352" customFormat="false" ht="15" hidden="false" customHeight="false" outlineLevel="0" collapsed="false">
      <c r="A352" s="7" t="s">
        <v>16</v>
      </c>
      <c r="B352" s="7" t="s">
        <v>20</v>
      </c>
      <c r="C352" s="8" t="n">
        <v>556723206</v>
      </c>
      <c r="D352" s="9"/>
      <c r="E352" s="10" t="s">
        <v>1482</v>
      </c>
      <c r="F352" s="11" t="n">
        <v>46127</v>
      </c>
      <c r="G352" s="10" t="s">
        <v>1483</v>
      </c>
      <c r="H352" s="10" t="s">
        <v>1483</v>
      </c>
      <c r="I352" s="10" t="s">
        <v>129</v>
      </c>
      <c r="J352" s="10" t="s">
        <v>423</v>
      </c>
      <c r="K352" s="9" t="n">
        <v>46287</v>
      </c>
      <c r="L352" s="12" t="str">
        <f aca="true">IF($O352="","",$O352-TODAY())</f>
        <v/>
      </c>
      <c r="M352" s="12"/>
      <c r="N352" s="12"/>
      <c r="O352" s="11"/>
      <c r="P352" s="10"/>
      <c r="Q352" s="10" t="s">
        <v>131</v>
      </c>
      <c r="R352" s="10"/>
      <c r="S352" s="10"/>
      <c r="T352" s="10"/>
      <c r="U352" s="10"/>
      <c r="V352" s="10" t="s">
        <v>221</v>
      </c>
      <c r="W352" s="10" t="s">
        <v>132</v>
      </c>
      <c r="X352" s="10"/>
      <c r="Y352" s="10"/>
      <c r="Z352" s="10"/>
      <c r="AA352" s="10" t="s">
        <v>197</v>
      </c>
      <c r="AB352" s="8" t="n">
        <f aca="true">IF($F352="","",TODAY()-$F352)</f>
        <v>184</v>
      </c>
      <c r="AC352" s="10" t="s">
        <v>169</v>
      </c>
      <c r="AD352" s="10" t="s">
        <v>246</v>
      </c>
      <c r="AE352" s="10"/>
      <c r="AF352" s="10"/>
      <c r="AG352" s="10"/>
      <c r="AH352" s="10"/>
      <c r="AI352" s="10"/>
      <c r="AJ352" s="10" t="s">
        <v>859</v>
      </c>
      <c r="AK352" s="10" t="s">
        <v>751</v>
      </c>
      <c r="AL352" s="10" t="s">
        <v>311</v>
      </c>
      <c r="AM352" s="10" t="s">
        <v>598</v>
      </c>
      <c r="AN352" s="8"/>
      <c r="AO352" s="10" t="s">
        <v>174</v>
      </c>
      <c r="AP352" s="10" t="s">
        <v>175</v>
      </c>
      <c r="AQ352" s="11" t="n">
        <v>46164</v>
      </c>
      <c r="AR352" s="13"/>
      <c r="AS352" s="13"/>
      <c r="AT352" s="13"/>
      <c r="AU352" s="13"/>
      <c r="AV352" s="13" t="s">
        <v>922</v>
      </c>
      <c r="AW352" s="13"/>
      <c r="AX352" s="13"/>
      <c r="AY352" s="7" t="s">
        <v>363</v>
      </c>
      <c r="AZ352" s="7"/>
      <c r="BA352" s="7"/>
      <c r="BB352" s="7"/>
      <c r="BC352" s="7"/>
      <c r="BD352" s="9"/>
      <c r="BE352" s="7"/>
      <c r="BF352" s="14" t="str">
        <f aca="true">IF(TRIM($A352)="Finalized","Closed",IF($BD352="","No review date set",IF($BD352&lt;TODAY(),"OVERDUE",IF($BD352-TODAY()&lt;=7,"Due within 7 days","Scheduled"))))</f>
        <v>Closed</v>
      </c>
      <c r="BG352" s="14" t="n">
        <f aca="true">IF($K352="","",TODAY()-$K352)</f>
        <v>24</v>
      </c>
      <c r="BH352" s="15" t="str">
        <f aca="false">IFERROR(LEFT(IF($B352="","Notes, ","")&amp;IF($K352="","Latest Date Worked, ","")&amp;IF($AY352="","Last Action, ","")&amp;IF(AND(OR(TRIM($A352)="Denied",TRIM($A352)="Rejected"),$BA352=""),"Denial Reason, ","")&amp;IF(AND(TRIM($A352)="Denied",$BB352="",TRIM($BA352)&lt;&gt;"NO DENIAL"),"Denial Code, ","")&amp;IF(AND(TRIM($A352)&lt;&gt;"Finalized",$BD352=""),"Next Review Date, ","")&amp;IF(AND(TRIM($A352)&lt;&gt;"Finalized",$BE352=""),"Next Step, ","")&amp;IF(AND(TRIM($A352)="Finalized",$AV352="",$AR352="",$AT352="",$AX352="",$AW352=""),"CPT outcome, ",""),LEN(IF($B352="","Notes, ","")&amp;IF($K352="","Latest Date Worked, ","")&amp;IF($AY352="","Last Action, ","")&amp;IF(AND(OR(TRIM($A352)="Denied",TRIM($A352)="Rejected"),$BA352=""),"Denial Reason, ","")&amp;IF(AND(TRIM($A352)="Denied",$BB352="",TRIM($BA352)&lt;&gt;"NO DENIAL"),"Denial Code, ","")&amp;IF(AND(TRIM($A352)&lt;&gt;"Finalized",$BD352=""),"Next Review Date, ","")&amp;IF(AND(TRIM($A352)&lt;&gt;"Finalized",$BE352=""),"Next Step, ","")&amp;IF(AND(TRIM($A352)="Finalized",$AV352="",$AR352="",$AT352="",$AX352="",$AW352=""),"CPT outcome, ",""))-2),"")</f>
        <v/>
      </c>
      <c r="BI352" s="15" t="str">
        <f aca="false">IF($BB352="","",IFERROR(INDEX('Denial Codes'!$C:$C,MATCH(LEFT($BB352,FIND(" - ",$BB352&amp;" - ")+2)&amp;"*",'Denial Codes'!$A:$A,0)),""))</f>
        <v/>
      </c>
      <c r="BJ352" s="15" t="str">
        <f aca="false">IF($BA352="","",IFERROR(INDEX(Lists!$B:$B,MATCH(TRIM($BA352),Lists!$A:$A,0))&amp;"",""))</f>
        <v/>
      </c>
    </row>
    <row r="353" customFormat="false" ht="15" hidden="false" customHeight="false" outlineLevel="0" collapsed="false">
      <c r="A353" s="7" t="s">
        <v>18</v>
      </c>
      <c r="B353" s="7"/>
      <c r="C353" s="8" t="n">
        <v>557846752</v>
      </c>
      <c r="D353" s="9"/>
      <c r="E353" s="10" t="s">
        <v>1484</v>
      </c>
      <c r="F353" s="11" t="n">
        <v>46133</v>
      </c>
      <c r="G353" s="10" t="s">
        <v>128</v>
      </c>
      <c r="H353" s="10" t="s">
        <v>128</v>
      </c>
      <c r="I353" s="10" t="s">
        <v>129</v>
      </c>
      <c r="J353" s="10" t="s">
        <v>1132</v>
      </c>
      <c r="K353" s="9"/>
      <c r="L353" s="12" t="str">
        <f aca="true">IF($O353="","",$O353-TODAY())</f>
        <v/>
      </c>
      <c r="M353" s="12"/>
      <c r="N353" s="12"/>
      <c r="O353" s="11"/>
      <c r="P353" s="10"/>
      <c r="Q353" s="10" t="s">
        <v>131</v>
      </c>
      <c r="R353" s="10"/>
      <c r="S353" s="10"/>
      <c r="T353" s="10"/>
      <c r="U353" s="10"/>
      <c r="V353" s="10" t="s">
        <v>221</v>
      </c>
      <c r="W353" s="10" t="s">
        <v>119</v>
      </c>
      <c r="X353" s="10" t="s">
        <v>304</v>
      </c>
      <c r="Y353" s="10"/>
      <c r="Z353" s="10"/>
      <c r="AA353" s="10" t="s">
        <v>197</v>
      </c>
      <c r="AB353" s="8" t="n">
        <f aca="true">IF($F353="","",TODAY()-$F353)</f>
        <v>178</v>
      </c>
      <c r="AC353" s="10" t="s">
        <v>1133</v>
      </c>
      <c r="AD353" s="10"/>
      <c r="AE353" s="10"/>
      <c r="AF353" s="10"/>
      <c r="AG353" s="10"/>
      <c r="AH353" s="10"/>
      <c r="AI353" s="10"/>
      <c r="AJ353" s="10" t="s">
        <v>362</v>
      </c>
      <c r="AK353" s="10" t="s">
        <v>883</v>
      </c>
      <c r="AL353" s="10" t="s">
        <v>123</v>
      </c>
      <c r="AM353" s="10"/>
      <c r="AN353" s="8"/>
      <c r="AO353" s="10" t="s">
        <v>1049</v>
      </c>
      <c r="AP353" s="10" t="s">
        <v>202</v>
      </c>
      <c r="AQ353" s="11" t="n">
        <v>46153</v>
      </c>
      <c r="AR353" s="13"/>
      <c r="AS353" s="13"/>
      <c r="AT353" s="13"/>
      <c r="AU353" s="13"/>
      <c r="AV353" s="13"/>
      <c r="AW353" s="13"/>
      <c r="AX353" s="13"/>
      <c r="AY353" s="7" t="s">
        <v>233</v>
      </c>
      <c r="AZ353" s="7"/>
      <c r="BA353" s="7"/>
      <c r="BB353" s="7"/>
      <c r="BC353" s="7"/>
      <c r="BD353" s="9"/>
      <c r="BE353" s="7" t="s">
        <v>142</v>
      </c>
      <c r="BF353" s="14" t="str">
        <f aca="true">IF(TRIM($A353)="Finalized","Closed",IF($BD353="","No review date set",IF($BD353&lt;TODAY(),"OVERDUE",IF($BD353-TODAY()&lt;=7,"Due within 7 days","Scheduled"))))</f>
        <v>No review date set</v>
      </c>
      <c r="BG353" s="14" t="str">
        <f aca="true">IF($K353="","",TODAY()-$K353)</f>
        <v/>
      </c>
      <c r="BH353" s="15" t="str">
        <f aca="false">IFERROR(LEFT(IF($B353="","Notes, ","")&amp;IF($K353="","Latest Date Worked, ","")&amp;IF($AY353="","Last Action, ","")&amp;IF(AND(OR(TRIM($A353)="Denied",TRIM($A353)="Rejected"),$BA353=""),"Denial Reason, ","")&amp;IF(AND(TRIM($A353)="Denied",$BB353="",TRIM($BA353)&lt;&gt;"NO DENIAL"),"Denial Code, ","")&amp;IF(AND(TRIM($A353)&lt;&gt;"Finalized",$BD353=""),"Next Review Date, ","")&amp;IF(AND(TRIM($A353)&lt;&gt;"Finalized",$BE353=""),"Next Step, ","")&amp;IF(AND(TRIM($A353)="Finalized",$AV353="",$AR353="",$AT353="",$AX353="",$AW353=""),"CPT outcome, ",""),LEN(IF($B353="","Notes, ","")&amp;IF($K353="","Latest Date Worked, ","")&amp;IF($AY353="","Last Action, ","")&amp;IF(AND(OR(TRIM($A353)="Denied",TRIM($A353)="Rejected"),$BA353=""),"Denial Reason, ","")&amp;IF(AND(TRIM($A353)="Denied",$BB353="",TRIM($BA353)&lt;&gt;"NO DENIAL"),"Denial Code, ","")&amp;IF(AND(TRIM($A353)&lt;&gt;"Finalized",$BD353=""),"Next Review Date, ","")&amp;IF(AND(TRIM($A353)&lt;&gt;"Finalized",$BE353=""),"Next Step, ","")&amp;IF(AND(TRIM($A353)="Finalized",$AV353="",$AR353="",$AT353="",$AX353="",$AW353=""),"CPT outcome, ",""))-2),"")</f>
        <v>Notes, Latest Date Worked, Next Review Date</v>
      </c>
      <c r="BI353" s="15" t="str">
        <f aca="false">IF($BB353="","",IFERROR(INDEX('Denial Codes'!$C:$C,MATCH(LEFT($BB353,FIND(" - ",$BB353&amp;" - ")+2)&amp;"*",'Denial Codes'!$A:$A,0)),""))</f>
        <v/>
      </c>
      <c r="BJ353" s="15" t="str">
        <f aca="false">IF($BA353="","",IFERROR(INDEX(Lists!$B:$B,MATCH(TRIM($BA353),Lists!$A:$A,0))&amp;"",""))</f>
        <v/>
      </c>
    </row>
    <row r="354" customFormat="false" ht="15" hidden="false" customHeight="false" outlineLevel="0" collapsed="false">
      <c r="A354" s="7" t="s">
        <v>18</v>
      </c>
      <c r="B354" s="7"/>
      <c r="C354" s="8" t="n">
        <v>562031529</v>
      </c>
      <c r="D354" s="9"/>
      <c r="E354" s="10" t="s">
        <v>1485</v>
      </c>
      <c r="F354" s="11" t="n">
        <v>46133</v>
      </c>
      <c r="G354" s="10" t="s">
        <v>128</v>
      </c>
      <c r="H354" s="10" t="s">
        <v>128</v>
      </c>
      <c r="I354" s="10" t="s">
        <v>129</v>
      </c>
      <c r="J354" s="10" t="s">
        <v>1242</v>
      </c>
      <c r="K354" s="9"/>
      <c r="L354" s="12" t="str">
        <f aca="true">IF($O354="","",$O354-TODAY())</f>
        <v/>
      </c>
      <c r="M354" s="12"/>
      <c r="N354" s="12"/>
      <c r="O354" s="11"/>
      <c r="P354" s="10"/>
      <c r="Q354" s="10" t="s">
        <v>131</v>
      </c>
      <c r="R354" s="10"/>
      <c r="S354" s="10"/>
      <c r="T354" s="10"/>
      <c r="U354" s="10"/>
      <c r="V354" s="10" t="s">
        <v>221</v>
      </c>
      <c r="W354" s="10" t="s">
        <v>119</v>
      </c>
      <c r="X354" s="10" t="s">
        <v>304</v>
      </c>
      <c r="Y354" s="10"/>
      <c r="Z354" s="10"/>
      <c r="AA354" s="10" t="s">
        <v>197</v>
      </c>
      <c r="AB354" s="8" t="n">
        <f aca="true">IF($F354="","",TODAY()-$F354)</f>
        <v>178</v>
      </c>
      <c r="AC354" s="10" t="s">
        <v>584</v>
      </c>
      <c r="AD354" s="10"/>
      <c r="AE354" s="10"/>
      <c r="AF354" s="10"/>
      <c r="AG354" s="10"/>
      <c r="AH354" s="10"/>
      <c r="AI354" s="10"/>
      <c r="AJ354" s="10" t="s">
        <v>751</v>
      </c>
      <c r="AK354" s="10"/>
      <c r="AL354" s="10"/>
      <c r="AM354" s="10"/>
      <c r="AN354" s="8"/>
      <c r="AO354" s="10" t="s">
        <v>838</v>
      </c>
      <c r="AP354" s="10" t="s">
        <v>404</v>
      </c>
      <c r="AQ354" s="11" t="n">
        <v>46140</v>
      </c>
      <c r="AR354" s="13"/>
      <c r="AS354" s="13"/>
      <c r="AT354" s="13"/>
      <c r="AU354" s="13"/>
      <c r="AV354" s="13"/>
      <c r="AW354" s="13"/>
      <c r="AX354" s="13"/>
      <c r="AY354" s="7" t="s">
        <v>233</v>
      </c>
      <c r="AZ354" s="7"/>
      <c r="BA354" s="7"/>
      <c r="BB354" s="7"/>
      <c r="BC354" s="7"/>
      <c r="BD354" s="9"/>
      <c r="BE354" s="7" t="s">
        <v>142</v>
      </c>
      <c r="BF354" s="14" t="str">
        <f aca="true">IF(TRIM($A354)="Finalized","Closed",IF($BD354="","No review date set",IF($BD354&lt;TODAY(),"OVERDUE",IF($BD354-TODAY()&lt;=7,"Due within 7 days","Scheduled"))))</f>
        <v>No review date set</v>
      </c>
      <c r="BG354" s="14" t="str">
        <f aca="true">IF($K354="","",TODAY()-$K354)</f>
        <v/>
      </c>
      <c r="BH354" s="15" t="str">
        <f aca="false">IFERROR(LEFT(IF($B354="","Notes, ","")&amp;IF($K354="","Latest Date Worked, ","")&amp;IF($AY354="","Last Action, ","")&amp;IF(AND(OR(TRIM($A354)="Denied",TRIM($A354)="Rejected"),$BA354=""),"Denial Reason, ","")&amp;IF(AND(TRIM($A354)="Denied",$BB354="",TRIM($BA354)&lt;&gt;"NO DENIAL"),"Denial Code, ","")&amp;IF(AND(TRIM($A354)&lt;&gt;"Finalized",$BD354=""),"Next Review Date, ","")&amp;IF(AND(TRIM($A354)&lt;&gt;"Finalized",$BE354=""),"Next Step, ","")&amp;IF(AND(TRIM($A354)="Finalized",$AV354="",$AR354="",$AT354="",$AX354="",$AW354=""),"CPT outcome, ",""),LEN(IF($B354="","Notes, ","")&amp;IF($K354="","Latest Date Worked, ","")&amp;IF($AY354="","Last Action, ","")&amp;IF(AND(OR(TRIM($A354)="Denied",TRIM($A354)="Rejected"),$BA354=""),"Denial Reason, ","")&amp;IF(AND(TRIM($A354)="Denied",$BB354="",TRIM($BA354)&lt;&gt;"NO DENIAL"),"Denial Code, ","")&amp;IF(AND(TRIM($A354)&lt;&gt;"Finalized",$BD354=""),"Next Review Date, ","")&amp;IF(AND(TRIM($A354)&lt;&gt;"Finalized",$BE354=""),"Next Step, ","")&amp;IF(AND(TRIM($A354)="Finalized",$AV354="",$AR354="",$AT354="",$AX354="",$AW354=""),"CPT outcome, ",""))-2),"")</f>
        <v>Notes, Latest Date Worked, Next Review Date</v>
      </c>
      <c r="BI354" s="15" t="str">
        <f aca="false">IF($BB354="","",IFERROR(INDEX('Denial Codes'!$C:$C,MATCH(LEFT($BB354,FIND(" - ",$BB354&amp;" - ")+2)&amp;"*",'Denial Codes'!$A:$A,0)),""))</f>
        <v/>
      </c>
      <c r="BJ354" s="15" t="str">
        <f aca="false">IF($BA354="","",IFERROR(INDEX(Lists!$B:$B,MATCH(TRIM($BA354),Lists!$A:$A,0))&amp;"",""))</f>
        <v/>
      </c>
    </row>
    <row r="355" customFormat="false" ht="15" hidden="false" customHeight="false" outlineLevel="0" collapsed="false">
      <c r="A355" s="7" t="s">
        <v>17</v>
      </c>
      <c r="B355" s="7" t="s">
        <v>1486</v>
      </c>
      <c r="C355" s="8" t="n">
        <v>557575573</v>
      </c>
      <c r="D355" s="9" t="n">
        <v>46157</v>
      </c>
      <c r="E355" s="10" t="s">
        <v>1487</v>
      </c>
      <c r="F355" s="11" t="n">
        <v>46134</v>
      </c>
      <c r="G355" s="10" t="s">
        <v>193</v>
      </c>
      <c r="H355" s="10" t="s">
        <v>193</v>
      </c>
      <c r="I355" s="10" t="s">
        <v>129</v>
      </c>
      <c r="J355" s="10" t="s">
        <v>219</v>
      </c>
      <c r="K355" s="9" t="n">
        <v>46310</v>
      </c>
      <c r="L355" s="12" t="str">
        <f aca="true">IF($O355="","",$O355-TODAY())</f>
        <v/>
      </c>
      <c r="M355" s="12"/>
      <c r="N355" s="12" t="n">
        <f aca="true">IF(AND(TRIM($A355)="Finalized",$K355&lt;&gt;""),"",IF($D355="","",$D355+180-TODAY()))</f>
        <v>26</v>
      </c>
      <c r="O355" s="11"/>
      <c r="P355" s="10"/>
      <c r="Q355" s="10" t="s">
        <v>195</v>
      </c>
      <c r="R355" s="10"/>
      <c r="S355" s="10"/>
      <c r="T355" s="10" t="s">
        <v>147</v>
      </c>
      <c r="U355" s="10" t="s">
        <v>116</v>
      </c>
      <c r="V355" s="10" t="s">
        <v>221</v>
      </c>
      <c r="W355" s="10" t="s">
        <v>196</v>
      </c>
      <c r="X355" s="10"/>
      <c r="Y355" s="10"/>
      <c r="Z355" s="10"/>
      <c r="AA355" s="10" t="s">
        <v>197</v>
      </c>
      <c r="AB355" s="8" t="n">
        <f aca="true">IF($F355="","",TODAY()-$F355)</f>
        <v>177</v>
      </c>
      <c r="AC355" s="10" t="s">
        <v>222</v>
      </c>
      <c r="AD355" s="10"/>
      <c r="AE355" s="10"/>
      <c r="AF355" s="10"/>
      <c r="AG355" s="10"/>
      <c r="AH355" s="10"/>
      <c r="AI355" s="10"/>
      <c r="AJ355" s="10" t="s">
        <v>414</v>
      </c>
      <c r="AK355" s="10" t="s">
        <v>415</v>
      </c>
      <c r="AL355" s="10" t="s">
        <v>552</v>
      </c>
      <c r="AM355" s="10"/>
      <c r="AN355" s="8"/>
      <c r="AO355" s="10" t="s">
        <v>255</v>
      </c>
      <c r="AP355" s="10" t="s">
        <v>268</v>
      </c>
      <c r="AQ355" s="11" t="n">
        <v>46141</v>
      </c>
      <c r="AR355" s="13"/>
      <c r="AS355" s="13"/>
      <c r="AT355" s="13"/>
      <c r="AU355" s="13"/>
      <c r="AV355" s="13"/>
      <c r="AW355" s="13"/>
      <c r="AX355" s="13" t="n">
        <v>93925</v>
      </c>
      <c r="AY355" s="7" t="s">
        <v>203</v>
      </c>
      <c r="AZ355" s="7"/>
      <c r="BA355" s="7" t="s">
        <v>36</v>
      </c>
      <c r="BB355" s="7" t="s">
        <v>204</v>
      </c>
      <c r="BC355" s="7"/>
      <c r="BD355" s="9" t="n">
        <v>46341</v>
      </c>
      <c r="BE355" s="7"/>
      <c r="BF355" s="14" t="str">
        <f aca="true">IF(TRIM($A355)="Finalized","Closed",IF($BD355="","No review date set",IF($BD355&lt;TODAY(),"OVERDUE",IF($BD355-TODAY()&lt;=7,"Due within 7 days","Scheduled"))))</f>
        <v>Scheduled</v>
      </c>
      <c r="BG355" s="14" t="n">
        <f aca="true">IF($K355="","",TODAY()-$K355)</f>
        <v>1</v>
      </c>
      <c r="BH355" s="15" t="str">
        <f aca="false">IFERROR(LEFT(IF($B355="","Notes, ","")&amp;IF($K355="","Latest Date Worked, ","")&amp;IF($AY355="","Last Action, ","")&amp;IF(AND(OR(TRIM($A355)="Denied",TRIM($A355)="Rejected"),$BA355=""),"Denial Reason, ","")&amp;IF(AND(TRIM($A355)="Denied",$BB355="",TRIM($BA355)&lt;&gt;"NO DENIAL"),"Denial Code, ","")&amp;IF(AND(TRIM($A355)&lt;&gt;"Finalized",$BD355=""),"Next Review Date, ","")&amp;IF(AND(TRIM($A355)&lt;&gt;"Finalized",$BE355=""),"Next Step, ","")&amp;IF(AND(TRIM($A355)="Finalized",$AV355="",$AR355="",$AT355="",$AX355="",$AW355=""),"CPT outcome, ",""),LEN(IF($B355="","Notes, ","")&amp;IF($K355="","Latest Date Worked, ","")&amp;IF($AY355="","Last Action, ","")&amp;IF(AND(OR(TRIM($A355)="Denied",TRIM($A355)="Rejected"),$BA355=""),"Denial Reason, ","")&amp;IF(AND(TRIM($A355)="Denied",$BB355="",TRIM($BA355)&lt;&gt;"NO DENIAL"),"Denial Code, ","")&amp;IF(AND(TRIM($A355)&lt;&gt;"Finalized",$BD355=""),"Next Review Date, ","")&amp;IF(AND(TRIM($A355)&lt;&gt;"Finalized",$BE355=""),"Next Step, ","")&amp;IF(AND(TRIM($A355)="Finalized",$AV355="",$AR355="",$AT355="",$AX355="",$AW355=""),"CPT outcome, ",""))-2),"")</f>
        <v>Next Step</v>
      </c>
      <c r="BI355" s="15" t="str">
        <f aca="false">IF($BB355="","",IFERROR(INDEX('Denial Codes'!$C:$C,MATCH(LEFT($BB355,FIND(" - ",$BB355&amp;" - ")+2)&amp;"*",'Denial Codes'!$A:$A,0)),""))</f>
        <v>Medical records needed</v>
      </c>
      <c r="BJ355" s="15" t="str">
        <f aca="false">IF($BA355="","",IFERROR(INDEX(Lists!$B:$B,MATCH(TRIM($BA355),Lists!$A:$A,0))&amp;"",""))</f>
        <v>Upload the MR on the payer portal, note the PIQ/reference number and set a review date.</v>
      </c>
    </row>
    <row r="356" customFormat="false" ht="15" hidden="false" customHeight="false" outlineLevel="0" collapsed="false">
      <c r="A356" s="7" t="s">
        <v>18</v>
      </c>
      <c r="B356" s="7"/>
      <c r="C356" s="8" t="n">
        <v>557578390</v>
      </c>
      <c r="D356" s="9"/>
      <c r="E356" s="10" t="s">
        <v>1488</v>
      </c>
      <c r="F356" s="11" t="n">
        <v>46141</v>
      </c>
      <c r="G356" s="10" t="s">
        <v>128</v>
      </c>
      <c r="H356" s="10" t="s">
        <v>128</v>
      </c>
      <c r="I356" s="10" t="s">
        <v>129</v>
      </c>
      <c r="J356" s="10" t="s">
        <v>181</v>
      </c>
      <c r="K356" s="9"/>
      <c r="L356" s="12" t="str">
        <f aca="true">IF($O356="","",$O356-TODAY())</f>
        <v/>
      </c>
      <c r="M356" s="12"/>
      <c r="N356" s="12"/>
      <c r="O356" s="11"/>
      <c r="P356" s="10"/>
      <c r="Q356" s="10" t="s">
        <v>131</v>
      </c>
      <c r="R356" s="10"/>
      <c r="S356" s="10"/>
      <c r="T356" s="10"/>
      <c r="U356" s="10"/>
      <c r="V356" s="10" t="s">
        <v>221</v>
      </c>
      <c r="W356" s="10" t="s">
        <v>183</v>
      </c>
      <c r="X356" s="10"/>
      <c r="Y356" s="10"/>
      <c r="Z356" s="10"/>
      <c r="AA356" s="10" t="s">
        <v>197</v>
      </c>
      <c r="AB356" s="8" t="n">
        <f aca="true">IF($F356="","",TODAY()-$F356)</f>
        <v>170</v>
      </c>
      <c r="AC356" s="10" t="s">
        <v>184</v>
      </c>
      <c r="AD356" s="10" t="s">
        <v>185</v>
      </c>
      <c r="AE356" s="10"/>
      <c r="AF356" s="10"/>
      <c r="AG356" s="10"/>
      <c r="AH356" s="10"/>
      <c r="AI356" s="10"/>
      <c r="AJ356" s="10" t="s">
        <v>511</v>
      </c>
      <c r="AK356" s="10"/>
      <c r="AL356" s="10"/>
      <c r="AM356" s="10"/>
      <c r="AN356" s="8"/>
      <c r="AO356" s="10" t="s">
        <v>201</v>
      </c>
      <c r="AP356" s="10" t="s">
        <v>202</v>
      </c>
      <c r="AQ356" s="11" t="n">
        <v>46153</v>
      </c>
      <c r="AR356" s="13"/>
      <c r="AS356" s="13"/>
      <c r="AT356" s="13"/>
      <c r="AU356" s="13"/>
      <c r="AV356" s="13"/>
      <c r="AW356" s="13"/>
      <c r="AX356" s="13"/>
      <c r="AY356" s="7" t="s">
        <v>233</v>
      </c>
      <c r="AZ356" s="7"/>
      <c r="BA356" s="7"/>
      <c r="BB356" s="7"/>
      <c r="BC356" s="7"/>
      <c r="BD356" s="9"/>
      <c r="BE356" s="7" t="s">
        <v>142</v>
      </c>
      <c r="BF356" s="14" t="str">
        <f aca="true">IF(TRIM($A356)="Finalized","Closed",IF($BD356="","No review date set",IF($BD356&lt;TODAY(),"OVERDUE",IF($BD356-TODAY()&lt;=7,"Due within 7 days","Scheduled"))))</f>
        <v>No review date set</v>
      </c>
      <c r="BG356" s="14" t="str">
        <f aca="true">IF($K356="","",TODAY()-$K356)</f>
        <v/>
      </c>
      <c r="BH356" s="15" t="str">
        <f aca="false">IFERROR(LEFT(IF($B356="","Notes, ","")&amp;IF($K356="","Latest Date Worked, ","")&amp;IF($AY356="","Last Action, ","")&amp;IF(AND(OR(TRIM($A356)="Denied",TRIM($A356)="Rejected"),$BA356=""),"Denial Reason, ","")&amp;IF(AND(TRIM($A356)="Denied",$BB356="",TRIM($BA356)&lt;&gt;"NO DENIAL"),"Denial Code, ","")&amp;IF(AND(TRIM($A356)&lt;&gt;"Finalized",$BD356=""),"Next Review Date, ","")&amp;IF(AND(TRIM($A356)&lt;&gt;"Finalized",$BE356=""),"Next Step, ","")&amp;IF(AND(TRIM($A356)="Finalized",$AV356="",$AR356="",$AT356="",$AX356="",$AW356=""),"CPT outcome, ",""),LEN(IF($B356="","Notes, ","")&amp;IF($K356="","Latest Date Worked, ","")&amp;IF($AY356="","Last Action, ","")&amp;IF(AND(OR(TRIM($A356)="Denied",TRIM($A356)="Rejected"),$BA356=""),"Denial Reason, ","")&amp;IF(AND(TRIM($A356)="Denied",$BB356="",TRIM($BA356)&lt;&gt;"NO DENIAL"),"Denial Code, ","")&amp;IF(AND(TRIM($A356)&lt;&gt;"Finalized",$BD356=""),"Next Review Date, ","")&amp;IF(AND(TRIM($A356)&lt;&gt;"Finalized",$BE356=""),"Next Step, ","")&amp;IF(AND(TRIM($A356)="Finalized",$AV356="",$AR356="",$AT356="",$AX356="",$AW356=""),"CPT outcome, ",""))-2),"")</f>
        <v>Notes, Latest Date Worked, Next Review Date</v>
      </c>
      <c r="BI356" s="15" t="str">
        <f aca="false">IF($BB356="","",IFERROR(INDEX('Denial Codes'!$C:$C,MATCH(LEFT($BB356,FIND(" - ",$BB356&amp;" - ")+2)&amp;"*",'Denial Codes'!$A:$A,0)),""))</f>
        <v/>
      </c>
      <c r="BJ356" s="15" t="str">
        <f aca="false">IF($BA356="","",IFERROR(INDEX(Lists!$B:$B,MATCH(TRIM($BA356),Lists!$A:$A,0))&amp;"",""))</f>
        <v/>
      </c>
    </row>
    <row r="357" customFormat="false" ht="15" hidden="false" customHeight="false" outlineLevel="0" collapsed="false">
      <c r="A357" s="7" t="s">
        <v>20</v>
      </c>
      <c r="B357" s="7"/>
      <c r="C357" s="8" t="n">
        <v>558845008</v>
      </c>
      <c r="D357" s="9" t="n">
        <v>46168</v>
      </c>
      <c r="E357" s="10" t="s">
        <v>1454</v>
      </c>
      <c r="F357" s="11" t="n">
        <v>46146</v>
      </c>
      <c r="G357" s="10" t="s">
        <v>530</v>
      </c>
      <c r="H357" s="10" t="s">
        <v>530</v>
      </c>
      <c r="I357" s="10" t="s">
        <v>129</v>
      </c>
      <c r="J357" s="10" t="s">
        <v>1351</v>
      </c>
      <c r="K357" s="9"/>
      <c r="L357" s="12" t="str">
        <f aca="true">IF($O357="","",$O357-TODAY())</f>
        <v/>
      </c>
      <c r="M357" s="12"/>
      <c r="N357" s="12"/>
      <c r="O357" s="11"/>
      <c r="P357" s="10"/>
      <c r="Q357" s="10" t="s">
        <v>131</v>
      </c>
      <c r="R357" s="10"/>
      <c r="S357" s="10"/>
      <c r="T357" s="10"/>
      <c r="U357" s="10"/>
      <c r="V357" s="10" t="s">
        <v>266</v>
      </c>
      <c r="W357" s="10" t="s">
        <v>132</v>
      </c>
      <c r="X357" s="10" t="s">
        <v>436</v>
      </c>
      <c r="Y357" s="10"/>
      <c r="Z357" s="10"/>
      <c r="AA357" s="10" t="s">
        <v>197</v>
      </c>
      <c r="AB357" s="8" t="n">
        <f aca="true">IF($F357="","",TODAY()-$F357)</f>
        <v>165</v>
      </c>
      <c r="AC357" s="10" t="s">
        <v>895</v>
      </c>
      <c r="AD357" s="10"/>
      <c r="AE357" s="10"/>
      <c r="AF357" s="10"/>
      <c r="AG357" s="10"/>
      <c r="AH357" s="10"/>
      <c r="AI357" s="10"/>
      <c r="AJ357" s="10" t="s">
        <v>686</v>
      </c>
      <c r="AK357" s="10"/>
      <c r="AL357" s="10"/>
      <c r="AM357" s="10"/>
      <c r="AN357" s="8"/>
      <c r="AO357" s="10" t="s">
        <v>1049</v>
      </c>
      <c r="AP357" s="10" t="s">
        <v>327</v>
      </c>
      <c r="AQ357" s="11" t="n">
        <v>46155</v>
      </c>
      <c r="AR357" s="13"/>
      <c r="AS357" s="13"/>
      <c r="AT357" s="13"/>
      <c r="AU357" s="13"/>
      <c r="AV357" s="13"/>
      <c r="AW357" s="13"/>
      <c r="AX357" s="13"/>
      <c r="AY357" s="7" t="s">
        <v>233</v>
      </c>
      <c r="AZ357" s="7"/>
      <c r="BA357" s="7"/>
      <c r="BB357" s="7"/>
      <c r="BC357" s="7"/>
      <c r="BD357" s="9"/>
      <c r="BE357" s="7" t="s">
        <v>527</v>
      </c>
      <c r="BF357" s="14" t="str">
        <f aca="true">IF(TRIM($A357)="Finalized","Closed",IF($BD357="","No review date set",IF($BD357&lt;TODAY(),"OVERDUE",IF($BD357-TODAY()&lt;=7,"Due within 7 days","Scheduled"))))</f>
        <v>No review date set</v>
      </c>
      <c r="BG357" s="14" t="str">
        <f aca="true">IF($K357="","",TODAY()-$K357)</f>
        <v/>
      </c>
      <c r="BH357" s="15" t="str">
        <f aca="false">IFERROR(LEFT(IF($B357="","Notes, ","")&amp;IF($K357="","Latest Date Worked, ","")&amp;IF($AY357="","Last Action, ","")&amp;IF(AND(OR(TRIM($A357)="Denied",TRIM($A357)="Rejected"),$BA357=""),"Denial Reason, ","")&amp;IF(AND(TRIM($A357)="Denied",$BB357="",TRIM($BA357)&lt;&gt;"NO DENIAL"),"Denial Code, ","")&amp;IF(AND(TRIM($A357)&lt;&gt;"Finalized",$BD357=""),"Next Review Date, ","")&amp;IF(AND(TRIM($A357)&lt;&gt;"Finalized",$BE357=""),"Next Step, ","")&amp;IF(AND(TRIM($A357)="Finalized",$AV357="",$AR357="",$AT357="",$AX357="",$AW357=""),"CPT outcome, ",""),LEN(IF($B357="","Notes, ","")&amp;IF($K357="","Latest Date Worked, ","")&amp;IF($AY357="","Last Action, ","")&amp;IF(AND(OR(TRIM($A357)="Denied",TRIM($A357)="Rejected"),$BA357=""),"Denial Reason, ","")&amp;IF(AND(TRIM($A357)="Denied",$BB357="",TRIM($BA357)&lt;&gt;"NO DENIAL"),"Denial Code, ","")&amp;IF(AND(TRIM($A357)&lt;&gt;"Finalized",$BD357=""),"Next Review Date, ","")&amp;IF(AND(TRIM($A357)&lt;&gt;"Finalized",$BE357=""),"Next Step, ","")&amp;IF(AND(TRIM($A357)="Finalized",$AV357="",$AR357="",$AT357="",$AX357="",$AW357=""),"CPT outcome, ",""))-2),"")</f>
        <v>Notes, Latest Date Worked, Next Review Date</v>
      </c>
      <c r="BI357" s="15" t="str">
        <f aca="false">IF($BB357="","",IFERROR(INDEX('Denial Codes'!$C:$C,MATCH(LEFT($BB357,FIND(" - ",$BB357&amp;" - ")+2)&amp;"*",'Denial Codes'!$A:$A,0)),""))</f>
        <v/>
      </c>
      <c r="BJ357" s="15" t="str">
        <f aca="false">IF($BA357="","",IFERROR(INDEX(Lists!$B:$B,MATCH(TRIM($BA357),Lists!$A:$A,0))&amp;"",""))</f>
        <v/>
      </c>
    </row>
    <row r="358" customFormat="false" ht="15" hidden="false" customHeight="false" outlineLevel="0" collapsed="false">
      <c r="A358" s="7" t="s">
        <v>18</v>
      </c>
      <c r="B358" s="7"/>
      <c r="C358" s="8" t="n">
        <v>558642005</v>
      </c>
      <c r="D358" s="9"/>
      <c r="E358" s="10" t="s">
        <v>1489</v>
      </c>
      <c r="F358" s="11" t="n">
        <v>46150</v>
      </c>
      <c r="G358" s="10" t="s">
        <v>128</v>
      </c>
      <c r="H358" s="10" t="s">
        <v>128</v>
      </c>
      <c r="I358" s="10" t="s">
        <v>129</v>
      </c>
      <c r="J358" s="10" t="s">
        <v>918</v>
      </c>
      <c r="K358" s="9"/>
      <c r="L358" s="12" t="str">
        <f aca="true">IF($O358="","",$O358-TODAY())</f>
        <v/>
      </c>
      <c r="M358" s="12"/>
      <c r="N358" s="12"/>
      <c r="O358" s="11"/>
      <c r="P358" s="10"/>
      <c r="Q358" s="10" t="s">
        <v>131</v>
      </c>
      <c r="R358" s="10"/>
      <c r="S358" s="10"/>
      <c r="T358" s="10"/>
      <c r="U358" s="10"/>
      <c r="V358" s="10" t="s">
        <v>266</v>
      </c>
      <c r="W358" s="10" t="s">
        <v>183</v>
      </c>
      <c r="X358" s="10"/>
      <c r="Y358" s="10"/>
      <c r="Z358" s="10"/>
      <c r="AA358" s="10" t="s">
        <v>197</v>
      </c>
      <c r="AB358" s="8" t="n">
        <f aca="true">IF($F358="","",TODAY()-$F358)</f>
        <v>161</v>
      </c>
      <c r="AC358" s="10" t="s">
        <v>185</v>
      </c>
      <c r="AD358" s="10"/>
      <c r="AE358" s="10"/>
      <c r="AF358" s="10"/>
      <c r="AG358" s="10"/>
      <c r="AH358" s="10"/>
      <c r="AI358" s="10"/>
      <c r="AJ358" s="10" t="s">
        <v>186</v>
      </c>
      <c r="AK358" s="10"/>
      <c r="AL358" s="10"/>
      <c r="AM358" s="10"/>
      <c r="AN358" s="8"/>
      <c r="AO358" s="10" t="s">
        <v>326</v>
      </c>
      <c r="AP358" s="10" t="s">
        <v>202</v>
      </c>
      <c r="AQ358" s="11" t="n">
        <v>46188</v>
      </c>
      <c r="AR358" s="13"/>
      <c r="AS358" s="13"/>
      <c r="AT358" s="13"/>
      <c r="AU358" s="13"/>
      <c r="AV358" s="13"/>
      <c r="AW358" s="13"/>
      <c r="AX358" s="13"/>
      <c r="AY358" s="7" t="s">
        <v>233</v>
      </c>
      <c r="AZ358" s="7"/>
      <c r="BA358" s="7"/>
      <c r="BB358" s="7"/>
      <c r="BC358" s="7"/>
      <c r="BD358" s="9"/>
      <c r="BE358" s="7" t="s">
        <v>142</v>
      </c>
      <c r="BF358" s="14" t="str">
        <f aca="true">IF(TRIM($A358)="Finalized","Closed",IF($BD358="","No review date set",IF($BD358&lt;TODAY(),"OVERDUE",IF($BD358-TODAY()&lt;=7,"Due within 7 days","Scheduled"))))</f>
        <v>No review date set</v>
      </c>
      <c r="BG358" s="14" t="str">
        <f aca="true">IF($K358="","",TODAY()-$K358)</f>
        <v/>
      </c>
      <c r="BH358" s="15" t="str">
        <f aca="false">IFERROR(LEFT(IF($B358="","Notes, ","")&amp;IF($K358="","Latest Date Worked, ","")&amp;IF($AY358="","Last Action, ","")&amp;IF(AND(OR(TRIM($A358)="Denied",TRIM($A358)="Rejected"),$BA358=""),"Denial Reason, ","")&amp;IF(AND(TRIM($A358)="Denied",$BB358="",TRIM($BA358)&lt;&gt;"NO DENIAL"),"Denial Code, ","")&amp;IF(AND(TRIM($A358)&lt;&gt;"Finalized",$BD358=""),"Next Review Date, ","")&amp;IF(AND(TRIM($A358)&lt;&gt;"Finalized",$BE358=""),"Next Step, ","")&amp;IF(AND(TRIM($A358)="Finalized",$AV358="",$AR358="",$AT358="",$AX358="",$AW358=""),"CPT outcome, ",""),LEN(IF($B358="","Notes, ","")&amp;IF($K358="","Latest Date Worked, ","")&amp;IF($AY358="","Last Action, ","")&amp;IF(AND(OR(TRIM($A358)="Denied",TRIM($A358)="Rejected"),$BA358=""),"Denial Reason, ","")&amp;IF(AND(TRIM($A358)="Denied",$BB358="",TRIM($BA358)&lt;&gt;"NO DENIAL"),"Denial Code, ","")&amp;IF(AND(TRIM($A358)&lt;&gt;"Finalized",$BD358=""),"Next Review Date, ","")&amp;IF(AND(TRIM($A358)&lt;&gt;"Finalized",$BE358=""),"Next Step, ","")&amp;IF(AND(TRIM($A358)="Finalized",$AV358="",$AR358="",$AT358="",$AX358="",$AW358=""),"CPT outcome, ",""))-2),"")</f>
        <v>Notes, Latest Date Worked, Next Review Date</v>
      </c>
      <c r="BI358" s="15" t="str">
        <f aca="false">IF($BB358="","",IFERROR(INDEX('Denial Codes'!$C:$C,MATCH(LEFT($BB358,FIND(" - ",$BB358&amp;" - ")+2)&amp;"*",'Denial Codes'!$A:$A,0)),""))</f>
        <v/>
      </c>
      <c r="BJ358" s="15" t="str">
        <f aca="false">IF($BA358="","",IFERROR(INDEX(Lists!$B:$B,MATCH(TRIM($BA358),Lists!$A:$A,0))&amp;"",""))</f>
        <v/>
      </c>
    </row>
    <row r="359" customFormat="false" ht="15" hidden="false" customHeight="false" outlineLevel="0" collapsed="false">
      <c r="A359" s="7" t="s">
        <v>18</v>
      </c>
      <c r="B359" s="7"/>
      <c r="C359" s="8" t="n">
        <v>561650514</v>
      </c>
      <c r="D359" s="9"/>
      <c r="E359" s="10" t="s">
        <v>1490</v>
      </c>
      <c r="F359" s="11" t="n">
        <v>46153</v>
      </c>
      <c r="G359" s="10" t="s">
        <v>128</v>
      </c>
      <c r="H359" s="10" t="s">
        <v>128</v>
      </c>
      <c r="I359" s="10" t="s">
        <v>129</v>
      </c>
      <c r="J359" s="10" t="s">
        <v>1491</v>
      </c>
      <c r="K359" s="9"/>
      <c r="L359" s="12" t="str">
        <f aca="true">IF($O359="","",$O359-TODAY())</f>
        <v/>
      </c>
      <c r="M359" s="12"/>
      <c r="N359" s="12"/>
      <c r="O359" s="11"/>
      <c r="P359" s="10"/>
      <c r="Q359" s="10" t="s">
        <v>131</v>
      </c>
      <c r="R359" s="10"/>
      <c r="S359" s="10"/>
      <c r="T359" s="10"/>
      <c r="U359" s="10"/>
      <c r="V359" s="10" t="s">
        <v>266</v>
      </c>
      <c r="W359" s="10" t="s">
        <v>434</v>
      </c>
      <c r="X359" s="10" t="s">
        <v>478</v>
      </c>
      <c r="Y359" s="10" t="s">
        <v>479</v>
      </c>
      <c r="Z359" s="10" t="s">
        <v>436</v>
      </c>
      <c r="AA359" s="10" t="s">
        <v>1492</v>
      </c>
      <c r="AB359" s="8" t="n">
        <f aca="true">IF($F359="","",TODAY()-$F359)</f>
        <v>158</v>
      </c>
      <c r="AC359" s="10" t="s">
        <v>440</v>
      </c>
      <c r="AD359" s="10" t="s">
        <v>442</v>
      </c>
      <c r="AE359" s="10" t="s">
        <v>657</v>
      </c>
      <c r="AF359" s="10" t="s">
        <v>439</v>
      </c>
      <c r="AG359" s="10" t="s">
        <v>441</v>
      </c>
      <c r="AH359" s="10" t="s">
        <v>438</v>
      </c>
      <c r="AI359" s="10" t="s">
        <v>443</v>
      </c>
      <c r="AJ359" s="10" t="s">
        <v>444</v>
      </c>
      <c r="AK359" s="10" t="s">
        <v>445</v>
      </c>
      <c r="AL359" s="10" t="s">
        <v>446</v>
      </c>
      <c r="AM359" s="10"/>
      <c r="AN359" s="8"/>
      <c r="AO359" s="10" t="s">
        <v>447</v>
      </c>
      <c r="AP359" s="10" t="s">
        <v>175</v>
      </c>
      <c r="AQ359" s="11" t="n">
        <v>46182</v>
      </c>
      <c r="AR359" s="13"/>
      <c r="AS359" s="13"/>
      <c r="AT359" s="13"/>
      <c r="AU359" s="13"/>
      <c r="AV359" s="13"/>
      <c r="AW359" s="13"/>
      <c r="AX359" s="13"/>
      <c r="AY359" s="7" t="s">
        <v>233</v>
      </c>
      <c r="AZ359" s="7"/>
      <c r="BA359" s="7"/>
      <c r="BB359" s="7"/>
      <c r="BC359" s="7"/>
      <c r="BD359" s="9"/>
      <c r="BE359" s="7" t="s">
        <v>142</v>
      </c>
      <c r="BF359" s="14" t="str">
        <f aca="true">IF(TRIM($A359)="Finalized","Closed",IF($BD359="","No review date set",IF($BD359&lt;TODAY(),"OVERDUE",IF($BD359-TODAY()&lt;=7,"Due within 7 days","Scheduled"))))</f>
        <v>No review date set</v>
      </c>
      <c r="BG359" s="14" t="str">
        <f aca="true">IF($K359="","",TODAY()-$K359)</f>
        <v/>
      </c>
      <c r="BH359" s="15" t="str">
        <f aca="false">IFERROR(LEFT(IF($B359="","Notes, ","")&amp;IF($K359="","Latest Date Worked, ","")&amp;IF($AY359="","Last Action, ","")&amp;IF(AND(OR(TRIM($A359)="Denied",TRIM($A359)="Rejected"),$BA359=""),"Denial Reason, ","")&amp;IF(AND(TRIM($A359)="Denied",$BB359="",TRIM($BA359)&lt;&gt;"NO DENIAL"),"Denial Code, ","")&amp;IF(AND(TRIM($A359)&lt;&gt;"Finalized",$BD359=""),"Next Review Date, ","")&amp;IF(AND(TRIM($A359)&lt;&gt;"Finalized",$BE359=""),"Next Step, ","")&amp;IF(AND(TRIM($A359)="Finalized",$AV359="",$AR359="",$AT359="",$AX359="",$AW359=""),"CPT outcome, ",""),LEN(IF($B359="","Notes, ","")&amp;IF($K359="","Latest Date Worked, ","")&amp;IF($AY359="","Last Action, ","")&amp;IF(AND(OR(TRIM($A359)="Denied",TRIM($A359)="Rejected"),$BA359=""),"Denial Reason, ","")&amp;IF(AND(TRIM($A359)="Denied",$BB359="",TRIM($BA359)&lt;&gt;"NO DENIAL"),"Denial Code, ","")&amp;IF(AND(TRIM($A359)&lt;&gt;"Finalized",$BD359=""),"Next Review Date, ","")&amp;IF(AND(TRIM($A359)&lt;&gt;"Finalized",$BE359=""),"Next Step, ","")&amp;IF(AND(TRIM($A359)="Finalized",$AV359="",$AR359="",$AT359="",$AX359="",$AW359=""),"CPT outcome, ",""))-2),"")</f>
        <v>Notes, Latest Date Worked, Next Review Date</v>
      </c>
      <c r="BI359" s="15" t="str">
        <f aca="false">IF($BB359="","",IFERROR(INDEX('Denial Codes'!$C:$C,MATCH(LEFT($BB359,FIND(" - ",$BB359&amp;" - ")+2)&amp;"*",'Denial Codes'!$A:$A,0)),""))</f>
        <v/>
      </c>
      <c r="BJ359" s="15" t="str">
        <f aca="false">IF($BA359="","",IFERROR(INDEX(Lists!$B:$B,MATCH(TRIM($BA359),Lists!$A:$A,0))&amp;"",""))</f>
        <v/>
      </c>
    </row>
    <row r="360" customFormat="false" ht="15" hidden="false" customHeight="false" outlineLevel="0" collapsed="false">
      <c r="A360" s="7" t="s">
        <v>18</v>
      </c>
      <c r="B360" s="7"/>
      <c r="C360" s="8" t="n">
        <v>560692149</v>
      </c>
      <c r="D360" s="9"/>
      <c r="E360" s="10" t="s">
        <v>1484</v>
      </c>
      <c r="F360" s="11" t="n">
        <v>46171</v>
      </c>
      <c r="G360" s="10" t="s">
        <v>128</v>
      </c>
      <c r="H360" s="10" t="s">
        <v>128</v>
      </c>
      <c r="I360" s="10" t="s">
        <v>129</v>
      </c>
      <c r="J360" s="10" t="s">
        <v>918</v>
      </c>
      <c r="K360" s="9"/>
      <c r="L360" s="12" t="str">
        <f aca="true">IF($O360="","",$O360-TODAY())</f>
        <v/>
      </c>
      <c r="M360" s="12"/>
      <c r="N360" s="12"/>
      <c r="O360" s="11"/>
      <c r="P360" s="10"/>
      <c r="Q360" s="10" t="s">
        <v>131</v>
      </c>
      <c r="R360" s="10"/>
      <c r="S360" s="10"/>
      <c r="T360" s="10"/>
      <c r="U360" s="10"/>
      <c r="V360" s="10" t="s">
        <v>266</v>
      </c>
      <c r="W360" s="10" t="s">
        <v>183</v>
      </c>
      <c r="X360" s="10"/>
      <c r="Y360" s="10"/>
      <c r="Z360" s="10"/>
      <c r="AA360" s="10" t="s">
        <v>197</v>
      </c>
      <c r="AB360" s="8" t="n">
        <f aca="true">IF($F360="","",TODAY()-$F360)</f>
        <v>140</v>
      </c>
      <c r="AC360" s="10" t="s">
        <v>185</v>
      </c>
      <c r="AD360" s="10"/>
      <c r="AE360" s="10"/>
      <c r="AF360" s="10"/>
      <c r="AG360" s="10"/>
      <c r="AH360" s="10"/>
      <c r="AI360" s="10"/>
      <c r="AJ360" s="10" t="s">
        <v>186</v>
      </c>
      <c r="AK360" s="10"/>
      <c r="AL360" s="10"/>
      <c r="AM360" s="10"/>
      <c r="AN360" s="8"/>
      <c r="AO360" s="10" t="s">
        <v>201</v>
      </c>
      <c r="AP360" s="10" t="s">
        <v>202</v>
      </c>
      <c r="AQ360" s="11" t="n">
        <v>46182</v>
      </c>
      <c r="AR360" s="13"/>
      <c r="AS360" s="13"/>
      <c r="AT360" s="13"/>
      <c r="AU360" s="13"/>
      <c r="AV360" s="13"/>
      <c r="AW360" s="13"/>
      <c r="AX360" s="13"/>
      <c r="AY360" s="7" t="s">
        <v>233</v>
      </c>
      <c r="AZ360" s="7"/>
      <c r="BA360" s="7"/>
      <c r="BB360" s="7"/>
      <c r="BC360" s="7"/>
      <c r="BD360" s="9"/>
      <c r="BE360" s="7" t="s">
        <v>142</v>
      </c>
      <c r="BF360" s="14" t="str">
        <f aca="true">IF(TRIM($A360)="Finalized","Closed",IF($BD360="","No review date set",IF($BD360&lt;TODAY(),"OVERDUE",IF($BD360-TODAY()&lt;=7,"Due within 7 days","Scheduled"))))</f>
        <v>No review date set</v>
      </c>
      <c r="BG360" s="14" t="str">
        <f aca="true">IF($K360="","",TODAY()-$K360)</f>
        <v/>
      </c>
      <c r="BH360" s="15" t="str">
        <f aca="false">IFERROR(LEFT(IF($B360="","Notes, ","")&amp;IF($K360="","Latest Date Worked, ","")&amp;IF($AY360="","Last Action, ","")&amp;IF(AND(OR(TRIM($A360)="Denied",TRIM($A360)="Rejected"),$BA360=""),"Denial Reason, ","")&amp;IF(AND(TRIM($A360)="Denied",$BB360="",TRIM($BA360)&lt;&gt;"NO DENIAL"),"Denial Code, ","")&amp;IF(AND(TRIM($A360)&lt;&gt;"Finalized",$BD360=""),"Next Review Date, ","")&amp;IF(AND(TRIM($A360)&lt;&gt;"Finalized",$BE360=""),"Next Step, ","")&amp;IF(AND(TRIM($A360)="Finalized",$AV360="",$AR360="",$AT360="",$AX360="",$AW360=""),"CPT outcome, ",""),LEN(IF($B360="","Notes, ","")&amp;IF($K360="","Latest Date Worked, ","")&amp;IF($AY360="","Last Action, ","")&amp;IF(AND(OR(TRIM($A360)="Denied",TRIM($A360)="Rejected"),$BA360=""),"Denial Reason, ","")&amp;IF(AND(TRIM($A360)="Denied",$BB360="",TRIM($BA360)&lt;&gt;"NO DENIAL"),"Denial Code, ","")&amp;IF(AND(TRIM($A360)&lt;&gt;"Finalized",$BD360=""),"Next Review Date, ","")&amp;IF(AND(TRIM($A360)&lt;&gt;"Finalized",$BE360=""),"Next Step, ","")&amp;IF(AND(TRIM($A360)="Finalized",$AV360="",$AR360="",$AT360="",$AX360="",$AW360=""),"CPT outcome, ",""))-2),"")</f>
        <v>Notes, Latest Date Worked, Next Review Date</v>
      </c>
      <c r="BI360" s="15" t="str">
        <f aca="false">IF($BB360="","",IFERROR(INDEX('Denial Codes'!$C:$C,MATCH(LEFT($BB360,FIND(" - ",$BB360&amp;" - ")+2)&amp;"*",'Denial Codes'!$A:$A,0)),""))</f>
        <v/>
      </c>
      <c r="BJ360" s="15" t="str">
        <f aca="false">IF($BA360="","",IFERROR(INDEX(Lists!$B:$B,MATCH(TRIM($BA360),Lists!$A:$A,0))&amp;"",""))</f>
        <v/>
      </c>
    </row>
    <row r="361" customFormat="false" ht="15" hidden="false" customHeight="false" outlineLevel="0" collapsed="false">
      <c r="A361" s="7" t="s">
        <v>17</v>
      </c>
      <c r="B361" s="7" t="s">
        <v>1493</v>
      </c>
      <c r="C361" s="8" t="n">
        <v>574482519</v>
      </c>
      <c r="D361" s="9" t="n">
        <v>46231</v>
      </c>
      <c r="E361" s="10" t="s">
        <v>1494</v>
      </c>
      <c r="F361" s="11" t="n">
        <v>46175</v>
      </c>
      <c r="G361" s="10" t="s">
        <v>243</v>
      </c>
      <c r="H361" s="10" t="s">
        <v>243</v>
      </c>
      <c r="I361" s="10" t="s">
        <v>129</v>
      </c>
      <c r="J361" s="10" t="s">
        <v>1495</v>
      </c>
      <c r="K361" s="9" t="n">
        <v>46305</v>
      </c>
      <c r="L361" s="12" t="n">
        <f aca="true">IF($O361="","",$O361-TODAY())</f>
        <v>229</v>
      </c>
      <c r="M361" s="12" t="n">
        <f aca="true">IF(AND(TRIM($A361)="Finalized",$K361&lt;&gt;""),"",IF($F361="","",$F361+365-TODAY()))</f>
        <v>229</v>
      </c>
      <c r="N361" s="12" t="n">
        <f aca="true">IF(AND(TRIM($A361)="Finalized",$K361&lt;&gt;""),"",IF($D361="","",$D361+90-TODAY()))</f>
        <v>10</v>
      </c>
      <c r="O361" s="11" t="n">
        <f aca="false">IF(AND(TRIM($A361)="Finalized",$K361&lt;&gt;""),"",DATE(2027,6,2))</f>
        <v>46540</v>
      </c>
      <c r="P361" s="10" t="s">
        <v>114</v>
      </c>
      <c r="Q361" s="10" t="s">
        <v>245</v>
      </c>
      <c r="R361" s="10" t="s">
        <v>114</v>
      </c>
      <c r="S361" s="10" t="s">
        <v>149</v>
      </c>
      <c r="T361" s="10" t="s">
        <v>165</v>
      </c>
      <c r="U361" s="10" t="s">
        <v>116</v>
      </c>
      <c r="V361" s="10" t="s">
        <v>303</v>
      </c>
      <c r="W361" s="10" t="s">
        <v>183</v>
      </c>
      <c r="X361" s="10"/>
      <c r="Y361" s="10"/>
      <c r="Z361" s="10"/>
      <c r="AA361" s="10" t="s">
        <v>197</v>
      </c>
      <c r="AB361" s="8" t="n">
        <f aca="true">IF($F361="","",TODAY()-$F361)</f>
        <v>136</v>
      </c>
      <c r="AC361" s="10" t="s">
        <v>283</v>
      </c>
      <c r="AD361" s="10"/>
      <c r="AE361" s="10"/>
      <c r="AF361" s="10"/>
      <c r="AG361" s="10"/>
      <c r="AH361" s="10"/>
      <c r="AI361" s="10"/>
      <c r="AJ361" s="10" t="s">
        <v>1496</v>
      </c>
      <c r="AK361" s="10" t="s">
        <v>1497</v>
      </c>
      <c r="AL361" s="10" t="s">
        <v>1498</v>
      </c>
      <c r="AM361" s="10" t="s">
        <v>1499</v>
      </c>
      <c r="AN361" s="8"/>
      <c r="AO361" s="10" t="s">
        <v>201</v>
      </c>
      <c r="AP361" s="10" t="s">
        <v>202</v>
      </c>
      <c r="AQ361" s="11" t="n">
        <v>46191</v>
      </c>
      <c r="AR361" s="13"/>
      <c r="AS361" s="13"/>
      <c r="AT361" s="13"/>
      <c r="AU361" s="13"/>
      <c r="AV361" s="13"/>
      <c r="AW361" s="13"/>
      <c r="AX361" s="13" t="s">
        <v>283</v>
      </c>
      <c r="AY361" s="7" t="s">
        <v>159</v>
      </c>
      <c r="AZ361" s="7"/>
      <c r="BA361" s="7" t="s">
        <v>38</v>
      </c>
      <c r="BB361" s="7" t="s">
        <v>1500</v>
      </c>
      <c r="BC361" s="7"/>
      <c r="BD361" s="9" t="n">
        <v>46336</v>
      </c>
      <c r="BE361" s="7"/>
      <c r="BF361" s="14" t="str">
        <f aca="true">IF(TRIM($A361)="Finalized","Closed",IF($BD361="","No review date set",IF($BD361&lt;TODAY(),"OVERDUE",IF($BD361-TODAY()&lt;=7,"Due within 7 days","Scheduled"))))</f>
        <v>Scheduled</v>
      </c>
      <c r="BG361" s="14" t="n">
        <f aca="true">IF($K361="","",TODAY()-$K361)</f>
        <v>6</v>
      </c>
      <c r="BH361" s="15" t="str">
        <f aca="false">IFERROR(LEFT(IF($B361="","Notes, ","")&amp;IF($K361="","Latest Date Worked, ","")&amp;IF($AY361="","Last Action, ","")&amp;IF(AND(OR(TRIM($A361)="Denied",TRIM($A361)="Rejected"),$BA361=""),"Denial Reason, ","")&amp;IF(AND(TRIM($A361)="Denied",$BB361="",TRIM($BA361)&lt;&gt;"NO DENIAL"),"Denial Code, ","")&amp;IF(AND(TRIM($A361)&lt;&gt;"Finalized",$BD361=""),"Next Review Date, ","")&amp;IF(AND(TRIM($A361)&lt;&gt;"Finalized",$BE361=""),"Next Step, ","")&amp;IF(AND(TRIM($A361)="Finalized",$AV361="",$AR361="",$AT361="",$AX361="",$AW361=""),"CPT outcome, ",""),LEN(IF($B361="","Notes, ","")&amp;IF($K361="","Latest Date Worked, ","")&amp;IF($AY361="","Last Action, ","")&amp;IF(AND(OR(TRIM($A361)="Denied",TRIM($A361)="Rejected"),$BA361=""),"Denial Reason, ","")&amp;IF(AND(TRIM($A361)="Denied",$BB361="",TRIM($BA361)&lt;&gt;"NO DENIAL"),"Denial Code, ","")&amp;IF(AND(TRIM($A361)&lt;&gt;"Finalized",$BD361=""),"Next Review Date, ","")&amp;IF(AND(TRIM($A361)&lt;&gt;"Finalized",$BE361=""),"Next Step, ","")&amp;IF(AND(TRIM($A361)="Finalized",$AV361="",$AR361="",$AT361="",$AX361="",$AW361=""),"CPT outcome, ",""))-2),"")</f>
        <v>Next Step</v>
      </c>
      <c r="BI361" s="15" t="str">
        <f aca="false">IF($BB361="","",IFERROR(INDEX('Denial Codes'!$C:$C,MATCH(LEFT($BB361,FIND(" - ",$BB361&amp;" - ")+2)&amp;"*",'Denial Codes'!$A:$A,0)),""))</f>
        <v>Modifier issue</v>
      </c>
      <c r="BJ361" s="15" t="str">
        <f aca="false">IF($BA361="","",IFERROR(INDEX(Lists!$B:$B,MATCH(TRIM($BA361),Lists!$A:$A,0))&amp;"",""))</f>
        <v>Correct or add the modifier (e.g. NU/RR, KX, RT/LT, 25) and resubmit.</v>
      </c>
    </row>
    <row r="362" customFormat="false" ht="15" hidden="false" customHeight="false" outlineLevel="0" collapsed="false">
      <c r="A362" s="7" t="s">
        <v>18</v>
      </c>
      <c r="B362" s="7" t="s">
        <v>1501</v>
      </c>
      <c r="C362" s="8" t="n">
        <v>561219063</v>
      </c>
      <c r="D362" s="9" t="n">
        <v>46218</v>
      </c>
      <c r="E362" s="10" t="s">
        <v>1502</v>
      </c>
      <c r="F362" s="11" t="n">
        <v>46175</v>
      </c>
      <c r="G362" s="10" t="s">
        <v>227</v>
      </c>
      <c r="H362" s="10" t="s">
        <v>227</v>
      </c>
      <c r="I362" s="10" t="s">
        <v>129</v>
      </c>
      <c r="J362" s="10" t="s">
        <v>181</v>
      </c>
      <c r="K362" s="9"/>
      <c r="L362" s="12" t="str">
        <f aca="true">IF($O362="","",$O362-TODAY())</f>
        <v/>
      </c>
      <c r="M362" s="12"/>
      <c r="N362" s="12"/>
      <c r="O362" s="11"/>
      <c r="P362" s="10"/>
      <c r="Q362" s="10" t="s">
        <v>131</v>
      </c>
      <c r="R362" s="10"/>
      <c r="S362" s="10"/>
      <c r="T362" s="10"/>
      <c r="U362" s="10"/>
      <c r="V362" s="10" t="s">
        <v>303</v>
      </c>
      <c r="W362" s="10" t="s">
        <v>183</v>
      </c>
      <c r="X362" s="10"/>
      <c r="Y362" s="10"/>
      <c r="Z362" s="10"/>
      <c r="AA362" s="10" t="s">
        <v>197</v>
      </c>
      <c r="AB362" s="8" t="n">
        <f aca="true">IF($F362="","",TODAY()-$F362)</f>
        <v>136</v>
      </c>
      <c r="AC362" s="10" t="s">
        <v>184</v>
      </c>
      <c r="AD362" s="10" t="s">
        <v>185</v>
      </c>
      <c r="AE362" s="10"/>
      <c r="AF362" s="10"/>
      <c r="AG362" s="10"/>
      <c r="AH362" s="10"/>
      <c r="AI362" s="10"/>
      <c r="AJ362" s="10" t="s">
        <v>340</v>
      </c>
      <c r="AK362" s="10"/>
      <c r="AL362" s="10"/>
      <c r="AM362" s="10"/>
      <c r="AN362" s="8"/>
      <c r="AO362" s="10" t="s">
        <v>201</v>
      </c>
      <c r="AP362" s="10" t="s">
        <v>308</v>
      </c>
      <c r="AQ362" s="11" t="n">
        <v>46217</v>
      </c>
      <c r="AR362" s="13"/>
      <c r="AS362" s="13"/>
      <c r="AT362" s="13"/>
      <c r="AU362" s="13"/>
      <c r="AV362" s="13"/>
      <c r="AW362" s="13"/>
      <c r="AX362" s="13"/>
      <c r="AY362" s="7" t="s">
        <v>233</v>
      </c>
      <c r="AZ362" s="7"/>
      <c r="BA362" s="7" t="s">
        <v>45</v>
      </c>
      <c r="BB362" s="7"/>
      <c r="BC362" s="7"/>
      <c r="BD362" s="9"/>
      <c r="BE362" s="7" t="s">
        <v>1503</v>
      </c>
      <c r="BF362" s="14" t="str">
        <f aca="true">IF(TRIM($A362)="Finalized","Closed",IF($BD362="","No review date set",IF($BD362&lt;TODAY(),"OVERDUE",IF($BD362-TODAY()&lt;=7,"Due within 7 days","Scheduled"))))</f>
        <v>No review date set</v>
      </c>
      <c r="BG362" s="14" t="str">
        <f aca="true">IF($K362="","",TODAY()-$K362)</f>
        <v/>
      </c>
      <c r="BH362" s="15" t="str">
        <f aca="false">IFERROR(LEFT(IF($B362="","Notes, ","")&amp;IF($K362="","Latest Date Worked, ","")&amp;IF($AY362="","Last Action, ","")&amp;IF(AND(OR(TRIM($A362)="Denied",TRIM($A362)="Rejected"),$BA362=""),"Denial Reason, ","")&amp;IF(AND(TRIM($A362)="Denied",$BB362="",TRIM($BA362)&lt;&gt;"NO DENIAL"),"Denial Code, ","")&amp;IF(AND(TRIM($A362)&lt;&gt;"Finalized",$BD362=""),"Next Review Date, ","")&amp;IF(AND(TRIM($A362)&lt;&gt;"Finalized",$BE362=""),"Next Step, ","")&amp;IF(AND(TRIM($A362)="Finalized",$AV362="",$AR362="",$AT362="",$AX362="",$AW362=""),"CPT outcome, ",""),LEN(IF($B362="","Notes, ","")&amp;IF($K362="","Latest Date Worked, ","")&amp;IF($AY362="","Last Action, ","")&amp;IF(AND(OR(TRIM($A362)="Denied",TRIM($A362)="Rejected"),$BA362=""),"Denial Reason, ","")&amp;IF(AND(TRIM($A362)="Denied",$BB362="",TRIM($BA362)&lt;&gt;"NO DENIAL"),"Denial Code, ","")&amp;IF(AND(TRIM($A362)&lt;&gt;"Finalized",$BD362=""),"Next Review Date, ","")&amp;IF(AND(TRIM($A362)&lt;&gt;"Finalized",$BE362=""),"Next Step, ","")&amp;IF(AND(TRIM($A362)="Finalized",$AV362="",$AR362="",$AT362="",$AX362="",$AW362=""),"CPT outcome, ",""))-2),"")</f>
        <v>Latest Date Worked, Next Review Date</v>
      </c>
      <c r="BI362" s="15" t="str">
        <f aca="false">IF($BB362="","",IFERROR(INDEX('Denial Codes'!$C:$C,MATCH(LEFT($BB362,FIND(" - ",$BB362&amp;" - ")+2)&amp;"*",'Denial Codes'!$A:$A,0)),""))</f>
        <v/>
      </c>
      <c r="BJ362" s="15" t="str">
        <f aca="false">IF($BA362="","",IFERROR(INDEX(Lists!$B:$B,MATCH(TRIM($BA362),Lists!$A:$A,0))&amp;"",""))</f>
        <v>Get the other insurance and primary EOB, update COB with the payer and bill primary first.</v>
      </c>
    </row>
    <row r="363" customFormat="false" ht="15" hidden="false" customHeight="false" outlineLevel="0" collapsed="false">
      <c r="A363" s="7" t="s">
        <v>17</v>
      </c>
      <c r="B363" s="7" t="s">
        <v>1504</v>
      </c>
      <c r="C363" s="8" t="n">
        <v>563009396</v>
      </c>
      <c r="D363" s="9" t="n">
        <v>46220</v>
      </c>
      <c r="E363" s="10" t="s">
        <v>1487</v>
      </c>
      <c r="F363" s="11" t="n">
        <v>46176</v>
      </c>
      <c r="G363" s="10" t="s">
        <v>193</v>
      </c>
      <c r="H363" s="10" t="s">
        <v>193</v>
      </c>
      <c r="I363" s="10" t="s">
        <v>129</v>
      </c>
      <c r="J363" s="10" t="s">
        <v>219</v>
      </c>
      <c r="K363" s="9" t="n">
        <v>46305</v>
      </c>
      <c r="L363" s="12" t="str">
        <f aca="true">IF($O363="","",$O363-TODAY())</f>
        <v/>
      </c>
      <c r="M363" s="12"/>
      <c r="N363" s="12" t="n">
        <f aca="true">IF(AND(TRIM($A363)="Finalized",$K363&lt;&gt;""),"",IF($D363="","",$D363+180-TODAY()))</f>
        <v>89</v>
      </c>
      <c r="O363" s="11"/>
      <c r="P363" s="10"/>
      <c r="Q363" s="10" t="s">
        <v>195</v>
      </c>
      <c r="R363" s="10"/>
      <c r="S363" s="10"/>
      <c r="T363" s="10" t="s">
        <v>147</v>
      </c>
      <c r="U363" s="10" t="s">
        <v>116</v>
      </c>
      <c r="V363" s="10" t="s">
        <v>303</v>
      </c>
      <c r="W363" s="10" t="s">
        <v>196</v>
      </c>
      <c r="X363" s="10"/>
      <c r="Y363" s="10"/>
      <c r="Z363" s="10"/>
      <c r="AA363" s="10" t="s">
        <v>197</v>
      </c>
      <c r="AB363" s="8" t="n">
        <f aca="true">IF($F363="","",TODAY()-$F363)</f>
        <v>135</v>
      </c>
      <c r="AC363" s="10" t="s">
        <v>222</v>
      </c>
      <c r="AD363" s="10"/>
      <c r="AE363" s="10"/>
      <c r="AF363" s="10"/>
      <c r="AG363" s="10"/>
      <c r="AH363" s="10"/>
      <c r="AI363" s="10"/>
      <c r="AJ363" s="10" t="s">
        <v>552</v>
      </c>
      <c r="AK363" s="10" t="s">
        <v>414</v>
      </c>
      <c r="AL363" s="10" t="s">
        <v>415</v>
      </c>
      <c r="AM363" s="10"/>
      <c r="AN363" s="8"/>
      <c r="AO363" s="10" t="s">
        <v>255</v>
      </c>
      <c r="AP363" s="10" t="s">
        <v>268</v>
      </c>
      <c r="AQ363" s="11" t="n">
        <v>46195</v>
      </c>
      <c r="AR363" s="13"/>
      <c r="AS363" s="13"/>
      <c r="AT363" s="13"/>
      <c r="AU363" s="13"/>
      <c r="AV363" s="13"/>
      <c r="AW363" s="13"/>
      <c r="AX363" s="13" t="n">
        <v>93925</v>
      </c>
      <c r="AY363" s="7" t="s">
        <v>328</v>
      </c>
      <c r="AZ363" s="7" t="s">
        <v>203</v>
      </c>
      <c r="BA363" s="7" t="s">
        <v>36</v>
      </c>
      <c r="BB363" s="7" t="s">
        <v>204</v>
      </c>
      <c r="BC363" s="7" t="s">
        <v>1505</v>
      </c>
      <c r="BD363" s="9" t="n">
        <v>46336</v>
      </c>
      <c r="BE363" s="7"/>
      <c r="BF363" s="14" t="str">
        <f aca="true">IF(TRIM($A363)="Finalized","Closed",IF($BD363="","No review date set",IF($BD363&lt;TODAY(),"OVERDUE",IF($BD363-TODAY()&lt;=7,"Due within 7 days","Scheduled"))))</f>
        <v>Scheduled</v>
      </c>
      <c r="BG363" s="14" t="n">
        <f aca="true">IF($K363="","",TODAY()-$K363)</f>
        <v>6</v>
      </c>
      <c r="BH363" s="15" t="str">
        <f aca="false">IFERROR(LEFT(IF($B363="","Notes, ","")&amp;IF($K363="","Latest Date Worked, ","")&amp;IF($AY363="","Last Action, ","")&amp;IF(AND(OR(TRIM($A363)="Denied",TRIM($A363)="Rejected"),$BA363=""),"Denial Reason, ","")&amp;IF(AND(TRIM($A363)="Denied",$BB363="",TRIM($BA363)&lt;&gt;"NO DENIAL"),"Denial Code, ","")&amp;IF(AND(TRIM($A363)&lt;&gt;"Finalized",$BD363=""),"Next Review Date, ","")&amp;IF(AND(TRIM($A363)&lt;&gt;"Finalized",$BE363=""),"Next Step, ","")&amp;IF(AND(TRIM($A363)="Finalized",$AV363="",$AR363="",$AT363="",$AX363="",$AW363=""),"CPT outcome, ",""),LEN(IF($B363="","Notes, ","")&amp;IF($K363="","Latest Date Worked, ","")&amp;IF($AY363="","Last Action, ","")&amp;IF(AND(OR(TRIM($A363)="Denied",TRIM($A363)="Rejected"),$BA363=""),"Denial Reason, ","")&amp;IF(AND(TRIM($A363)="Denied",$BB363="",TRIM($BA363)&lt;&gt;"NO DENIAL"),"Denial Code, ","")&amp;IF(AND(TRIM($A363)&lt;&gt;"Finalized",$BD363=""),"Next Review Date, ","")&amp;IF(AND(TRIM($A363)&lt;&gt;"Finalized",$BE363=""),"Next Step, ","")&amp;IF(AND(TRIM($A363)="Finalized",$AV363="",$AR363="",$AT363="",$AX363="",$AW363=""),"CPT outcome, ",""))-2),"")</f>
        <v>Next Step</v>
      </c>
      <c r="BI363" s="15" t="str">
        <f aca="false">IF($BB363="","",IFERROR(INDEX('Denial Codes'!$C:$C,MATCH(LEFT($BB363,FIND(" - ",$BB363&amp;" - ")+2)&amp;"*",'Denial Codes'!$A:$A,0)),""))</f>
        <v>Medical records needed</v>
      </c>
      <c r="BJ363" s="15" t="str">
        <f aca="false">IF($BA363="","",IFERROR(INDEX(Lists!$B:$B,MATCH(TRIM($BA363),Lists!$A:$A,0))&amp;"",""))</f>
        <v>Upload the MR on the payer portal, note the PIQ/reference number and set a review date.</v>
      </c>
    </row>
    <row r="364" customFormat="false" ht="15" hidden="false" customHeight="false" outlineLevel="0" collapsed="false">
      <c r="A364" s="7" t="s">
        <v>18</v>
      </c>
      <c r="B364" s="7"/>
      <c r="C364" s="8" t="n">
        <v>562142694</v>
      </c>
      <c r="D364" s="9"/>
      <c r="E364" s="10" t="s">
        <v>1506</v>
      </c>
      <c r="F364" s="11" t="n">
        <v>46177</v>
      </c>
      <c r="G364" s="10" t="s">
        <v>128</v>
      </c>
      <c r="H364" s="10" t="s">
        <v>128</v>
      </c>
      <c r="I364" s="10" t="s">
        <v>129</v>
      </c>
      <c r="J364" s="10" t="s">
        <v>302</v>
      </c>
      <c r="K364" s="9"/>
      <c r="L364" s="12" t="str">
        <f aca="true">IF($O364="","",$O364-TODAY())</f>
        <v/>
      </c>
      <c r="M364" s="12"/>
      <c r="N364" s="12"/>
      <c r="O364" s="11"/>
      <c r="P364" s="10"/>
      <c r="Q364" s="10" t="s">
        <v>131</v>
      </c>
      <c r="R364" s="10"/>
      <c r="S364" s="10"/>
      <c r="T364" s="10"/>
      <c r="U364" s="10"/>
      <c r="V364" s="10" t="s">
        <v>303</v>
      </c>
      <c r="W364" s="10" t="s">
        <v>119</v>
      </c>
      <c r="X364" s="10" t="s">
        <v>304</v>
      </c>
      <c r="Y364" s="10"/>
      <c r="Z364" s="10"/>
      <c r="AA364" s="10" t="s">
        <v>197</v>
      </c>
      <c r="AB364" s="8" t="n">
        <f aca="true">IF($F364="","",TODAY()-$F364)</f>
        <v>134</v>
      </c>
      <c r="AC364" s="10" t="s">
        <v>305</v>
      </c>
      <c r="AD364" s="10"/>
      <c r="AE364" s="10"/>
      <c r="AF364" s="10"/>
      <c r="AG364" s="10"/>
      <c r="AH364" s="10"/>
      <c r="AI364" s="10"/>
      <c r="AJ364" s="10" t="s">
        <v>124</v>
      </c>
      <c r="AK364" s="10" t="s">
        <v>1507</v>
      </c>
      <c r="AL364" s="10" t="s">
        <v>1508</v>
      </c>
      <c r="AM364" s="10"/>
      <c r="AN364" s="8"/>
      <c r="AO364" s="10" t="s">
        <v>307</v>
      </c>
      <c r="AP364" s="10" t="s">
        <v>268</v>
      </c>
      <c r="AQ364" s="11" t="n">
        <v>46185</v>
      </c>
      <c r="AR364" s="13"/>
      <c r="AS364" s="13"/>
      <c r="AT364" s="13"/>
      <c r="AU364" s="13"/>
      <c r="AV364" s="13"/>
      <c r="AW364" s="13"/>
      <c r="AX364" s="13"/>
      <c r="AY364" s="7" t="s">
        <v>233</v>
      </c>
      <c r="AZ364" s="7"/>
      <c r="BA364" s="7"/>
      <c r="BB364" s="7"/>
      <c r="BC364" s="7"/>
      <c r="BD364" s="9"/>
      <c r="BE364" s="7" t="s">
        <v>142</v>
      </c>
      <c r="BF364" s="14" t="str">
        <f aca="true">IF(TRIM($A364)="Finalized","Closed",IF($BD364="","No review date set",IF($BD364&lt;TODAY(),"OVERDUE",IF($BD364-TODAY()&lt;=7,"Due within 7 days","Scheduled"))))</f>
        <v>No review date set</v>
      </c>
      <c r="BG364" s="14" t="str">
        <f aca="true">IF($K364="","",TODAY()-$K364)</f>
        <v/>
      </c>
      <c r="BH364" s="15" t="str">
        <f aca="false">IFERROR(LEFT(IF($B364="","Notes, ","")&amp;IF($K364="","Latest Date Worked, ","")&amp;IF($AY364="","Last Action, ","")&amp;IF(AND(OR(TRIM($A364)="Denied",TRIM($A364)="Rejected"),$BA364=""),"Denial Reason, ","")&amp;IF(AND(TRIM($A364)="Denied",$BB364="",TRIM($BA364)&lt;&gt;"NO DENIAL"),"Denial Code, ","")&amp;IF(AND(TRIM($A364)&lt;&gt;"Finalized",$BD364=""),"Next Review Date, ","")&amp;IF(AND(TRIM($A364)&lt;&gt;"Finalized",$BE364=""),"Next Step, ","")&amp;IF(AND(TRIM($A364)="Finalized",$AV364="",$AR364="",$AT364="",$AX364="",$AW364=""),"CPT outcome, ",""),LEN(IF($B364="","Notes, ","")&amp;IF($K364="","Latest Date Worked, ","")&amp;IF($AY364="","Last Action, ","")&amp;IF(AND(OR(TRIM($A364)="Denied",TRIM($A364)="Rejected"),$BA364=""),"Denial Reason, ","")&amp;IF(AND(TRIM($A364)="Denied",$BB364="",TRIM($BA364)&lt;&gt;"NO DENIAL"),"Denial Code, ","")&amp;IF(AND(TRIM($A364)&lt;&gt;"Finalized",$BD364=""),"Next Review Date, ","")&amp;IF(AND(TRIM($A364)&lt;&gt;"Finalized",$BE364=""),"Next Step, ","")&amp;IF(AND(TRIM($A364)="Finalized",$AV364="",$AR364="",$AT364="",$AX364="",$AW364=""),"CPT outcome, ",""))-2),"")</f>
        <v>Notes, Latest Date Worked, Next Review Date</v>
      </c>
      <c r="BI364" s="15" t="str">
        <f aca="false">IF($BB364="","",IFERROR(INDEX('Denial Codes'!$C:$C,MATCH(LEFT($BB364,FIND(" - ",$BB364&amp;" - ")+2)&amp;"*",'Denial Codes'!$A:$A,0)),""))</f>
        <v/>
      </c>
      <c r="BJ364" s="15" t="str">
        <f aca="false">IF($BA364="","",IFERROR(INDEX(Lists!$B:$B,MATCH(TRIM($BA364),Lists!$A:$A,0))&amp;"",""))</f>
        <v/>
      </c>
    </row>
    <row r="365" customFormat="false" ht="15" hidden="false" customHeight="false" outlineLevel="0" collapsed="false">
      <c r="A365" s="7" t="s">
        <v>18</v>
      </c>
      <c r="B365" s="7"/>
      <c r="C365" s="8" t="n">
        <v>562518339</v>
      </c>
      <c r="D365" s="9"/>
      <c r="E365" s="10" t="s">
        <v>1509</v>
      </c>
      <c r="F365" s="11" t="n">
        <v>46189</v>
      </c>
      <c r="G365" s="10" t="s">
        <v>128</v>
      </c>
      <c r="H365" s="10" t="s">
        <v>128</v>
      </c>
      <c r="I365" s="10" t="s">
        <v>129</v>
      </c>
      <c r="J365" s="10" t="s">
        <v>400</v>
      </c>
      <c r="K365" s="9"/>
      <c r="L365" s="12" t="str">
        <f aca="true">IF($O365="","",$O365-TODAY())</f>
        <v/>
      </c>
      <c r="M365" s="12"/>
      <c r="N365" s="12"/>
      <c r="O365" s="11"/>
      <c r="P365" s="10"/>
      <c r="Q365" s="10" t="s">
        <v>131</v>
      </c>
      <c r="R365" s="10"/>
      <c r="S365" s="10"/>
      <c r="T365" s="10"/>
      <c r="U365" s="10"/>
      <c r="V365" s="10" t="s">
        <v>303</v>
      </c>
      <c r="W365" s="10" t="s">
        <v>183</v>
      </c>
      <c r="X365" s="10"/>
      <c r="Y365" s="10"/>
      <c r="Z365" s="10"/>
      <c r="AA365" s="10" t="s">
        <v>197</v>
      </c>
      <c r="AB365" s="8" t="n">
        <f aca="true">IF($F365="","",TODAY()-$F365)</f>
        <v>122</v>
      </c>
      <c r="AC365" s="10" t="s">
        <v>185</v>
      </c>
      <c r="AD365" s="10" t="s">
        <v>184</v>
      </c>
      <c r="AE365" s="10"/>
      <c r="AF365" s="10"/>
      <c r="AG365" s="10"/>
      <c r="AH365" s="10"/>
      <c r="AI365" s="10"/>
      <c r="AJ365" s="10" t="s">
        <v>340</v>
      </c>
      <c r="AK365" s="10"/>
      <c r="AL365" s="10"/>
      <c r="AM365" s="10"/>
      <c r="AN365" s="8"/>
      <c r="AO365" s="10" t="s">
        <v>1049</v>
      </c>
      <c r="AP365" s="10" t="s">
        <v>994</v>
      </c>
      <c r="AQ365" s="11" t="n">
        <v>46217</v>
      </c>
      <c r="AR365" s="13"/>
      <c r="AS365" s="13"/>
      <c r="AT365" s="13"/>
      <c r="AU365" s="13"/>
      <c r="AV365" s="13"/>
      <c r="AW365" s="13"/>
      <c r="AX365" s="13"/>
      <c r="AY365" s="7" t="s">
        <v>233</v>
      </c>
      <c r="AZ365" s="7"/>
      <c r="BA365" s="7"/>
      <c r="BB365" s="7"/>
      <c r="BC365" s="7"/>
      <c r="BD365" s="9"/>
      <c r="BE365" s="7" t="s">
        <v>142</v>
      </c>
      <c r="BF365" s="14" t="str">
        <f aca="true">IF(TRIM($A365)="Finalized","Closed",IF($BD365="","No review date set",IF($BD365&lt;TODAY(),"OVERDUE",IF($BD365-TODAY()&lt;=7,"Due within 7 days","Scheduled"))))</f>
        <v>No review date set</v>
      </c>
      <c r="BG365" s="14" t="str">
        <f aca="true">IF($K365="","",TODAY()-$K365)</f>
        <v/>
      </c>
      <c r="BH365" s="15" t="str">
        <f aca="false">IFERROR(LEFT(IF($B365="","Notes, ","")&amp;IF($K365="","Latest Date Worked, ","")&amp;IF($AY365="","Last Action, ","")&amp;IF(AND(OR(TRIM($A365)="Denied",TRIM($A365)="Rejected"),$BA365=""),"Denial Reason, ","")&amp;IF(AND(TRIM($A365)="Denied",$BB365="",TRIM($BA365)&lt;&gt;"NO DENIAL"),"Denial Code, ","")&amp;IF(AND(TRIM($A365)&lt;&gt;"Finalized",$BD365=""),"Next Review Date, ","")&amp;IF(AND(TRIM($A365)&lt;&gt;"Finalized",$BE365=""),"Next Step, ","")&amp;IF(AND(TRIM($A365)="Finalized",$AV365="",$AR365="",$AT365="",$AX365="",$AW365=""),"CPT outcome, ",""),LEN(IF($B365="","Notes, ","")&amp;IF($K365="","Latest Date Worked, ","")&amp;IF($AY365="","Last Action, ","")&amp;IF(AND(OR(TRIM($A365)="Denied",TRIM($A365)="Rejected"),$BA365=""),"Denial Reason, ","")&amp;IF(AND(TRIM($A365)="Denied",$BB365="",TRIM($BA365)&lt;&gt;"NO DENIAL"),"Denial Code, ","")&amp;IF(AND(TRIM($A365)&lt;&gt;"Finalized",$BD365=""),"Next Review Date, ","")&amp;IF(AND(TRIM($A365)&lt;&gt;"Finalized",$BE365=""),"Next Step, ","")&amp;IF(AND(TRIM($A365)="Finalized",$AV365="",$AR365="",$AT365="",$AX365="",$AW365=""),"CPT outcome, ",""))-2),"")</f>
        <v>Notes, Latest Date Worked, Next Review Date</v>
      </c>
      <c r="BI365" s="15" t="str">
        <f aca="false">IF($BB365="","",IFERROR(INDEX('Denial Codes'!$C:$C,MATCH(LEFT($BB365,FIND(" - ",$BB365&amp;" - ")+2)&amp;"*",'Denial Codes'!$A:$A,0)),""))</f>
        <v/>
      </c>
      <c r="BJ365" s="15" t="str">
        <f aca="false">IF($BA365="","",IFERROR(INDEX(Lists!$B:$B,MATCH(TRIM($BA365),Lists!$A:$A,0))&amp;"",""))</f>
        <v/>
      </c>
    </row>
    <row r="366" customFormat="false" ht="15" hidden="false" customHeight="false" outlineLevel="0" collapsed="false">
      <c r="A366" s="7" t="s">
        <v>17</v>
      </c>
      <c r="B366" s="7" t="s">
        <v>1510</v>
      </c>
      <c r="C366" s="8" t="n">
        <v>569719928</v>
      </c>
      <c r="D366" s="9" t="n">
        <v>46227</v>
      </c>
      <c r="E366" s="10" t="s">
        <v>1487</v>
      </c>
      <c r="F366" s="11" t="n">
        <v>46190</v>
      </c>
      <c r="G366" s="10" t="s">
        <v>193</v>
      </c>
      <c r="H366" s="10" t="s">
        <v>193</v>
      </c>
      <c r="I366" s="10" t="s">
        <v>129</v>
      </c>
      <c r="J366" s="10" t="s">
        <v>194</v>
      </c>
      <c r="K366" s="9" t="n">
        <v>46305</v>
      </c>
      <c r="L366" s="12" t="str">
        <f aca="true">IF($O366="","",$O366-TODAY())</f>
        <v/>
      </c>
      <c r="M366" s="12"/>
      <c r="N366" s="12" t="n">
        <f aca="true">IF(AND(TRIM($A366)="Finalized",$K366&lt;&gt;""),"",IF($D366="","",$D366+180-TODAY()))</f>
        <v>96</v>
      </c>
      <c r="O366" s="11"/>
      <c r="P366" s="10"/>
      <c r="Q366" s="10" t="s">
        <v>195</v>
      </c>
      <c r="R366" s="10"/>
      <c r="S366" s="10"/>
      <c r="T366" s="10" t="s">
        <v>147</v>
      </c>
      <c r="U366" s="10" t="s">
        <v>116</v>
      </c>
      <c r="V366" s="10" t="s">
        <v>303</v>
      </c>
      <c r="W366" s="10" t="s">
        <v>196</v>
      </c>
      <c r="X366" s="10"/>
      <c r="Y366" s="10"/>
      <c r="Z366" s="10"/>
      <c r="AA366" s="10" t="s">
        <v>197</v>
      </c>
      <c r="AB366" s="8" t="n">
        <f aca="true">IF($F366="","",TODAY()-$F366)</f>
        <v>121</v>
      </c>
      <c r="AC366" s="10" t="s">
        <v>198</v>
      </c>
      <c r="AD366" s="10"/>
      <c r="AE366" s="10"/>
      <c r="AF366" s="10"/>
      <c r="AG366" s="10"/>
      <c r="AH366" s="10"/>
      <c r="AI366" s="10"/>
      <c r="AJ366" s="10" t="s">
        <v>552</v>
      </c>
      <c r="AK366" s="10"/>
      <c r="AL366" s="10"/>
      <c r="AM366" s="10"/>
      <c r="AN366" s="8"/>
      <c r="AO366" s="10" t="s">
        <v>255</v>
      </c>
      <c r="AP366" s="10" t="s">
        <v>268</v>
      </c>
      <c r="AQ366" s="11" t="n">
        <v>46195</v>
      </c>
      <c r="AR366" s="13"/>
      <c r="AS366" s="13"/>
      <c r="AT366" s="13"/>
      <c r="AU366" s="13"/>
      <c r="AV366" s="13"/>
      <c r="AW366" s="13"/>
      <c r="AX366" s="13" t="n">
        <v>93970</v>
      </c>
      <c r="AY366" s="7" t="s">
        <v>203</v>
      </c>
      <c r="AZ366" s="7"/>
      <c r="BA366" s="7" t="s">
        <v>36</v>
      </c>
      <c r="BB366" s="7" t="s">
        <v>204</v>
      </c>
      <c r="BC366" s="7" t="s">
        <v>1511</v>
      </c>
      <c r="BD366" s="9" t="n">
        <v>46336</v>
      </c>
      <c r="BE366" s="7"/>
      <c r="BF366" s="14" t="str">
        <f aca="true">IF(TRIM($A366)="Finalized","Closed",IF($BD366="","No review date set",IF($BD366&lt;TODAY(),"OVERDUE",IF($BD366-TODAY()&lt;=7,"Due within 7 days","Scheduled"))))</f>
        <v>Scheduled</v>
      </c>
      <c r="BG366" s="14" t="n">
        <f aca="true">IF($K366="","",TODAY()-$K366)</f>
        <v>6</v>
      </c>
      <c r="BH366" s="15" t="str">
        <f aca="false">IFERROR(LEFT(IF($B366="","Notes, ","")&amp;IF($K366="","Latest Date Worked, ","")&amp;IF($AY366="","Last Action, ","")&amp;IF(AND(OR(TRIM($A366)="Denied",TRIM($A366)="Rejected"),$BA366=""),"Denial Reason, ","")&amp;IF(AND(TRIM($A366)="Denied",$BB366="",TRIM($BA366)&lt;&gt;"NO DENIAL"),"Denial Code, ","")&amp;IF(AND(TRIM($A366)&lt;&gt;"Finalized",$BD366=""),"Next Review Date, ","")&amp;IF(AND(TRIM($A366)&lt;&gt;"Finalized",$BE366=""),"Next Step, ","")&amp;IF(AND(TRIM($A366)="Finalized",$AV366="",$AR366="",$AT366="",$AX366="",$AW366=""),"CPT outcome, ",""),LEN(IF($B366="","Notes, ","")&amp;IF($K366="","Latest Date Worked, ","")&amp;IF($AY366="","Last Action, ","")&amp;IF(AND(OR(TRIM($A366)="Denied",TRIM($A366)="Rejected"),$BA366=""),"Denial Reason, ","")&amp;IF(AND(TRIM($A366)="Denied",$BB366="",TRIM($BA366)&lt;&gt;"NO DENIAL"),"Denial Code, ","")&amp;IF(AND(TRIM($A366)&lt;&gt;"Finalized",$BD366=""),"Next Review Date, ","")&amp;IF(AND(TRIM($A366)&lt;&gt;"Finalized",$BE366=""),"Next Step, ","")&amp;IF(AND(TRIM($A366)="Finalized",$AV366="",$AR366="",$AT366="",$AX366="",$AW366=""),"CPT outcome, ",""))-2),"")</f>
        <v>Next Step</v>
      </c>
      <c r="BI366" s="15" t="str">
        <f aca="false">IF($BB366="","",IFERROR(INDEX('Denial Codes'!$C:$C,MATCH(LEFT($BB366,FIND(" - ",$BB366&amp;" - ")+2)&amp;"*",'Denial Codes'!$A:$A,0)),""))</f>
        <v>Medical records needed</v>
      </c>
      <c r="BJ366" s="15" t="str">
        <f aca="false">IF($BA366="","",IFERROR(INDEX(Lists!$B:$B,MATCH(TRIM($BA366),Lists!$A:$A,0))&amp;"",""))</f>
        <v>Upload the MR on the payer portal, note the PIQ/reference number and set a review date.</v>
      </c>
    </row>
    <row r="367" customFormat="false" ht="15" hidden="false" customHeight="false" outlineLevel="0" collapsed="false">
      <c r="A367" s="7" t="s">
        <v>17</v>
      </c>
      <c r="B367" s="7" t="s">
        <v>1512</v>
      </c>
      <c r="C367" s="8" t="n">
        <v>562862986</v>
      </c>
      <c r="D367" s="9" t="n">
        <v>46253</v>
      </c>
      <c r="E367" s="10" t="s">
        <v>1513</v>
      </c>
      <c r="F367" s="11" t="n">
        <v>46192</v>
      </c>
      <c r="G367" s="10" t="s">
        <v>193</v>
      </c>
      <c r="H367" s="10" t="s">
        <v>193</v>
      </c>
      <c r="I367" s="10" t="s">
        <v>129</v>
      </c>
      <c r="J367" s="10" t="s">
        <v>997</v>
      </c>
      <c r="K367" s="9" t="n">
        <v>46306</v>
      </c>
      <c r="L367" s="12" t="str">
        <f aca="true">IF($O367="","",$O367-TODAY())</f>
        <v/>
      </c>
      <c r="M367" s="12"/>
      <c r="N367" s="12" t="n">
        <f aca="true">IF(AND(TRIM($A367)="Finalized",$K367&lt;&gt;""),"",IF($D367="","",$D367+180-TODAY()))</f>
        <v>122</v>
      </c>
      <c r="O367" s="11"/>
      <c r="P367" s="10"/>
      <c r="Q367" s="10" t="s">
        <v>195</v>
      </c>
      <c r="R367" s="10"/>
      <c r="S367" s="10"/>
      <c r="T367" s="10" t="s">
        <v>147</v>
      </c>
      <c r="U367" s="10" t="s">
        <v>116</v>
      </c>
      <c r="V367" s="10" t="s">
        <v>303</v>
      </c>
      <c r="W367" s="10" t="s">
        <v>183</v>
      </c>
      <c r="X367" s="10"/>
      <c r="Y367" s="10"/>
      <c r="Z367" s="10"/>
      <c r="AA367" s="10" t="s">
        <v>197</v>
      </c>
      <c r="AB367" s="8" t="n">
        <f aca="true">IF($F367="","",TODAY()-$F367)</f>
        <v>119</v>
      </c>
      <c r="AC367" s="10" t="s">
        <v>283</v>
      </c>
      <c r="AD367" s="10"/>
      <c r="AE367" s="10"/>
      <c r="AF367" s="10"/>
      <c r="AG367" s="10"/>
      <c r="AH367" s="10"/>
      <c r="AI367" s="10"/>
      <c r="AJ367" s="10" t="s">
        <v>284</v>
      </c>
      <c r="AK367" s="10" t="s">
        <v>285</v>
      </c>
      <c r="AL367" s="10"/>
      <c r="AM367" s="10"/>
      <c r="AN367" s="8"/>
      <c r="AO367" s="10" t="s">
        <v>286</v>
      </c>
      <c r="AP367" s="10" t="s">
        <v>318</v>
      </c>
      <c r="AQ367" s="11" t="n">
        <v>46234</v>
      </c>
      <c r="AR367" s="13"/>
      <c r="AS367" s="13"/>
      <c r="AT367" s="13"/>
      <c r="AU367" s="13"/>
      <c r="AV367" s="13"/>
      <c r="AW367" s="13"/>
      <c r="AX367" s="13" t="s">
        <v>319</v>
      </c>
      <c r="AY367" s="7" t="s">
        <v>203</v>
      </c>
      <c r="AZ367" s="7" t="s">
        <v>328</v>
      </c>
      <c r="BA367" s="7" t="s">
        <v>51</v>
      </c>
      <c r="BB367" s="7" t="s">
        <v>1514</v>
      </c>
      <c r="BC367" s="7"/>
      <c r="BD367" s="9" t="n">
        <v>46337</v>
      </c>
      <c r="BE367" s="7"/>
      <c r="BF367" s="14" t="str">
        <f aca="true">IF(TRIM($A367)="Finalized","Closed",IF($BD367="","No review date set",IF($BD367&lt;TODAY(),"OVERDUE",IF($BD367-TODAY()&lt;=7,"Due within 7 days","Scheduled"))))</f>
        <v>Scheduled</v>
      </c>
      <c r="BG367" s="14" t="n">
        <f aca="true">IF($K367="","",TODAY()-$K367)</f>
        <v>5</v>
      </c>
      <c r="BH367" s="15" t="str">
        <f aca="false">IFERROR(LEFT(IF($B367="","Notes, ","")&amp;IF($K367="","Latest Date Worked, ","")&amp;IF($AY367="","Last Action, ","")&amp;IF(AND(OR(TRIM($A367)="Denied",TRIM($A367)="Rejected"),$BA367=""),"Denial Reason, ","")&amp;IF(AND(TRIM($A367)="Denied",$BB367="",TRIM($BA367)&lt;&gt;"NO DENIAL"),"Denial Code, ","")&amp;IF(AND(TRIM($A367)&lt;&gt;"Finalized",$BD367=""),"Next Review Date, ","")&amp;IF(AND(TRIM($A367)&lt;&gt;"Finalized",$BE367=""),"Next Step, ","")&amp;IF(AND(TRIM($A367)="Finalized",$AV367="",$AR367="",$AT367="",$AX367="",$AW367=""),"CPT outcome, ",""),LEN(IF($B367="","Notes, ","")&amp;IF($K367="","Latest Date Worked, ","")&amp;IF($AY367="","Last Action, ","")&amp;IF(AND(OR(TRIM($A367)="Denied",TRIM($A367)="Rejected"),$BA367=""),"Denial Reason, ","")&amp;IF(AND(TRIM($A367)="Denied",$BB367="",TRIM($BA367)&lt;&gt;"NO DENIAL"),"Denial Code, ","")&amp;IF(AND(TRIM($A367)&lt;&gt;"Finalized",$BD367=""),"Next Review Date, ","")&amp;IF(AND(TRIM($A367)&lt;&gt;"Finalized",$BE367=""),"Next Step, ","")&amp;IF(AND(TRIM($A367)="Finalized",$AV367="",$AR367="",$AT367="",$AX367="",$AW367=""),"CPT outcome, ",""))-2),"")</f>
        <v>Next Step</v>
      </c>
      <c r="BI367" s="15" t="str">
        <f aca="false">IF($BB367="","",IFERROR(INDEX('Denial Codes'!$C:$C,MATCH(LEFT($BB367,FIND(" - ",$BB367&amp;" - ")+2)&amp;"*",'Denial Codes'!$A:$A,0)),""))</f>
        <v>Accident / work related</v>
      </c>
      <c r="BJ367" s="15" t="str">
        <f aca="false">IF($BA367="","",IFERROR(INDEX(Lists!$B:$B,MATCH(TRIM($BA367),Lists!$A:$A,0))&amp;"",""))</f>
        <v>Get the accident details or workers' comp carrier from the patient; update the claim or bill the WC carrier.</v>
      </c>
    </row>
    <row r="368" customFormat="false" ht="15" hidden="false" customHeight="false" outlineLevel="0" collapsed="false">
      <c r="A368" s="7" t="s">
        <v>17</v>
      </c>
      <c r="B368" s="7" t="s">
        <v>1515</v>
      </c>
      <c r="C368" s="8" t="n">
        <v>562903580</v>
      </c>
      <c r="D368" s="9" t="n">
        <v>46226</v>
      </c>
      <c r="E368" s="10" t="s">
        <v>1516</v>
      </c>
      <c r="F368" s="11" t="n">
        <v>46192</v>
      </c>
      <c r="G368" s="10" t="s">
        <v>530</v>
      </c>
      <c r="H368" s="10" t="s">
        <v>530</v>
      </c>
      <c r="I368" s="10" t="s">
        <v>129</v>
      </c>
      <c r="J368" s="10" t="s">
        <v>400</v>
      </c>
      <c r="K368" s="9" t="n">
        <v>46307</v>
      </c>
      <c r="L368" s="12" t="str">
        <f aca="true">IF($O368="","",$O368-TODAY())</f>
        <v/>
      </c>
      <c r="M368" s="12"/>
      <c r="N368" s="12"/>
      <c r="O368" s="11"/>
      <c r="P368" s="10"/>
      <c r="Q368" s="10" t="s">
        <v>131</v>
      </c>
      <c r="R368" s="10"/>
      <c r="S368" s="10"/>
      <c r="T368" s="10"/>
      <c r="U368" s="10"/>
      <c r="V368" s="10" t="s">
        <v>303</v>
      </c>
      <c r="W368" s="10" t="s">
        <v>183</v>
      </c>
      <c r="X368" s="10"/>
      <c r="Y368" s="10"/>
      <c r="Z368" s="10"/>
      <c r="AA368" s="10" t="s">
        <v>197</v>
      </c>
      <c r="AB368" s="8" t="n">
        <f aca="true">IF($F368="","",TODAY()-$F368)</f>
        <v>119</v>
      </c>
      <c r="AC368" s="10" t="s">
        <v>185</v>
      </c>
      <c r="AD368" s="10" t="s">
        <v>184</v>
      </c>
      <c r="AE368" s="10"/>
      <c r="AF368" s="10"/>
      <c r="AG368" s="10"/>
      <c r="AH368" s="10"/>
      <c r="AI368" s="10"/>
      <c r="AJ368" s="10" t="s">
        <v>340</v>
      </c>
      <c r="AK368" s="10"/>
      <c r="AL368" s="10"/>
      <c r="AM368" s="10"/>
      <c r="AN368" s="8"/>
      <c r="AO368" s="10" t="s">
        <v>213</v>
      </c>
      <c r="AP368" s="10" t="s">
        <v>268</v>
      </c>
      <c r="AQ368" s="11" t="n">
        <v>46217</v>
      </c>
      <c r="AR368" s="13"/>
      <c r="AS368" s="13"/>
      <c r="AT368" s="13"/>
      <c r="AU368" s="13"/>
      <c r="AV368" s="13"/>
      <c r="AW368" s="13"/>
      <c r="AX368" s="13" t="s">
        <v>507</v>
      </c>
      <c r="AY368" s="7" t="s">
        <v>159</v>
      </c>
      <c r="AZ368" s="7" t="s">
        <v>328</v>
      </c>
      <c r="BA368" s="7" t="s">
        <v>44</v>
      </c>
      <c r="BB368" s="7" t="s">
        <v>1517</v>
      </c>
      <c r="BC368" s="7" t="s">
        <v>1458</v>
      </c>
      <c r="BD368" s="9" t="n">
        <v>46338</v>
      </c>
      <c r="BE368" s="7"/>
      <c r="BF368" s="14" t="str">
        <f aca="true">IF(TRIM($A368)="Finalized","Closed",IF($BD368="","No review date set",IF($BD368&lt;TODAY(),"OVERDUE",IF($BD368-TODAY()&lt;=7,"Due within 7 days","Scheduled"))))</f>
        <v>Scheduled</v>
      </c>
      <c r="BG368" s="14" t="n">
        <f aca="true">IF($K368="","",TODAY()-$K368)</f>
        <v>4</v>
      </c>
      <c r="BH368" s="15" t="str">
        <f aca="false">IFERROR(LEFT(IF($B368="","Notes, ","")&amp;IF($K368="","Latest Date Worked, ","")&amp;IF($AY368="","Last Action, ","")&amp;IF(AND(OR(TRIM($A368)="Denied",TRIM($A368)="Rejected"),$BA368=""),"Denial Reason, ","")&amp;IF(AND(TRIM($A368)="Denied",$BB368="",TRIM($BA368)&lt;&gt;"NO DENIAL"),"Denial Code, ","")&amp;IF(AND(TRIM($A368)&lt;&gt;"Finalized",$BD368=""),"Next Review Date, ","")&amp;IF(AND(TRIM($A368)&lt;&gt;"Finalized",$BE368=""),"Next Step, ","")&amp;IF(AND(TRIM($A368)="Finalized",$AV368="",$AR368="",$AT368="",$AX368="",$AW368=""),"CPT outcome, ",""),LEN(IF($B368="","Notes, ","")&amp;IF($K368="","Latest Date Worked, ","")&amp;IF($AY368="","Last Action, ","")&amp;IF(AND(OR(TRIM($A368)="Denied",TRIM($A368)="Rejected"),$BA368=""),"Denial Reason, ","")&amp;IF(AND(TRIM($A368)="Denied",$BB368="",TRIM($BA368)&lt;&gt;"NO DENIAL"),"Denial Code, ","")&amp;IF(AND(TRIM($A368)&lt;&gt;"Finalized",$BD368=""),"Next Review Date, ","")&amp;IF(AND(TRIM($A368)&lt;&gt;"Finalized",$BE368=""),"Next Step, ","")&amp;IF(AND(TRIM($A368)="Finalized",$AV368="",$AR368="",$AT368="",$AX368="",$AW368=""),"CPT outcome, ",""))-2),"")</f>
        <v>Next Step</v>
      </c>
      <c r="BI368" s="15" t="str">
        <f aca="false">IF($BB368="","",IFERROR(INDEX('Denial Codes'!$C:$C,MATCH(LEFT($BB368,FIND(" - ",$BB368&amp;" - ")+2)&amp;"*",'Denial Codes'!$A:$A,0)),""))</f>
        <v>Wrong payer / vendor</v>
      </c>
      <c r="BJ368" s="15" t="str">
        <f aca="false">IF($BA368="","",IFERROR(INDEX(Lists!$B:$B,MATCH(TRIM($BA368),Lists!$A:$A,0))&amp;"",""))</f>
        <v>Bill the correct payer, delegated vendor or capitated group/IPA (e.g. Optum Behavioral, Preferred Homecare).</v>
      </c>
    </row>
    <row r="369" customFormat="false" ht="15" hidden="false" customHeight="false" outlineLevel="0" collapsed="false">
      <c r="A369" s="7" t="s">
        <v>18</v>
      </c>
      <c r="B369" s="7"/>
      <c r="C369" s="8" t="n">
        <v>563830748</v>
      </c>
      <c r="D369" s="9"/>
      <c r="E369" s="10" t="s">
        <v>1506</v>
      </c>
      <c r="F369" s="11" t="n">
        <v>46193</v>
      </c>
      <c r="G369" s="10" t="s">
        <v>128</v>
      </c>
      <c r="H369" s="10" t="s">
        <v>128</v>
      </c>
      <c r="I369" s="10" t="s">
        <v>129</v>
      </c>
      <c r="J369" s="10" t="s">
        <v>1518</v>
      </c>
      <c r="K369" s="9"/>
      <c r="L369" s="12" t="str">
        <f aca="true">IF($O369="","",$O369-TODAY())</f>
        <v/>
      </c>
      <c r="M369" s="12"/>
      <c r="N369" s="12"/>
      <c r="O369" s="11"/>
      <c r="P369" s="10"/>
      <c r="Q369" s="10" t="s">
        <v>131</v>
      </c>
      <c r="R369" s="10"/>
      <c r="S369" s="10"/>
      <c r="T369" s="10"/>
      <c r="U369" s="10"/>
      <c r="V369" s="10" t="s">
        <v>303</v>
      </c>
      <c r="W369" s="10" t="s">
        <v>132</v>
      </c>
      <c r="X369" s="10"/>
      <c r="Y369" s="10"/>
      <c r="Z369" s="10"/>
      <c r="AA369" s="10" t="s">
        <v>197</v>
      </c>
      <c r="AB369" s="8" t="n">
        <f aca="true">IF($F369="","",TODAY()-$F369)</f>
        <v>118</v>
      </c>
      <c r="AC369" s="10" t="s">
        <v>246</v>
      </c>
      <c r="AD369" s="10" t="s">
        <v>1126</v>
      </c>
      <c r="AE369" s="10"/>
      <c r="AF369" s="10"/>
      <c r="AG369" s="10"/>
      <c r="AH369" s="10"/>
      <c r="AI369" s="10"/>
      <c r="AJ369" s="10" t="s">
        <v>1519</v>
      </c>
      <c r="AK369" s="10" t="s">
        <v>170</v>
      </c>
      <c r="AL369" s="10" t="s">
        <v>452</v>
      </c>
      <c r="AM369" s="10" t="s">
        <v>1520</v>
      </c>
      <c r="AN369" s="8"/>
      <c r="AO369" s="10" t="s">
        <v>546</v>
      </c>
      <c r="AP369" s="10" t="s">
        <v>175</v>
      </c>
      <c r="AQ369" s="11" t="n">
        <v>46203</v>
      </c>
      <c r="AR369" s="13"/>
      <c r="AS369" s="13"/>
      <c r="AT369" s="13"/>
      <c r="AU369" s="13"/>
      <c r="AV369" s="13"/>
      <c r="AW369" s="13"/>
      <c r="AX369" s="13"/>
      <c r="AY369" s="7" t="s">
        <v>233</v>
      </c>
      <c r="AZ369" s="7"/>
      <c r="BA369" s="7"/>
      <c r="BB369" s="7"/>
      <c r="BC369" s="7"/>
      <c r="BD369" s="9"/>
      <c r="BE369" s="7" t="s">
        <v>142</v>
      </c>
      <c r="BF369" s="14" t="str">
        <f aca="true">IF(TRIM($A369)="Finalized","Closed",IF($BD369="","No review date set",IF($BD369&lt;TODAY(),"OVERDUE",IF($BD369-TODAY()&lt;=7,"Due within 7 days","Scheduled"))))</f>
        <v>No review date set</v>
      </c>
      <c r="BG369" s="14" t="str">
        <f aca="true">IF($K369="","",TODAY()-$K369)</f>
        <v/>
      </c>
      <c r="BH369" s="15" t="str">
        <f aca="false">IFERROR(LEFT(IF($B369="","Notes, ","")&amp;IF($K369="","Latest Date Worked, ","")&amp;IF($AY369="","Last Action, ","")&amp;IF(AND(OR(TRIM($A369)="Denied",TRIM($A369)="Rejected"),$BA369=""),"Denial Reason, ","")&amp;IF(AND(TRIM($A369)="Denied",$BB369="",TRIM($BA369)&lt;&gt;"NO DENIAL"),"Denial Code, ","")&amp;IF(AND(TRIM($A369)&lt;&gt;"Finalized",$BD369=""),"Next Review Date, ","")&amp;IF(AND(TRIM($A369)&lt;&gt;"Finalized",$BE369=""),"Next Step, ","")&amp;IF(AND(TRIM($A369)="Finalized",$AV369="",$AR369="",$AT369="",$AX369="",$AW369=""),"CPT outcome, ",""),LEN(IF($B369="","Notes, ","")&amp;IF($K369="","Latest Date Worked, ","")&amp;IF($AY369="","Last Action, ","")&amp;IF(AND(OR(TRIM($A369)="Denied",TRIM($A369)="Rejected"),$BA369=""),"Denial Reason, ","")&amp;IF(AND(TRIM($A369)="Denied",$BB369="",TRIM($BA369)&lt;&gt;"NO DENIAL"),"Denial Code, ","")&amp;IF(AND(TRIM($A369)&lt;&gt;"Finalized",$BD369=""),"Next Review Date, ","")&amp;IF(AND(TRIM($A369)&lt;&gt;"Finalized",$BE369=""),"Next Step, ","")&amp;IF(AND(TRIM($A369)="Finalized",$AV369="",$AR369="",$AT369="",$AX369="",$AW369=""),"CPT outcome, ",""))-2),"")</f>
        <v>Notes, Latest Date Worked, Next Review Date</v>
      </c>
      <c r="BI369" s="15" t="str">
        <f aca="false">IF($BB369="","",IFERROR(INDEX('Denial Codes'!$C:$C,MATCH(LEFT($BB369,FIND(" - ",$BB369&amp;" - ")+2)&amp;"*",'Denial Codes'!$A:$A,0)),""))</f>
        <v/>
      </c>
      <c r="BJ369" s="15" t="str">
        <f aca="false">IF($BA369="","",IFERROR(INDEX(Lists!$B:$B,MATCH(TRIM($BA369),Lists!$A:$A,0))&amp;"",""))</f>
        <v/>
      </c>
    </row>
    <row r="370" customFormat="false" ht="15" hidden="false" customHeight="false" outlineLevel="0" collapsed="false">
      <c r="A370" s="7" t="s">
        <v>18</v>
      </c>
      <c r="B370" s="7"/>
      <c r="C370" s="8" t="n">
        <v>564106191</v>
      </c>
      <c r="D370" s="9"/>
      <c r="E370" s="10" t="s">
        <v>1506</v>
      </c>
      <c r="F370" s="11" t="n">
        <v>46197</v>
      </c>
      <c r="G370" s="10" t="s">
        <v>128</v>
      </c>
      <c r="H370" s="10" t="s">
        <v>128</v>
      </c>
      <c r="I370" s="10" t="s">
        <v>129</v>
      </c>
      <c r="J370" s="10" t="s">
        <v>272</v>
      </c>
      <c r="K370" s="9"/>
      <c r="L370" s="12" t="str">
        <f aca="true">IF($O370="","",$O370-TODAY())</f>
        <v/>
      </c>
      <c r="M370" s="12"/>
      <c r="N370" s="12"/>
      <c r="O370" s="11"/>
      <c r="P370" s="10"/>
      <c r="Q370" s="10" t="s">
        <v>131</v>
      </c>
      <c r="R370" s="10"/>
      <c r="S370" s="10"/>
      <c r="T370" s="10"/>
      <c r="U370" s="10"/>
      <c r="V370" s="10" t="s">
        <v>303</v>
      </c>
      <c r="W370" s="10" t="s">
        <v>119</v>
      </c>
      <c r="X370" s="10" t="s">
        <v>120</v>
      </c>
      <c r="Y370" s="10"/>
      <c r="Z370" s="10"/>
      <c r="AA370" s="10" t="s">
        <v>121</v>
      </c>
      <c r="AB370" s="8" t="n">
        <f aca="true">IF($F370="","",TODAY()-$F370)</f>
        <v>114</v>
      </c>
      <c r="AC370" s="10" t="s">
        <v>273</v>
      </c>
      <c r="AD370" s="10"/>
      <c r="AE370" s="10"/>
      <c r="AF370" s="10"/>
      <c r="AG370" s="10"/>
      <c r="AH370" s="10"/>
      <c r="AI370" s="10"/>
      <c r="AJ370" s="10" t="s">
        <v>123</v>
      </c>
      <c r="AK370" s="10" t="s">
        <v>124</v>
      </c>
      <c r="AL370" s="10"/>
      <c r="AM370" s="10"/>
      <c r="AN370" s="8"/>
      <c r="AO370" s="10" t="s">
        <v>336</v>
      </c>
      <c r="AP370" s="10" t="s">
        <v>268</v>
      </c>
      <c r="AQ370" s="11" t="n">
        <v>46205</v>
      </c>
      <c r="AR370" s="13"/>
      <c r="AS370" s="13"/>
      <c r="AT370" s="13"/>
      <c r="AU370" s="13"/>
      <c r="AV370" s="13"/>
      <c r="AW370" s="13"/>
      <c r="AX370" s="13"/>
      <c r="AY370" s="7" t="s">
        <v>233</v>
      </c>
      <c r="AZ370" s="7"/>
      <c r="BA370" s="7"/>
      <c r="BB370" s="7"/>
      <c r="BC370" s="7"/>
      <c r="BD370" s="9"/>
      <c r="BE370" s="7" t="s">
        <v>142</v>
      </c>
      <c r="BF370" s="14" t="str">
        <f aca="true">IF(TRIM($A370)="Finalized","Closed",IF($BD370="","No review date set",IF($BD370&lt;TODAY(),"OVERDUE",IF($BD370-TODAY()&lt;=7,"Due within 7 days","Scheduled"))))</f>
        <v>No review date set</v>
      </c>
      <c r="BG370" s="14" t="str">
        <f aca="true">IF($K370="","",TODAY()-$K370)</f>
        <v/>
      </c>
      <c r="BH370" s="15" t="str">
        <f aca="false">IFERROR(LEFT(IF($B370="","Notes, ","")&amp;IF($K370="","Latest Date Worked, ","")&amp;IF($AY370="","Last Action, ","")&amp;IF(AND(OR(TRIM($A370)="Denied",TRIM($A370)="Rejected"),$BA370=""),"Denial Reason, ","")&amp;IF(AND(TRIM($A370)="Denied",$BB370="",TRIM($BA370)&lt;&gt;"NO DENIAL"),"Denial Code, ","")&amp;IF(AND(TRIM($A370)&lt;&gt;"Finalized",$BD370=""),"Next Review Date, ","")&amp;IF(AND(TRIM($A370)&lt;&gt;"Finalized",$BE370=""),"Next Step, ","")&amp;IF(AND(TRIM($A370)="Finalized",$AV370="",$AR370="",$AT370="",$AX370="",$AW370=""),"CPT outcome, ",""),LEN(IF($B370="","Notes, ","")&amp;IF($K370="","Latest Date Worked, ","")&amp;IF($AY370="","Last Action, ","")&amp;IF(AND(OR(TRIM($A370)="Denied",TRIM($A370)="Rejected"),$BA370=""),"Denial Reason, ","")&amp;IF(AND(TRIM($A370)="Denied",$BB370="",TRIM($BA370)&lt;&gt;"NO DENIAL"),"Denial Code, ","")&amp;IF(AND(TRIM($A370)&lt;&gt;"Finalized",$BD370=""),"Next Review Date, ","")&amp;IF(AND(TRIM($A370)&lt;&gt;"Finalized",$BE370=""),"Next Step, ","")&amp;IF(AND(TRIM($A370)="Finalized",$AV370="",$AR370="",$AT370="",$AX370="",$AW370=""),"CPT outcome, ",""))-2),"")</f>
        <v>Notes, Latest Date Worked, Next Review Date</v>
      </c>
      <c r="BI370" s="15" t="str">
        <f aca="false">IF($BB370="","",IFERROR(INDEX('Denial Codes'!$C:$C,MATCH(LEFT($BB370,FIND(" - ",$BB370&amp;" - ")+2)&amp;"*",'Denial Codes'!$A:$A,0)),""))</f>
        <v/>
      </c>
      <c r="BJ370" s="15" t="str">
        <f aca="false">IF($BA370="","",IFERROR(INDEX(Lists!$B:$B,MATCH(TRIM($BA370),Lists!$A:$A,0))&amp;"",""))</f>
        <v/>
      </c>
    </row>
    <row r="371" customFormat="false" ht="15" hidden="false" customHeight="false" outlineLevel="0" collapsed="false">
      <c r="A371" s="7" t="s">
        <v>21</v>
      </c>
      <c r="B371" s="7" t="s">
        <v>1521</v>
      </c>
      <c r="C371" s="8" t="n">
        <v>563421228</v>
      </c>
      <c r="D371" s="9" t="n">
        <v>46226</v>
      </c>
      <c r="E371" s="10" t="s">
        <v>1522</v>
      </c>
      <c r="F371" s="11" t="n">
        <v>46198</v>
      </c>
      <c r="G371" s="10" t="s">
        <v>530</v>
      </c>
      <c r="H371" s="10" t="s">
        <v>530</v>
      </c>
      <c r="I371" s="10" t="s">
        <v>129</v>
      </c>
      <c r="J371" s="10" t="s">
        <v>181</v>
      </c>
      <c r="K371" s="9" t="n">
        <v>46309</v>
      </c>
      <c r="L371" s="12" t="str">
        <f aca="true">IF($O371="","",$O371-TODAY())</f>
        <v/>
      </c>
      <c r="M371" s="12"/>
      <c r="N371" s="12"/>
      <c r="O371" s="11"/>
      <c r="P371" s="10"/>
      <c r="Q371" s="10" t="s">
        <v>131</v>
      </c>
      <c r="R371" s="10"/>
      <c r="S371" s="10"/>
      <c r="T371" s="10"/>
      <c r="U371" s="10"/>
      <c r="V371" s="10" t="s">
        <v>303</v>
      </c>
      <c r="W371" s="10" t="s">
        <v>183</v>
      </c>
      <c r="X371" s="10"/>
      <c r="Y371" s="10"/>
      <c r="Z371" s="10"/>
      <c r="AA371" s="10" t="s">
        <v>197</v>
      </c>
      <c r="AB371" s="8" t="n">
        <f aca="true">IF($F371="","",TODAY()-$F371)</f>
        <v>113</v>
      </c>
      <c r="AC371" s="10" t="s">
        <v>184</v>
      </c>
      <c r="AD371" s="10" t="s">
        <v>185</v>
      </c>
      <c r="AE371" s="10"/>
      <c r="AF371" s="10"/>
      <c r="AG371" s="10"/>
      <c r="AH371" s="10"/>
      <c r="AI371" s="10"/>
      <c r="AJ371" s="10" t="s">
        <v>340</v>
      </c>
      <c r="AK371" s="10"/>
      <c r="AL371" s="10"/>
      <c r="AM371" s="10"/>
      <c r="AN371" s="8"/>
      <c r="AO371" s="10" t="s">
        <v>359</v>
      </c>
      <c r="AP371" s="10" t="s">
        <v>994</v>
      </c>
      <c r="AQ371" s="11" t="n">
        <v>46217</v>
      </c>
      <c r="AR371" s="13"/>
      <c r="AS371" s="13"/>
      <c r="AT371" s="13"/>
      <c r="AU371" s="13"/>
      <c r="AV371" s="13"/>
      <c r="AW371" s="13"/>
      <c r="AX371" s="13" t="s">
        <v>507</v>
      </c>
      <c r="AY371" s="7" t="s">
        <v>159</v>
      </c>
      <c r="AZ371" s="7" t="s">
        <v>159</v>
      </c>
      <c r="BA371" s="7" t="s">
        <v>44</v>
      </c>
      <c r="BB371" s="7" t="s">
        <v>1517</v>
      </c>
      <c r="BC371" s="7" t="s">
        <v>1458</v>
      </c>
      <c r="BD371" s="9" t="n">
        <v>46315</v>
      </c>
      <c r="BE371" s="7" t="s">
        <v>1523</v>
      </c>
      <c r="BF371" s="14" t="str">
        <f aca="true">IF(TRIM($A371)="Finalized","Closed",IF($BD371="","No review date set",IF($BD371&lt;TODAY(),"OVERDUE",IF($BD371-TODAY()&lt;=7,"Due within 7 days","Scheduled"))))</f>
        <v>Due within 7 days</v>
      </c>
      <c r="BG371" s="14" t="n">
        <f aca="true">IF($K371="","",TODAY()-$K371)</f>
        <v>2</v>
      </c>
      <c r="BH371" s="15" t="str">
        <f aca="false">IFERROR(LEFT(IF($B371="","Notes, ","")&amp;IF($K371="","Latest Date Worked, ","")&amp;IF($AY371="","Last Action, ","")&amp;IF(AND(OR(TRIM($A371)="Denied",TRIM($A371)="Rejected"),$BA371=""),"Denial Reason, ","")&amp;IF(AND(TRIM($A371)="Denied",$BB371="",TRIM($BA371)&lt;&gt;"NO DENIAL"),"Denial Code, ","")&amp;IF(AND(TRIM($A371)&lt;&gt;"Finalized",$BD371=""),"Next Review Date, ","")&amp;IF(AND(TRIM($A371)&lt;&gt;"Finalized",$BE371=""),"Next Step, ","")&amp;IF(AND(TRIM($A371)="Finalized",$AV371="",$AR371="",$AT371="",$AX371="",$AW371=""),"CPT outcome, ",""),LEN(IF($B371="","Notes, ","")&amp;IF($K371="","Latest Date Worked, ","")&amp;IF($AY371="","Last Action, ","")&amp;IF(AND(OR(TRIM($A371)="Denied",TRIM($A371)="Rejected"),$BA371=""),"Denial Reason, ","")&amp;IF(AND(TRIM($A371)="Denied",$BB371="",TRIM($BA371)&lt;&gt;"NO DENIAL"),"Denial Code, ","")&amp;IF(AND(TRIM($A371)&lt;&gt;"Finalized",$BD371=""),"Next Review Date, ","")&amp;IF(AND(TRIM($A371)&lt;&gt;"Finalized",$BE371=""),"Next Step, ","")&amp;IF(AND(TRIM($A371)="Finalized",$AV371="",$AR371="",$AT371="",$AX371="",$AW371=""),"CPT outcome, ",""))-2),"")</f>
        <v/>
      </c>
      <c r="BI371" s="15" t="str">
        <f aca="false">IF($BB371="","",IFERROR(INDEX('Denial Codes'!$C:$C,MATCH(LEFT($BB371,FIND(" - ",$BB371&amp;" - ")+2)&amp;"*",'Denial Codes'!$A:$A,0)),""))</f>
        <v>Wrong payer / vendor</v>
      </c>
      <c r="BJ371" s="15" t="str">
        <f aca="false">IF($BA371="","",IFERROR(INDEX(Lists!$B:$B,MATCH(TRIM($BA371),Lists!$A:$A,0))&amp;"",""))</f>
        <v>Bill the correct payer, delegated vendor or capitated group/IPA (e.g. Optum Behavioral, Preferred Homecare).</v>
      </c>
    </row>
    <row r="372" customFormat="false" ht="15" hidden="false" customHeight="false" outlineLevel="0" collapsed="false">
      <c r="A372" s="7" t="s">
        <v>21</v>
      </c>
      <c r="B372" s="7" t="s">
        <v>1524</v>
      </c>
      <c r="C372" s="8" t="n">
        <v>563470580</v>
      </c>
      <c r="D372" s="9"/>
      <c r="E372" s="10" t="s">
        <v>1525</v>
      </c>
      <c r="F372" s="11" t="n">
        <v>46198</v>
      </c>
      <c r="G372" s="10" t="s">
        <v>1466</v>
      </c>
      <c r="H372" s="10" t="s">
        <v>1466</v>
      </c>
      <c r="I372" s="10" t="s">
        <v>129</v>
      </c>
      <c r="J372" s="10" t="s">
        <v>997</v>
      </c>
      <c r="K372" s="9" t="n">
        <v>46307</v>
      </c>
      <c r="L372" s="12" t="str">
        <f aca="true">IF($O372="","",$O372-TODAY())</f>
        <v/>
      </c>
      <c r="M372" s="12"/>
      <c r="N372" s="12"/>
      <c r="O372" s="11"/>
      <c r="P372" s="10"/>
      <c r="Q372" s="10" t="s">
        <v>131</v>
      </c>
      <c r="R372" s="10"/>
      <c r="S372" s="10"/>
      <c r="T372" s="10"/>
      <c r="U372" s="10"/>
      <c r="V372" s="10" t="s">
        <v>303</v>
      </c>
      <c r="W372" s="10" t="s">
        <v>183</v>
      </c>
      <c r="X372" s="10"/>
      <c r="Y372" s="10"/>
      <c r="Z372" s="10"/>
      <c r="AA372" s="10" t="s">
        <v>197</v>
      </c>
      <c r="AB372" s="8" t="n">
        <f aca="true">IF($F372="","",TODAY()-$F372)</f>
        <v>113</v>
      </c>
      <c r="AC372" s="10" t="s">
        <v>283</v>
      </c>
      <c r="AD372" s="10"/>
      <c r="AE372" s="10"/>
      <c r="AF372" s="10"/>
      <c r="AG372" s="10"/>
      <c r="AH372" s="10"/>
      <c r="AI372" s="10"/>
      <c r="AJ372" s="10" t="s">
        <v>284</v>
      </c>
      <c r="AK372" s="10" t="s">
        <v>285</v>
      </c>
      <c r="AL372" s="10"/>
      <c r="AM372" s="10"/>
      <c r="AN372" s="8"/>
      <c r="AO372" s="10" t="s">
        <v>286</v>
      </c>
      <c r="AP372" s="10" t="s">
        <v>318</v>
      </c>
      <c r="AQ372" s="11" t="n">
        <v>46234</v>
      </c>
      <c r="AR372" s="13"/>
      <c r="AS372" s="13"/>
      <c r="AT372" s="13"/>
      <c r="AU372" s="13"/>
      <c r="AV372" s="13"/>
      <c r="AW372" s="13"/>
      <c r="AX372" s="13" t="n">
        <v>99484</v>
      </c>
      <c r="AY372" s="7" t="s">
        <v>159</v>
      </c>
      <c r="AZ372" s="7"/>
      <c r="BA372" s="7" t="s">
        <v>46</v>
      </c>
      <c r="BB372" s="7"/>
      <c r="BC372" s="7"/>
      <c r="BD372" s="9" t="n">
        <v>46338</v>
      </c>
      <c r="BE372" s="7"/>
      <c r="BF372" s="14" t="str">
        <f aca="true">IF(TRIM($A372)="Finalized","Closed",IF($BD372="","No review date set",IF($BD372&lt;TODAY(),"OVERDUE",IF($BD372-TODAY()&lt;=7,"Due within 7 days","Scheduled"))))</f>
        <v>Scheduled</v>
      </c>
      <c r="BG372" s="14" t="n">
        <f aca="true">IF($K372="","",TODAY()-$K372)</f>
        <v>4</v>
      </c>
      <c r="BH372" s="15" t="str">
        <f aca="false">IFERROR(LEFT(IF($B372="","Notes, ","")&amp;IF($K372="","Latest Date Worked, ","")&amp;IF($AY372="","Last Action, ","")&amp;IF(AND(OR(TRIM($A372)="Denied",TRIM($A372)="Rejected"),$BA372=""),"Denial Reason, ","")&amp;IF(AND(TRIM($A372)="Denied",$BB372="",TRIM($BA372)&lt;&gt;"NO DENIAL"),"Denial Code, ","")&amp;IF(AND(TRIM($A372)&lt;&gt;"Finalized",$BD372=""),"Next Review Date, ","")&amp;IF(AND(TRIM($A372)&lt;&gt;"Finalized",$BE372=""),"Next Step, ","")&amp;IF(AND(TRIM($A372)="Finalized",$AV372="",$AR372="",$AT372="",$AX372="",$AW372=""),"CPT outcome, ",""),LEN(IF($B372="","Notes, ","")&amp;IF($K372="","Latest Date Worked, ","")&amp;IF($AY372="","Last Action, ","")&amp;IF(AND(OR(TRIM($A372)="Denied",TRIM($A372)="Rejected"),$BA372=""),"Denial Reason, ","")&amp;IF(AND(TRIM($A372)="Denied",$BB372="",TRIM($BA372)&lt;&gt;"NO DENIAL"),"Denial Code, ","")&amp;IF(AND(TRIM($A372)&lt;&gt;"Finalized",$BD372=""),"Next Review Date, ","")&amp;IF(AND(TRIM($A372)&lt;&gt;"Finalized",$BE372=""),"Next Step, ","")&amp;IF(AND(TRIM($A372)="Finalized",$AV372="",$AR372="",$AT372="",$AX372="",$AW372=""),"CPT outcome, ",""))-2),"")</f>
        <v>Next Step</v>
      </c>
      <c r="BI372" s="15" t="str">
        <f aca="false">IF($BB372="","",IFERROR(INDEX('Denial Codes'!$C:$C,MATCH(LEFT($BB372,FIND(" - ",$BB372&amp;" - ")+2)&amp;"*",'Denial Codes'!$A:$A,0)),""))</f>
        <v/>
      </c>
      <c r="BJ372" s="15" t="str">
        <f aca="false">IF($BA372="","",IFERROR(INDEX(Lists!$B:$B,MATCH(TRIM($BA372),Lists!$A:$A,0))&amp;"",""))</f>
        <v>Verify eligibility; correct the member ID/MBI, name or DOB and resubmit.</v>
      </c>
    </row>
    <row r="373" customFormat="false" ht="15" hidden="false" customHeight="false" outlineLevel="0" collapsed="false">
      <c r="A373" s="7" t="s">
        <v>20</v>
      </c>
      <c r="B373" s="7" t="s">
        <v>1526</v>
      </c>
      <c r="C373" s="8" t="n">
        <v>564560469</v>
      </c>
      <c r="D373" s="9"/>
      <c r="E373" s="10" t="s">
        <v>1527</v>
      </c>
      <c r="F373" s="11" t="n">
        <v>46202</v>
      </c>
      <c r="G373" s="10" t="s">
        <v>1528</v>
      </c>
      <c r="H373" s="10" t="s">
        <v>1528</v>
      </c>
      <c r="I373" s="10" t="s">
        <v>111</v>
      </c>
      <c r="J373" s="10" t="s">
        <v>1529</v>
      </c>
      <c r="K373" s="9" t="n">
        <v>46305</v>
      </c>
      <c r="L373" s="12" t="str">
        <f aca="true">IF($O373="","",$O373-TODAY())</f>
        <v/>
      </c>
      <c r="M373" s="12"/>
      <c r="N373" s="12"/>
      <c r="O373" s="11"/>
      <c r="P373" s="10"/>
      <c r="Q373" s="10" t="s">
        <v>131</v>
      </c>
      <c r="R373" s="10"/>
      <c r="S373" s="10"/>
      <c r="T373" s="10"/>
      <c r="U373" s="10"/>
      <c r="V373" s="10" t="s">
        <v>303</v>
      </c>
      <c r="W373" s="10" t="s">
        <v>132</v>
      </c>
      <c r="X373" s="10"/>
      <c r="Y373" s="10"/>
      <c r="Z373" s="10"/>
      <c r="AA373" s="10" t="s">
        <v>493</v>
      </c>
      <c r="AB373" s="8" t="n">
        <f aca="true">IF($F373="","",TODAY()-$F373)</f>
        <v>109</v>
      </c>
      <c r="AC373" s="10" t="s">
        <v>246</v>
      </c>
      <c r="AD373" s="10" t="s">
        <v>169</v>
      </c>
      <c r="AE373" s="10" t="s">
        <v>1126</v>
      </c>
      <c r="AF373" s="10"/>
      <c r="AG373" s="10"/>
      <c r="AH373" s="10"/>
      <c r="AI373" s="10"/>
      <c r="AJ373" s="10" t="s">
        <v>124</v>
      </c>
      <c r="AK373" s="10" t="s">
        <v>139</v>
      </c>
      <c r="AL373" s="10" t="s">
        <v>1530</v>
      </c>
      <c r="AM373" s="10"/>
      <c r="AN373" s="8"/>
      <c r="AO373" s="10" t="s">
        <v>546</v>
      </c>
      <c r="AP373" s="10" t="s">
        <v>175</v>
      </c>
      <c r="AQ373" s="11" t="n">
        <v>46210</v>
      </c>
      <c r="AR373" s="13"/>
      <c r="AS373" s="13"/>
      <c r="AT373" s="13"/>
      <c r="AU373" s="13"/>
      <c r="AV373" s="13"/>
      <c r="AW373" s="13"/>
      <c r="AX373" s="13" t="s">
        <v>1529</v>
      </c>
      <c r="AY373" s="7" t="s">
        <v>233</v>
      </c>
      <c r="AZ373" s="7"/>
      <c r="BA373" s="7"/>
      <c r="BB373" s="7"/>
      <c r="BC373" s="7"/>
      <c r="BD373" s="9" t="n">
        <v>46336</v>
      </c>
      <c r="BE373" s="7" t="s">
        <v>1109</v>
      </c>
      <c r="BF373" s="14" t="str">
        <f aca="true">IF(TRIM($A373)="Finalized","Closed",IF($BD373="","No review date set",IF($BD373&lt;TODAY(),"OVERDUE",IF($BD373-TODAY()&lt;=7,"Due within 7 days","Scheduled"))))</f>
        <v>Scheduled</v>
      </c>
      <c r="BG373" s="14" t="n">
        <f aca="true">IF($K373="","",TODAY()-$K373)</f>
        <v>6</v>
      </c>
      <c r="BH373" s="15" t="str">
        <f aca="false">IFERROR(LEFT(IF($B373="","Notes, ","")&amp;IF($K373="","Latest Date Worked, ","")&amp;IF($AY373="","Last Action, ","")&amp;IF(AND(OR(TRIM($A373)="Denied",TRIM($A373)="Rejected"),$BA373=""),"Denial Reason, ","")&amp;IF(AND(TRIM($A373)="Denied",$BB373="",TRIM($BA373)&lt;&gt;"NO DENIAL"),"Denial Code, ","")&amp;IF(AND(TRIM($A373)&lt;&gt;"Finalized",$BD373=""),"Next Review Date, ","")&amp;IF(AND(TRIM($A373)&lt;&gt;"Finalized",$BE373=""),"Next Step, ","")&amp;IF(AND(TRIM($A373)="Finalized",$AV373="",$AR373="",$AT373="",$AX373="",$AW373=""),"CPT outcome, ",""),LEN(IF($B373="","Notes, ","")&amp;IF($K373="","Latest Date Worked, ","")&amp;IF($AY373="","Last Action, ","")&amp;IF(AND(OR(TRIM($A373)="Denied",TRIM($A373)="Rejected"),$BA373=""),"Denial Reason, ","")&amp;IF(AND(TRIM($A373)="Denied",$BB373="",TRIM($BA373)&lt;&gt;"NO DENIAL"),"Denial Code, ","")&amp;IF(AND(TRIM($A373)&lt;&gt;"Finalized",$BD373=""),"Next Review Date, ","")&amp;IF(AND(TRIM($A373)&lt;&gt;"Finalized",$BE373=""),"Next Step, ","")&amp;IF(AND(TRIM($A373)="Finalized",$AV373="",$AR373="",$AT373="",$AX373="",$AW373=""),"CPT outcome, ",""))-2),"")</f>
        <v/>
      </c>
      <c r="BI373" s="15" t="str">
        <f aca="false">IF($BB373="","",IFERROR(INDEX('Denial Codes'!$C:$C,MATCH(LEFT($BB373,FIND(" - ",$BB373&amp;" - ")+2)&amp;"*",'Denial Codes'!$A:$A,0)),""))</f>
        <v/>
      </c>
      <c r="BJ373" s="15" t="str">
        <f aca="false">IF($BA373="","",IFERROR(INDEX(Lists!$B:$B,MATCH(TRIM($BA373),Lists!$A:$A,0))&amp;"",""))</f>
        <v/>
      </c>
    </row>
    <row r="374" customFormat="false" ht="15" hidden="false" customHeight="false" outlineLevel="0" collapsed="false">
      <c r="A374" s="7" t="s">
        <v>16</v>
      </c>
      <c r="B374" s="7" t="s">
        <v>1531</v>
      </c>
      <c r="C374" s="8" t="n">
        <v>548877808</v>
      </c>
      <c r="D374" s="9" t="n">
        <v>46121</v>
      </c>
      <c r="E374" s="10" t="s">
        <v>1532</v>
      </c>
      <c r="F374" s="11" t="n">
        <v>46027</v>
      </c>
      <c r="G374" s="10" t="s">
        <v>347</v>
      </c>
      <c r="H374" s="10" t="s">
        <v>347</v>
      </c>
      <c r="I374" s="10" t="s">
        <v>129</v>
      </c>
      <c r="J374" s="10" t="s">
        <v>1533</v>
      </c>
      <c r="K374" s="9" t="n">
        <v>46305</v>
      </c>
      <c r="L374" s="12" t="str">
        <f aca="true">IF($O374="","",$O374-TODAY())</f>
        <v/>
      </c>
      <c r="M374" s="12" t="str">
        <f aca="true">IF(AND(TRIM($A374)="Finalized",$K374&lt;&gt;""),"",IF($F374="","",$F374+90-TODAY()))</f>
        <v/>
      </c>
      <c r="N374" s="12" t="str">
        <f aca="true">IF(AND(TRIM($A374)="Finalized",$K374&lt;&gt;""),"",IF($D374="","",$D374+540-TODAY()))</f>
        <v/>
      </c>
      <c r="O374" s="11" t="str">
        <f aca="false">IF(AND(TRIM($A374)="Finalized",$K374&lt;&gt;""),"",DATE(2026,4,5))</f>
        <v/>
      </c>
      <c r="P374" s="10" t="s">
        <v>165</v>
      </c>
      <c r="Q374" s="10" t="s">
        <v>348</v>
      </c>
      <c r="R374" s="10" t="s">
        <v>165</v>
      </c>
      <c r="S374" s="10" t="s">
        <v>149</v>
      </c>
      <c r="T374" s="10" t="s">
        <v>349</v>
      </c>
      <c r="U374" s="10" t="s">
        <v>116</v>
      </c>
      <c r="V374" s="10" t="s">
        <v>118</v>
      </c>
      <c r="W374" s="10" t="s">
        <v>434</v>
      </c>
      <c r="X374" s="10" t="s">
        <v>134</v>
      </c>
      <c r="Y374" s="10" t="s">
        <v>436</v>
      </c>
      <c r="Z374" s="10"/>
      <c r="AA374" s="10" t="s">
        <v>656</v>
      </c>
      <c r="AB374" s="8" t="n">
        <f aca="true">IF($F374="","",TODAY()-$F374)</f>
        <v>284</v>
      </c>
      <c r="AC374" s="10" t="s">
        <v>438</v>
      </c>
      <c r="AD374" s="10" t="s">
        <v>657</v>
      </c>
      <c r="AE374" s="10" t="s">
        <v>443</v>
      </c>
      <c r="AF374" s="10" t="s">
        <v>442</v>
      </c>
      <c r="AG374" s="10"/>
      <c r="AH374" s="10"/>
      <c r="AI374" s="10"/>
      <c r="AJ374" s="10" t="s">
        <v>444</v>
      </c>
      <c r="AK374" s="10" t="s">
        <v>445</v>
      </c>
      <c r="AL374" s="10" t="s">
        <v>446</v>
      </c>
      <c r="AM374" s="10"/>
      <c r="AN374" s="8"/>
      <c r="AO374" s="10" t="s">
        <v>447</v>
      </c>
      <c r="AP374" s="10" t="s">
        <v>175</v>
      </c>
      <c r="AQ374" s="11" t="n">
        <v>46062</v>
      </c>
      <c r="AR374" s="13" t="s">
        <v>1534</v>
      </c>
      <c r="AS374" s="13" t="s">
        <v>1535</v>
      </c>
      <c r="AT374" s="13" t="s">
        <v>798</v>
      </c>
      <c r="AU374" s="13" t="s">
        <v>464</v>
      </c>
      <c r="AV374" s="13"/>
      <c r="AW374" s="13"/>
      <c r="AX374" s="13"/>
      <c r="AY374" s="7" t="s">
        <v>465</v>
      </c>
      <c r="AZ374" s="7" t="s">
        <v>203</v>
      </c>
      <c r="BA374" s="7" t="s">
        <v>43</v>
      </c>
      <c r="BB374" s="7" t="s">
        <v>1536</v>
      </c>
      <c r="BC374" s="7"/>
      <c r="BD374" s="9"/>
      <c r="BE374" s="7"/>
      <c r="BF374" s="14" t="str">
        <f aca="true">IF(TRIM($A374)="Finalized","Closed",IF($BD374="","No review date set",IF($BD374&lt;TODAY(),"OVERDUE",IF($BD374-TODAY()&lt;=7,"Due within 7 days","Scheduled"))))</f>
        <v>Closed</v>
      </c>
      <c r="BG374" s="14" t="n">
        <f aca="true">IF($K374="","",TODAY()-$K374)</f>
        <v>6</v>
      </c>
      <c r="BH374" s="15" t="str">
        <f aca="false">IFERROR(LEFT(IF($B374="","Notes, ","")&amp;IF($K374="","Latest Date Worked, ","")&amp;IF($AY374="","Last Action, ","")&amp;IF(AND(OR(TRIM($A374)="Denied",TRIM($A374)="Rejected"),$BA374=""),"Denial Reason, ","")&amp;IF(AND(TRIM($A374)="Denied",$BB374="",TRIM($BA374)&lt;&gt;"NO DENIAL"),"Denial Code, ","")&amp;IF(AND(TRIM($A374)&lt;&gt;"Finalized",$BD374=""),"Next Review Date, ","")&amp;IF(AND(TRIM($A374)&lt;&gt;"Finalized",$BE374=""),"Next Step, ","")&amp;IF(AND(TRIM($A374)="Finalized",$AV374="",$AR374="",$AT374="",$AX374="",$AW374=""),"CPT outcome, ",""),LEN(IF($B374="","Notes, ","")&amp;IF($K374="","Latest Date Worked, ","")&amp;IF($AY374="","Last Action, ","")&amp;IF(AND(OR(TRIM($A374)="Denied",TRIM($A374)="Rejected"),$BA374=""),"Denial Reason, ","")&amp;IF(AND(TRIM($A374)="Denied",$BB374="",TRIM($BA374)&lt;&gt;"NO DENIAL"),"Denial Code, ","")&amp;IF(AND(TRIM($A374)&lt;&gt;"Finalized",$BD374=""),"Next Review Date, ","")&amp;IF(AND(TRIM($A374)&lt;&gt;"Finalized",$BE374=""),"Next Step, ","")&amp;IF(AND(TRIM($A374)="Finalized",$AV374="",$AR374="",$AT374="",$AX374="",$AW374=""),"CPT outcome, ",""))-2),"")</f>
        <v/>
      </c>
      <c r="BI374" s="15" t="str">
        <f aca="false">IF($BB374="","",IFERROR(INDEX('Denial Codes'!$C:$C,MATCH(LEFT($BB374,FIND(" - ",$BB374&amp;" - ")+2)&amp;"*",'Denial Codes'!$A:$A,0)),""))</f>
        <v>Medical necessity / frequency</v>
      </c>
      <c r="BJ374" s="15" t="str">
        <f aca="false">IF($BA374="","",IFERROR(INDEX(Lists!$B:$B,MATCH(TRIM($BA374),Lists!$A:$A,0))&amp;"",""))</f>
        <v>Appeal with medical records and a letter of medical necessity; check LCD/MUE limits.</v>
      </c>
    </row>
    <row r="375" customFormat="false" ht="15" hidden="false" customHeight="false" outlineLevel="0" collapsed="false">
      <c r="A375" s="7" t="s">
        <v>16</v>
      </c>
      <c r="B375" s="7" t="s">
        <v>1531</v>
      </c>
      <c r="C375" s="8" t="n">
        <v>554116779</v>
      </c>
      <c r="D375" s="9" t="n">
        <v>46142</v>
      </c>
      <c r="E375" s="10" t="s">
        <v>1537</v>
      </c>
      <c r="F375" s="11" t="n">
        <v>46027</v>
      </c>
      <c r="G375" s="10" t="s">
        <v>347</v>
      </c>
      <c r="H375" s="10" t="s">
        <v>347</v>
      </c>
      <c r="I375" s="10" t="s">
        <v>129</v>
      </c>
      <c r="J375" s="10" t="s">
        <v>1538</v>
      </c>
      <c r="K375" s="9" t="n">
        <v>46305</v>
      </c>
      <c r="L375" s="12" t="str">
        <f aca="true">IF($O375="","",$O375-TODAY())</f>
        <v/>
      </c>
      <c r="M375" s="12" t="str">
        <f aca="true">IF(AND(TRIM($A375)="Finalized",$K375&lt;&gt;""),"",IF($F375="","",$F375+90-TODAY()))</f>
        <v/>
      </c>
      <c r="N375" s="12" t="str">
        <f aca="true">IF(AND(TRIM($A375)="Finalized",$K375&lt;&gt;""),"",IF($D375="","",$D375+540-TODAY()))</f>
        <v/>
      </c>
      <c r="O375" s="11" t="str">
        <f aca="false">IF(AND(TRIM($A375)="Finalized",$K375&lt;&gt;""),"",DATE(2026,4,5))</f>
        <v/>
      </c>
      <c r="P375" s="10" t="s">
        <v>165</v>
      </c>
      <c r="Q375" s="10" t="s">
        <v>348</v>
      </c>
      <c r="R375" s="10" t="s">
        <v>165</v>
      </c>
      <c r="S375" s="10" t="s">
        <v>149</v>
      </c>
      <c r="T375" s="10" t="s">
        <v>349</v>
      </c>
      <c r="U375" s="10" t="s">
        <v>116</v>
      </c>
      <c r="V375" s="10" t="s">
        <v>118</v>
      </c>
      <c r="W375" s="10" t="s">
        <v>434</v>
      </c>
      <c r="X375" s="10" t="s">
        <v>134</v>
      </c>
      <c r="Y375" s="10" t="s">
        <v>436</v>
      </c>
      <c r="Z375" s="10"/>
      <c r="AA375" s="10" t="s">
        <v>430</v>
      </c>
      <c r="AB375" s="8" t="n">
        <f aca="true">IF($F375="","",TODAY()-$F375)</f>
        <v>284</v>
      </c>
      <c r="AC375" s="10" t="s">
        <v>442</v>
      </c>
      <c r="AD375" s="10" t="s">
        <v>443</v>
      </c>
      <c r="AE375" s="10" t="s">
        <v>438</v>
      </c>
      <c r="AF375" s="10" t="s">
        <v>657</v>
      </c>
      <c r="AG375" s="10"/>
      <c r="AH375" s="10"/>
      <c r="AI375" s="10"/>
      <c r="AJ375" s="10" t="s">
        <v>444</v>
      </c>
      <c r="AK375" s="10" t="s">
        <v>445</v>
      </c>
      <c r="AL375" s="10" t="s">
        <v>446</v>
      </c>
      <c r="AM375" s="10"/>
      <c r="AN375" s="8"/>
      <c r="AO375" s="10" t="s">
        <v>447</v>
      </c>
      <c r="AP375" s="10" t="s">
        <v>175</v>
      </c>
      <c r="AQ375" s="11" t="n">
        <v>46062</v>
      </c>
      <c r="AR375" s="13" t="s">
        <v>1539</v>
      </c>
      <c r="AS375" s="13" t="s">
        <v>1540</v>
      </c>
      <c r="AT375" s="13" t="s">
        <v>798</v>
      </c>
      <c r="AU375" s="13" t="s">
        <v>464</v>
      </c>
      <c r="AV375" s="13"/>
      <c r="AW375" s="13"/>
      <c r="AX375" s="13"/>
      <c r="AY375" s="7" t="s">
        <v>465</v>
      </c>
      <c r="AZ375" s="7" t="s">
        <v>203</v>
      </c>
      <c r="BA375" s="7" t="s">
        <v>43</v>
      </c>
      <c r="BB375" s="7" t="s">
        <v>1536</v>
      </c>
      <c r="BC375" s="7"/>
      <c r="BD375" s="9"/>
      <c r="BE375" s="7"/>
      <c r="BF375" s="14" t="str">
        <f aca="true">IF(TRIM($A375)="Finalized","Closed",IF($BD375="","No review date set",IF($BD375&lt;TODAY(),"OVERDUE",IF($BD375-TODAY()&lt;=7,"Due within 7 days","Scheduled"))))</f>
        <v>Closed</v>
      </c>
      <c r="BG375" s="14" t="n">
        <f aca="true">IF($K375="","",TODAY()-$K375)</f>
        <v>6</v>
      </c>
      <c r="BH375" s="15" t="str">
        <f aca="false">IFERROR(LEFT(IF($B375="","Notes, ","")&amp;IF($K375="","Latest Date Worked, ","")&amp;IF($AY375="","Last Action, ","")&amp;IF(AND(OR(TRIM($A375)="Denied",TRIM($A375)="Rejected"),$BA375=""),"Denial Reason, ","")&amp;IF(AND(TRIM($A375)="Denied",$BB375="",TRIM($BA375)&lt;&gt;"NO DENIAL"),"Denial Code, ","")&amp;IF(AND(TRIM($A375)&lt;&gt;"Finalized",$BD375=""),"Next Review Date, ","")&amp;IF(AND(TRIM($A375)&lt;&gt;"Finalized",$BE375=""),"Next Step, ","")&amp;IF(AND(TRIM($A375)="Finalized",$AV375="",$AR375="",$AT375="",$AX375="",$AW375=""),"CPT outcome, ",""),LEN(IF($B375="","Notes, ","")&amp;IF($K375="","Latest Date Worked, ","")&amp;IF($AY375="","Last Action, ","")&amp;IF(AND(OR(TRIM($A375)="Denied",TRIM($A375)="Rejected"),$BA375=""),"Denial Reason, ","")&amp;IF(AND(TRIM($A375)="Denied",$BB375="",TRIM($BA375)&lt;&gt;"NO DENIAL"),"Denial Code, ","")&amp;IF(AND(TRIM($A375)&lt;&gt;"Finalized",$BD375=""),"Next Review Date, ","")&amp;IF(AND(TRIM($A375)&lt;&gt;"Finalized",$BE375=""),"Next Step, ","")&amp;IF(AND(TRIM($A375)="Finalized",$AV375="",$AR375="",$AT375="",$AX375="",$AW375=""),"CPT outcome, ",""))-2),"")</f>
        <v/>
      </c>
      <c r="BI375" s="15" t="str">
        <f aca="false">IF($BB375="","",IFERROR(INDEX('Denial Codes'!$C:$C,MATCH(LEFT($BB375,FIND(" - ",$BB375&amp;" - ")+2)&amp;"*",'Denial Codes'!$A:$A,0)),""))</f>
        <v>Medical necessity / frequency</v>
      </c>
      <c r="BJ375" s="15" t="str">
        <f aca="false">IF($BA375="","",IFERROR(INDEX(Lists!$B:$B,MATCH(TRIM($BA375),Lists!$A:$A,0))&amp;"",""))</f>
        <v>Appeal with medical records and a letter of medical necessity; check LCD/MUE limits.</v>
      </c>
    </row>
    <row r="376" customFormat="false" ht="15" hidden="false" customHeight="false" outlineLevel="0" collapsed="false">
      <c r="A376" s="7" t="s">
        <v>16</v>
      </c>
      <c r="B376" s="7" t="s">
        <v>1541</v>
      </c>
      <c r="C376" s="8" t="n">
        <v>557356991</v>
      </c>
      <c r="D376" s="9" t="n">
        <v>46261</v>
      </c>
      <c r="E376" s="10" t="s">
        <v>1542</v>
      </c>
      <c r="F376" s="11" t="n">
        <v>46030</v>
      </c>
      <c r="G376" s="10" t="s">
        <v>369</v>
      </c>
      <c r="H376" s="10" t="s">
        <v>369</v>
      </c>
      <c r="I376" s="10" t="s">
        <v>129</v>
      </c>
      <c r="J376" s="10" t="s">
        <v>194</v>
      </c>
      <c r="K376" s="9" t="n">
        <v>46273</v>
      </c>
      <c r="L376" s="12" t="str">
        <f aca="true">IF($O376="","",$O376-TODAY())</f>
        <v/>
      </c>
      <c r="M376" s="12" t="str">
        <f aca="true">IF(AND(TRIM($A376)="Finalized",$K376&lt;&gt;""),"",IF($D376="","",$D376+365-TODAY()))</f>
        <v/>
      </c>
      <c r="N376" s="12" t="str">
        <f aca="true">IF(AND(TRIM($A376)="Finalized",$K376&lt;&gt;""),"",IF($D376="","",$D376+365-TODAY()))</f>
        <v/>
      </c>
      <c r="O376" s="11" t="str">
        <f aca="false">IF(AND(TRIM($A376)="Finalized",$K376&lt;&gt;""),"",DATE(2026,4,8))</f>
        <v/>
      </c>
      <c r="P376" s="10" t="s">
        <v>165</v>
      </c>
      <c r="Q376" s="10" t="s">
        <v>371</v>
      </c>
      <c r="R376" s="10" t="s">
        <v>114</v>
      </c>
      <c r="S376" s="10" t="s">
        <v>116</v>
      </c>
      <c r="T376" s="10" t="s">
        <v>114</v>
      </c>
      <c r="U376" s="10" t="s">
        <v>116</v>
      </c>
      <c r="V376" s="10" t="s">
        <v>118</v>
      </c>
      <c r="W376" s="10" t="s">
        <v>196</v>
      </c>
      <c r="X376" s="10"/>
      <c r="Y376" s="10"/>
      <c r="Z376" s="10"/>
      <c r="AA376" s="10" t="s">
        <v>197</v>
      </c>
      <c r="AB376" s="8" t="n">
        <f aca="true">IF($F376="","",TODAY()-$F376)</f>
        <v>281</v>
      </c>
      <c r="AC376" s="10" t="s">
        <v>198</v>
      </c>
      <c r="AD376" s="10"/>
      <c r="AE376" s="10"/>
      <c r="AF376" s="10"/>
      <c r="AG376" s="10"/>
      <c r="AH376" s="10"/>
      <c r="AI376" s="10"/>
      <c r="AJ376" s="10" t="s">
        <v>375</v>
      </c>
      <c r="AK376" s="10" t="s">
        <v>415</v>
      </c>
      <c r="AL376" s="10" t="s">
        <v>414</v>
      </c>
      <c r="AM376" s="10"/>
      <c r="AN376" s="8"/>
      <c r="AO376" s="10" t="s">
        <v>213</v>
      </c>
      <c r="AP376" s="10" t="s">
        <v>188</v>
      </c>
      <c r="AQ376" s="11" t="n">
        <v>46048</v>
      </c>
      <c r="AR376" s="13"/>
      <c r="AS376" s="13"/>
      <c r="AT376" s="13" t="s">
        <v>198</v>
      </c>
      <c r="AU376" s="13" t="s">
        <v>559</v>
      </c>
      <c r="AV376" s="13"/>
      <c r="AW376" s="13"/>
      <c r="AX376" s="13"/>
      <c r="AY376" s="7" t="s">
        <v>159</v>
      </c>
      <c r="AZ376" s="7"/>
      <c r="BA376" s="7" t="s">
        <v>35</v>
      </c>
      <c r="BB376" s="7" t="s">
        <v>559</v>
      </c>
      <c r="BC376" s="7"/>
      <c r="BD376" s="9"/>
      <c r="BE376" s="7"/>
      <c r="BF376" s="14" t="str">
        <f aca="true">IF(TRIM($A376)="Finalized","Closed",IF($BD376="","No review date set",IF($BD376&lt;TODAY(),"OVERDUE",IF($BD376-TODAY()&lt;=7,"Due within 7 days","Scheduled"))))</f>
        <v>Closed</v>
      </c>
      <c r="BG376" s="14" t="n">
        <f aca="true">IF($K376="","",TODAY()-$K376)</f>
        <v>38</v>
      </c>
      <c r="BH376" s="15" t="str">
        <f aca="false">IFERROR(LEFT(IF($B376="","Notes, ","")&amp;IF($K376="","Latest Date Worked, ","")&amp;IF($AY376="","Last Action, ","")&amp;IF(AND(OR(TRIM($A376)="Denied",TRIM($A376)="Rejected"),$BA376=""),"Denial Reason, ","")&amp;IF(AND(TRIM($A376)="Denied",$BB376="",TRIM($BA376)&lt;&gt;"NO DENIAL"),"Denial Code, ","")&amp;IF(AND(TRIM($A376)&lt;&gt;"Finalized",$BD376=""),"Next Review Date, ","")&amp;IF(AND(TRIM($A376)&lt;&gt;"Finalized",$BE376=""),"Next Step, ","")&amp;IF(AND(TRIM($A376)="Finalized",$AV376="",$AR376="",$AT376="",$AX376="",$AW376=""),"CPT outcome, ",""),LEN(IF($B376="","Notes, ","")&amp;IF($K376="","Latest Date Worked, ","")&amp;IF($AY376="","Last Action, ","")&amp;IF(AND(OR(TRIM($A376)="Denied",TRIM($A376)="Rejected"),$BA376=""),"Denial Reason, ","")&amp;IF(AND(TRIM($A376)="Denied",$BB376="",TRIM($BA376)&lt;&gt;"NO DENIAL"),"Denial Code, ","")&amp;IF(AND(TRIM($A376)&lt;&gt;"Finalized",$BD376=""),"Next Review Date, ","")&amp;IF(AND(TRIM($A376)&lt;&gt;"Finalized",$BE376=""),"Next Step, ","")&amp;IF(AND(TRIM($A376)="Finalized",$AV376="",$AR376="",$AT376="",$AX376="",$AW376=""),"CPT outcome, ",""))-2),"")</f>
        <v/>
      </c>
      <c r="BI376" s="15" t="str">
        <f aca="false">IF($BB376="","",IFERROR(INDEX('Denial Codes'!$C:$C,MATCH(LEFT($BB376,FIND(" - ",$BB376&amp;" - ")+2)&amp;"*",'Denial Codes'!$A:$A,0)),""))</f>
        <v>Timely filing</v>
      </c>
      <c r="BJ376" s="15" t="str">
        <f aca="false">IF($BA376="","",IFERROR(INDEX(Lists!$B:$B,MATCH(TRIM($BA376),Lists!$A:$A,0))&amp;"",""))</f>
        <v>Find proof of timely filing (clearinghouse acceptance or earlier submission) and appeal with it; if none, adjust the balance.</v>
      </c>
    </row>
    <row r="377" customFormat="false" ht="15" hidden="false" customHeight="false" outlineLevel="0" collapsed="false">
      <c r="A377" s="7" t="s">
        <v>16</v>
      </c>
      <c r="B377" s="7" t="s">
        <v>1543</v>
      </c>
      <c r="C377" s="8" t="n">
        <v>546049607</v>
      </c>
      <c r="D377" s="9" t="n">
        <v>46045</v>
      </c>
      <c r="E377" s="10" t="s">
        <v>1544</v>
      </c>
      <c r="F377" s="11" t="n">
        <v>46035</v>
      </c>
      <c r="G377" s="10" t="s">
        <v>208</v>
      </c>
      <c r="H377" s="10" t="s">
        <v>208</v>
      </c>
      <c r="I377" s="10" t="s">
        <v>129</v>
      </c>
      <c r="J377" s="10" t="s">
        <v>1315</v>
      </c>
      <c r="K377" s="9" t="n">
        <v>46305</v>
      </c>
      <c r="L377" s="12" t="str">
        <f aca="true">IF($O377="","",$O377-TODAY())</f>
        <v/>
      </c>
      <c r="M377" s="12" t="str">
        <f aca="true">IF(AND(TRIM($A377)="Finalized",$K377&lt;&gt;""),"",IF($D377="","",$D377+180-TODAY()))</f>
        <v/>
      </c>
      <c r="N377" s="12" t="str">
        <f aca="true">IF(AND(TRIM($A377)="Finalized",$K377&lt;&gt;""),"",IF($D377="","",$D377+365-TODAY()))</f>
        <v/>
      </c>
      <c r="O377" s="11" t="str">
        <f aca="false">IF(AND(TRIM($A377)="Finalized",$K377&lt;&gt;""),"",DATE(2026,4,13))</f>
        <v/>
      </c>
      <c r="P377" s="10" t="s">
        <v>165</v>
      </c>
      <c r="Q377" s="10" t="s">
        <v>210</v>
      </c>
      <c r="R377" s="10" t="s">
        <v>147</v>
      </c>
      <c r="S377" s="10" t="s">
        <v>116</v>
      </c>
      <c r="T377" s="10" t="s">
        <v>114</v>
      </c>
      <c r="U377" s="10" t="s">
        <v>116</v>
      </c>
      <c r="V377" s="10" t="s">
        <v>118</v>
      </c>
      <c r="W377" s="10" t="s">
        <v>132</v>
      </c>
      <c r="X377" s="10" t="s">
        <v>621</v>
      </c>
      <c r="Y377" s="10"/>
      <c r="Z377" s="10"/>
      <c r="AA377" s="10" t="s">
        <v>197</v>
      </c>
      <c r="AB377" s="8" t="n">
        <f aca="true">IF($F377="","",TODAY()-$F377)</f>
        <v>276</v>
      </c>
      <c r="AC377" s="10" t="s">
        <v>246</v>
      </c>
      <c r="AD377" s="10"/>
      <c r="AE377" s="10"/>
      <c r="AF377" s="10"/>
      <c r="AG377" s="10"/>
      <c r="AH377" s="10"/>
      <c r="AI377" s="10"/>
      <c r="AJ377" s="10" t="s">
        <v>124</v>
      </c>
      <c r="AK377" s="10"/>
      <c r="AL377" s="10"/>
      <c r="AM377" s="10"/>
      <c r="AN377" s="8"/>
      <c r="AO377" s="10" t="s">
        <v>506</v>
      </c>
      <c r="AP377" s="10" t="s">
        <v>175</v>
      </c>
      <c r="AQ377" s="11" t="n">
        <v>46037</v>
      </c>
      <c r="AR377" s="13"/>
      <c r="AS377" s="13"/>
      <c r="AT377" s="13"/>
      <c r="AU377" s="13"/>
      <c r="AV377" s="13"/>
      <c r="AW377" s="13" t="s">
        <v>246</v>
      </c>
      <c r="AX377" s="13" t="s">
        <v>246</v>
      </c>
      <c r="AY377" s="7" t="s">
        <v>465</v>
      </c>
      <c r="AZ377" s="7"/>
      <c r="BA377" s="7" t="s">
        <v>34</v>
      </c>
      <c r="BB377" s="7" t="s">
        <v>386</v>
      </c>
      <c r="BC377" s="7"/>
      <c r="BD377" s="9"/>
      <c r="BE377" s="7"/>
      <c r="BF377" s="14" t="str">
        <f aca="true">IF(TRIM($A377)="Finalized","Closed",IF($BD377="","No review date set",IF($BD377&lt;TODAY(),"OVERDUE",IF($BD377-TODAY()&lt;=7,"Due within 7 days","Scheduled"))))</f>
        <v>Closed</v>
      </c>
      <c r="BG377" s="14" t="n">
        <f aca="true">IF($K377="","",TODAY()-$K377)</f>
        <v>6</v>
      </c>
      <c r="BH377" s="15" t="str">
        <f aca="false">IFERROR(LEFT(IF($B377="","Notes, ","")&amp;IF($K377="","Latest Date Worked, ","")&amp;IF($AY377="","Last Action, ","")&amp;IF(AND(OR(TRIM($A377)="Denied",TRIM($A377)="Rejected"),$BA377=""),"Denial Reason, ","")&amp;IF(AND(TRIM($A377)="Denied",$BB377="",TRIM($BA377)&lt;&gt;"NO DENIAL"),"Denial Code, ","")&amp;IF(AND(TRIM($A377)&lt;&gt;"Finalized",$BD377=""),"Next Review Date, ","")&amp;IF(AND(TRIM($A377)&lt;&gt;"Finalized",$BE377=""),"Next Step, ","")&amp;IF(AND(TRIM($A377)="Finalized",$AV377="",$AR377="",$AT377="",$AX377="",$AW377=""),"CPT outcome, ",""),LEN(IF($B377="","Notes, ","")&amp;IF($K377="","Latest Date Worked, ","")&amp;IF($AY377="","Last Action, ","")&amp;IF(AND(OR(TRIM($A377)="Denied",TRIM($A377)="Rejected"),$BA377=""),"Denial Reason, ","")&amp;IF(AND(TRIM($A377)="Denied",$BB377="",TRIM($BA377)&lt;&gt;"NO DENIAL"),"Denial Code, ","")&amp;IF(AND(TRIM($A377)&lt;&gt;"Finalized",$BD377=""),"Next Review Date, ","")&amp;IF(AND(TRIM($A377)&lt;&gt;"Finalized",$BE377=""),"Next Step, ","")&amp;IF(AND(TRIM($A377)="Finalized",$AV377="",$AR377="",$AT377="",$AX377="",$AW377=""),"CPT outcome, ",""))-2),"")</f>
        <v/>
      </c>
      <c r="BI377" s="15" t="str">
        <f aca="false">IF($BB377="","",IFERROR(INDEX('Denial Codes'!$C:$C,MATCH(LEFT($BB377,FIND(" - ",$BB377&amp;" - ")+2)&amp;"*",'Denial Codes'!$A:$A,0)),""))</f>
        <v>Other</v>
      </c>
      <c r="BJ377" s="15" t="str">
        <f aca="false">IF($BA377="","",IFERROR(INDEX(Lists!$B:$B,MATCH(TRIM($BA377),Lists!$A:$A,0))&amp;"",""))</f>
        <v>Check the portal for an auth; request a retro-auth or file an appeal with the auth number, then resubmit.</v>
      </c>
    </row>
    <row r="378" customFormat="false" ht="15" hidden="false" customHeight="false" outlineLevel="0" collapsed="false">
      <c r="A378" s="7" t="s">
        <v>16</v>
      </c>
      <c r="B378" s="7" t="s">
        <v>1545</v>
      </c>
      <c r="C378" s="8" t="n">
        <v>548591390</v>
      </c>
      <c r="D378" s="9" t="n">
        <v>46259</v>
      </c>
      <c r="E378" s="10" t="s">
        <v>1546</v>
      </c>
      <c r="F378" s="11" t="n">
        <v>46036</v>
      </c>
      <c r="G378" s="10" t="s">
        <v>163</v>
      </c>
      <c r="H378" s="10" t="s">
        <v>163</v>
      </c>
      <c r="I378" s="10" t="s">
        <v>129</v>
      </c>
      <c r="J378" s="10" t="s">
        <v>244</v>
      </c>
      <c r="K378" s="9" t="n">
        <v>46259</v>
      </c>
      <c r="L378" s="12" t="str">
        <f aca="true">IF($O378="","",$O378-TODAY())</f>
        <v/>
      </c>
      <c r="M378" s="12" t="str">
        <f aca="true">IF(AND(TRIM($A378)="Finalized",$K378&lt;&gt;""),"",IF($F378="","",$F378+90-TODAY()))</f>
        <v/>
      </c>
      <c r="N378" s="12" t="str">
        <f aca="true">IF(AND(TRIM($A378)="Finalized",$K378&lt;&gt;""),"",IF($D378="","",$D378+365-TODAY()))</f>
        <v/>
      </c>
      <c r="O378" s="11" t="str">
        <f aca="false">IF(AND(TRIM($A378)="Finalized",$K378&lt;&gt;""),"",DATE(2026,4,14))</f>
        <v/>
      </c>
      <c r="P378" s="10" t="s">
        <v>165</v>
      </c>
      <c r="Q378" s="10" t="s">
        <v>166</v>
      </c>
      <c r="R378" s="10" t="s">
        <v>165</v>
      </c>
      <c r="S378" s="10" t="s">
        <v>149</v>
      </c>
      <c r="T378" s="10" t="s">
        <v>114</v>
      </c>
      <c r="U378" s="10" t="s">
        <v>116</v>
      </c>
      <c r="V378" s="10" t="s">
        <v>118</v>
      </c>
      <c r="W378" s="10" t="s">
        <v>132</v>
      </c>
      <c r="X378" s="10"/>
      <c r="Y378" s="10"/>
      <c r="Z378" s="10"/>
      <c r="AA378" s="10" t="s">
        <v>197</v>
      </c>
      <c r="AB378" s="8" t="n">
        <f aca="true">IF($F378="","",TODAY()-$F378)</f>
        <v>275</v>
      </c>
      <c r="AC378" s="10" t="s">
        <v>246</v>
      </c>
      <c r="AD378" s="10"/>
      <c r="AE378" s="10"/>
      <c r="AF378" s="10"/>
      <c r="AG378" s="10"/>
      <c r="AH378" s="10"/>
      <c r="AI378" s="10"/>
      <c r="AJ378" s="10" t="s">
        <v>312</v>
      </c>
      <c r="AK378" s="10" t="s">
        <v>139</v>
      </c>
      <c r="AL378" s="10"/>
      <c r="AM378" s="10"/>
      <c r="AN378" s="8"/>
      <c r="AO378" s="10" t="s">
        <v>140</v>
      </c>
      <c r="AP378" s="10" t="s">
        <v>175</v>
      </c>
      <c r="AQ378" s="11" t="n">
        <v>46042</v>
      </c>
      <c r="AR378" s="13"/>
      <c r="AS378" s="13"/>
      <c r="AT378" s="13" t="s">
        <v>246</v>
      </c>
      <c r="AU378" s="13" t="s">
        <v>559</v>
      </c>
      <c r="AV378" s="13"/>
      <c r="AW378" s="13"/>
      <c r="AX378" s="13"/>
      <c r="AY378" s="7" t="s">
        <v>465</v>
      </c>
      <c r="AZ378" s="7"/>
      <c r="BA378" s="7" t="s">
        <v>35</v>
      </c>
      <c r="BB378" s="7" t="s">
        <v>559</v>
      </c>
      <c r="BC378" s="7" t="s">
        <v>1547</v>
      </c>
      <c r="BD378" s="9"/>
      <c r="BE378" s="7"/>
      <c r="BF378" s="14" t="str">
        <f aca="true">IF(TRIM($A378)="Finalized","Closed",IF($BD378="","No review date set",IF($BD378&lt;TODAY(),"OVERDUE",IF($BD378-TODAY()&lt;=7,"Due within 7 days","Scheduled"))))</f>
        <v>Closed</v>
      </c>
      <c r="BG378" s="14" t="n">
        <f aca="true">IF($K378="","",TODAY()-$K378)</f>
        <v>52</v>
      </c>
      <c r="BH378" s="15" t="str">
        <f aca="false">IFERROR(LEFT(IF($B378="","Notes, ","")&amp;IF($K378="","Latest Date Worked, ","")&amp;IF($AY378="","Last Action, ","")&amp;IF(AND(OR(TRIM($A378)="Denied",TRIM($A378)="Rejected"),$BA378=""),"Denial Reason, ","")&amp;IF(AND(TRIM($A378)="Denied",$BB378="",TRIM($BA378)&lt;&gt;"NO DENIAL"),"Denial Code, ","")&amp;IF(AND(TRIM($A378)&lt;&gt;"Finalized",$BD378=""),"Next Review Date, ","")&amp;IF(AND(TRIM($A378)&lt;&gt;"Finalized",$BE378=""),"Next Step, ","")&amp;IF(AND(TRIM($A378)="Finalized",$AV378="",$AR378="",$AT378="",$AX378="",$AW378=""),"CPT outcome, ",""),LEN(IF($B378="","Notes, ","")&amp;IF($K378="","Latest Date Worked, ","")&amp;IF($AY378="","Last Action, ","")&amp;IF(AND(OR(TRIM($A378)="Denied",TRIM($A378)="Rejected"),$BA378=""),"Denial Reason, ","")&amp;IF(AND(TRIM($A378)="Denied",$BB378="",TRIM($BA378)&lt;&gt;"NO DENIAL"),"Denial Code, ","")&amp;IF(AND(TRIM($A378)&lt;&gt;"Finalized",$BD378=""),"Next Review Date, ","")&amp;IF(AND(TRIM($A378)&lt;&gt;"Finalized",$BE378=""),"Next Step, ","")&amp;IF(AND(TRIM($A378)="Finalized",$AV378="",$AR378="",$AT378="",$AX378="",$AW378=""),"CPT outcome, ",""))-2),"")</f>
        <v/>
      </c>
      <c r="BI378" s="15" t="str">
        <f aca="false">IF($BB378="","",IFERROR(INDEX('Denial Codes'!$C:$C,MATCH(LEFT($BB378,FIND(" - ",$BB378&amp;" - ")+2)&amp;"*",'Denial Codes'!$A:$A,0)),""))</f>
        <v>Timely filing</v>
      </c>
      <c r="BJ378" s="15" t="str">
        <f aca="false">IF($BA378="","",IFERROR(INDEX(Lists!$B:$B,MATCH(TRIM($BA378),Lists!$A:$A,0))&amp;"",""))</f>
        <v>Find proof of timely filing (clearinghouse acceptance or earlier submission) and appeal with it; if none, adjust the balance.</v>
      </c>
    </row>
    <row r="379" customFormat="false" ht="15" hidden="false" customHeight="false" outlineLevel="0" collapsed="false">
      <c r="A379" s="7" t="s">
        <v>16</v>
      </c>
      <c r="B379" s="7" t="s">
        <v>465</v>
      </c>
      <c r="C379" s="8" t="n">
        <v>547481511</v>
      </c>
      <c r="D379" s="9" t="n">
        <v>46160</v>
      </c>
      <c r="E379" s="10" t="s">
        <v>1548</v>
      </c>
      <c r="F379" s="11" t="n">
        <v>46043</v>
      </c>
      <c r="G379" s="10" t="s">
        <v>218</v>
      </c>
      <c r="H379" s="10" t="s">
        <v>218</v>
      </c>
      <c r="I379" s="10" t="s">
        <v>129</v>
      </c>
      <c r="J379" s="10" t="s">
        <v>194</v>
      </c>
      <c r="K379" s="9" t="n">
        <v>46305</v>
      </c>
      <c r="L379" s="12" t="str">
        <f aca="true">IF($O379="","",$O379-TODAY())</f>
        <v/>
      </c>
      <c r="M379" s="12" t="str">
        <f aca="true">IF(AND(TRIM($A379)="Finalized",$K379&lt;&gt;""),"",IF($F379="","",$F379+90-TODAY()))</f>
        <v/>
      </c>
      <c r="N379" s="12" t="str">
        <f aca="true">IF(AND(TRIM($A379)="Finalized",$K379&lt;&gt;""),"",IF($D379="","",$D379+180-TODAY()))</f>
        <v/>
      </c>
      <c r="O379" s="11" t="str">
        <f aca="false">IF(AND(TRIM($A379)="Finalized",$K379&lt;&gt;""),"",DATE(2026,4,21))</f>
        <v/>
      </c>
      <c r="P379" s="10" t="s">
        <v>165</v>
      </c>
      <c r="Q379" s="10" t="s">
        <v>220</v>
      </c>
      <c r="R379" s="10" t="s">
        <v>165</v>
      </c>
      <c r="S379" s="10" t="s">
        <v>149</v>
      </c>
      <c r="T379" s="10" t="s">
        <v>147</v>
      </c>
      <c r="U379" s="10" t="s">
        <v>116</v>
      </c>
      <c r="V379" s="10" t="s">
        <v>118</v>
      </c>
      <c r="W379" s="10" t="s">
        <v>196</v>
      </c>
      <c r="X379" s="10"/>
      <c r="Y379" s="10"/>
      <c r="Z379" s="10"/>
      <c r="AA379" s="10" t="s">
        <v>197</v>
      </c>
      <c r="AB379" s="8" t="n">
        <f aca="true">IF($F379="","",TODAY()-$F379)</f>
        <v>268</v>
      </c>
      <c r="AC379" s="10" t="s">
        <v>198</v>
      </c>
      <c r="AD379" s="10"/>
      <c r="AE379" s="10"/>
      <c r="AF379" s="10"/>
      <c r="AG379" s="10"/>
      <c r="AH379" s="10"/>
      <c r="AI379" s="10"/>
      <c r="AJ379" s="10" t="s">
        <v>267</v>
      </c>
      <c r="AK379" s="10" t="s">
        <v>1549</v>
      </c>
      <c r="AL379" s="10"/>
      <c r="AM379" s="10"/>
      <c r="AN379" s="8"/>
      <c r="AO379" s="10" t="s">
        <v>255</v>
      </c>
      <c r="AP379" s="10" t="s">
        <v>268</v>
      </c>
      <c r="AQ379" s="11" t="n">
        <v>46048</v>
      </c>
      <c r="AR379" s="13"/>
      <c r="AS379" s="13"/>
      <c r="AT379" s="13"/>
      <c r="AU379" s="13"/>
      <c r="AV379" s="13" t="s">
        <v>198</v>
      </c>
      <c r="AW379" s="13"/>
      <c r="AX379" s="13" t="s">
        <v>198</v>
      </c>
      <c r="AY379" s="7" t="s">
        <v>363</v>
      </c>
      <c r="AZ379" s="7"/>
      <c r="BA379" s="7"/>
      <c r="BB379" s="7"/>
      <c r="BC379" s="7"/>
      <c r="BD379" s="9"/>
      <c r="BE379" s="7"/>
      <c r="BF379" s="14" t="str">
        <f aca="true">IF(TRIM($A379)="Finalized","Closed",IF($BD379="","No review date set",IF($BD379&lt;TODAY(),"OVERDUE",IF($BD379-TODAY()&lt;=7,"Due within 7 days","Scheduled"))))</f>
        <v>Closed</v>
      </c>
      <c r="BG379" s="14" t="n">
        <f aca="true">IF($K379="","",TODAY()-$K379)</f>
        <v>6</v>
      </c>
      <c r="BH379" s="15" t="str">
        <f aca="false">IFERROR(LEFT(IF($B379="","Notes, ","")&amp;IF($K379="","Latest Date Worked, ","")&amp;IF($AY379="","Last Action, ","")&amp;IF(AND(OR(TRIM($A379)="Denied",TRIM($A379)="Rejected"),$BA379=""),"Denial Reason, ","")&amp;IF(AND(TRIM($A379)="Denied",$BB379="",TRIM($BA379)&lt;&gt;"NO DENIAL"),"Denial Code, ","")&amp;IF(AND(TRIM($A379)&lt;&gt;"Finalized",$BD379=""),"Next Review Date, ","")&amp;IF(AND(TRIM($A379)&lt;&gt;"Finalized",$BE379=""),"Next Step, ","")&amp;IF(AND(TRIM($A379)="Finalized",$AV379="",$AR379="",$AT379="",$AX379="",$AW379=""),"CPT outcome, ",""),LEN(IF($B379="","Notes, ","")&amp;IF($K379="","Latest Date Worked, ","")&amp;IF($AY379="","Last Action, ","")&amp;IF(AND(OR(TRIM($A379)="Denied",TRIM($A379)="Rejected"),$BA379=""),"Denial Reason, ","")&amp;IF(AND(TRIM($A379)="Denied",$BB379="",TRIM($BA379)&lt;&gt;"NO DENIAL"),"Denial Code, ","")&amp;IF(AND(TRIM($A379)&lt;&gt;"Finalized",$BD379=""),"Next Review Date, ","")&amp;IF(AND(TRIM($A379)&lt;&gt;"Finalized",$BE379=""),"Next Step, ","")&amp;IF(AND(TRIM($A379)="Finalized",$AV379="",$AR379="",$AT379="",$AX379="",$AW379=""),"CPT outcome, ",""))-2),"")</f>
        <v/>
      </c>
      <c r="BI379" s="15" t="str">
        <f aca="false">IF($BB379="","",IFERROR(INDEX('Denial Codes'!$C:$C,MATCH(LEFT($BB379,FIND(" - ",$BB379&amp;" - ")+2)&amp;"*",'Denial Codes'!$A:$A,0)),""))</f>
        <v/>
      </c>
      <c r="BJ379" s="15" t="str">
        <f aca="false">IF($BA379="","",IFERROR(INDEX(Lists!$B:$B,MATCH(TRIM($BA379),Lists!$A:$A,0))&amp;"",""))</f>
        <v/>
      </c>
    </row>
    <row r="380" customFormat="false" ht="15" hidden="false" customHeight="false" outlineLevel="0" collapsed="false">
      <c r="A380" s="7" t="s">
        <v>16</v>
      </c>
      <c r="B380" s="7" t="s">
        <v>465</v>
      </c>
      <c r="C380" s="8" t="n">
        <v>547275123</v>
      </c>
      <c r="D380" s="9" t="n">
        <v>46163</v>
      </c>
      <c r="E380" s="10" t="s">
        <v>551</v>
      </c>
      <c r="F380" s="11" t="n">
        <v>46045</v>
      </c>
      <c r="G380" s="10" t="s">
        <v>180</v>
      </c>
      <c r="H380" s="10" t="s">
        <v>163</v>
      </c>
      <c r="I380" s="10" t="s">
        <v>180</v>
      </c>
      <c r="J380" s="10" t="s">
        <v>894</v>
      </c>
      <c r="K380" s="9" t="n">
        <v>46305</v>
      </c>
      <c r="L380" s="12" t="str">
        <f aca="true">IF($O380="","",$O380-TODAY())</f>
        <v/>
      </c>
      <c r="M380" s="12" t="str">
        <f aca="true">IF(AND(TRIM($A380)="Finalized",$K380&lt;&gt;""),"",IF($F380="","",$F380+90-TODAY()))</f>
        <v/>
      </c>
      <c r="N380" s="12" t="str">
        <f aca="true">IF(AND(TRIM($A380)="Finalized",$K380&lt;&gt;""),"",IF($D380="","",$D380+365-TODAY()))</f>
        <v/>
      </c>
      <c r="O380" s="11" t="str">
        <f aca="false">IF(AND(TRIM($A380)="Finalized",$K380&lt;&gt;""),"",DATE(2026,4,23))</f>
        <v/>
      </c>
      <c r="P380" s="10" t="s">
        <v>165</v>
      </c>
      <c r="Q380" s="10" t="s">
        <v>166</v>
      </c>
      <c r="R380" s="10" t="s">
        <v>165</v>
      </c>
      <c r="S380" s="10" t="s">
        <v>149</v>
      </c>
      <c r="T380" s="10" t="s">
        <v>114</v>
      </c>
      <c r="U380" s="10" t="s">
        <v>116</v>
      </c>
      <c r="V380" s="10" t="s">
        <v>118</v>
      </c>
      <c r="W380" s="10" t="s">
        <v>132</v>
      </c>
      <c r="X380" s="10" t="s">
        <v>621</v>
      </c>
      <c r="Y380" s="10"/>
      <c r="Z380" s="10"/>
      <c r="AA380" s="10" t="s">
        <v>197</v>
      </c>
      <c r="AB380" s="8" t="n">
        <f aca="true">IF($F380="","",TODAY()-$F380)</f>
        <v>266</v>
      </c>
      <c r="AC380" s="10" t="s">
        <v>895</v>
      </c>
      <c r="AD380" s="10"/>
      <c r="AE380" s="10"/>
      <c r="AF380" s="10"/>
      <c r="AG380" s="10"/>
      <c r="AH380" s="10"/>
      <c r="AI380" s="10"/>
      <c r="AJ380" s="10" t="s">
        <v>686</v>
      </c>
      <c r="AK380" s="10"/>
      <c r="AL380" s="10"/>
      <c r="AM380" s="10"/>
      <c r="AN380" s="8" t="n">
        <v>549237390</v>
      </c>
      <c r="AO380" s="10" t="s">
        <v>201</v>
      </c>
      <c r="AP380" s="10" t="s">
        <v>327</v>
      </c>
      <c r="AQ380" s="11" t="n">
        <v>46049</v>
      </c>
      <c r="AR380" s="13"/>
      <c r="AS380" s="13"/>
      <c r="AT380" s="13"/>
      <c r="AU380" s="13"/>
      <c r="AV380" s="13"/>
      <c r="AW380" s="13" t="s">
        <v>895</v>
      </c>
      <c r="AX380" s="13" t="s">
        <v>895</v>
      </c>
      <c r="AY380" s="7" t="s">
        <v>465</v>
      </c>
      <c r="AZ380" s="7"/>
      <c r="BA380" s="7"/>
      <c r="BB380" s="7" t="s">
        <v>386</v>
      </c>
      <c r="BC380" s="7"/>
      <c r="BD380" s="9"/>
      <c r="BE380" s="7"/>
      <c r="BF380" s="14" t="str">
        <f aca="true">IF(TRIM($A380)="Finalized","Closed",IF($BD380="","No review date set",IF($BD380&lt;TODAY(),"OVERDUE",IF($BD380-TODAY()&lt;=7,"Due within 7 days","Scheduled"))))</f>
        <v>Closed</v>
      </c>
      <c r="BG380" s="14" t="n">
        <f aca="true">IF($K380="","",TODAY()-$K380)</f>
        <v>6</v>
      </c>
      <c r="BH380" s="15" t="str">
        <f aca="false">IFERROR(LEFT(IF($B380="","Notes, ","")&amp;IF($K380="","Latest Date Worked, ","")&amp;IF($AY380="","Last Action, ","")&amp;IF(AND(OR(TRIM($A380)="Denied",TRIM($A380)="Rejected"),$BA380=""),"Denial Reason, ","")&amp;IF(AND(TRIM($A380)="Denied",$BB380="",TRIM($BA380)&lt;&gt;"NO DENIAL"),"Denial Code, ","")&amp;IF(AND(TRIM($A380)&lt;&gt;"Finalized",$BD380=""),"Next Review Date, ","")&amp;IF(AND(TRIM($A380)&lt;&gt;"Finalized",$BE380=""),"Next Step, ","")&amp;IF(AND(TRIM($A380)="Finalized",$AV380="",$AR380="",$AT380="",$AX380="",$AW380=""),"CPT outcome, ",""),LEN(IF($B380="","Notes, ","")&amp;IF($K380="","Latest Date Worked, ","")&amp;IF($AY380="","Last Action, ","")&amp;IF(AND(OR(TRIM($A380)="Denied",TRIM($A380)="Rejected"),$BA380=""),"Denial Reason, ","")&amp;IF(AND(TRIM($A380)="Denied",$BB380="",TRIM($BA380)&lt;&gt;"NO DENIAL"),"Denial Code, ","")&amp;IF(AND(TRIM($A380)&lt;&gt;"Finalized",$BD380=""),"Next Review Date, ","")&amp;IF(AND(TRIM($A380)&lt;&gt;"Finalized",$BE380=""),"Next Step, ","")&amp;IF(AND(TRIM($A380)="Finalized",$AV380="",$AR380="",$AT380="",$AX380="",$AW380=""),"CPT outcome, ",""))-2),"")</f>
        <v/>
      </c>
      <c r="BI380" s="15" t="str">
        <f aca="false">IF($BB380="","",IFERROR(INDEX('Denial Codes'!$C:$C,MATCH(LEFT($BB380,FIND(" - ",$BB380&amp;" - ")+2)&amp;"*",'Denial Codes'!$A:$A,0)),""))</f>
        <v>Other</v>
      </c>
      <c r="BJ380" s="15" t="str">
        <f aca="false">IF($BA380="","",IFERROR(INDEX(Lists!$B:$B,MATCH(TRIM($BA380),Lists!$A:$A,0))&amp;"",""))</f>
        <v/>
      </c>
    </row>
    <row r="381" customFormat="false" ht="15" hidden="false" customHeight="false" outlineLevel="0" collapsed="false">
      <c r="A381" s="7" t="s">
        <v>16</v>
      </c>
      <c r="B381" s="7" t="s">
        <v>1531</v>
      </c>
      <c r="C381" s="8" t="n">
        <v>552170540</v>
      </c>
      <c r="D381" s="9" t="n">
        <v>46111</v>
      </c>
      <c r="E381" s="10" t="s">
        <v>1550</v>
      </c>
      <c r="F381" s="11" t="n">
        <v>46048</v>
      </c>
      <c r="G381" s="10" t="s">
        <v>347</v>
      </c>
      <c r="H381" s="10" t="s">
        <v>347</v>
      </c>
      <c r="I381" s="10" t="s">
        <v>129</v>
      </c>
      <c r="J381" s="10" t="s">
        <v>1551</v>
      </c>
      <c r="K381" s="9" t="n">
        <v>46305</v>
      </c>
      <c r="L381" s="12" t="str">
        <f aca="true">IF($O381="","",$O381-TODAY())</f>
        <v/>
      </c>
      <c r="M381" s="12" t="str">
        <f aca="true">IF(AND(TRIM($A381)="Finalized",$K381&lt;&gt;""),"",IF($F381="","",$F381+90-TODAY()))</f>
        <v/>
      </c>
      <c r="N381" s="12" t="str">
        <f aca="true">IF(AND(TRIM($A381)="Finalized",$K381&lt;&gt;""),"",IF($D381="","",$D381+540-TODAY()))</f>
        <v/>
      </c>
      <c r="O381" s="11" t="str">
        <f aca="false">IF(AND(TRIM($A381)="Finalized",$K381&lt;&gt;""),"",DATE(2026,4,26))</f>
        <v/>
      </c>
      <c r="P381" s="10" t="s">
        <v>165</v>
      </c>
      <c r="Q381" s="10" t="s">
        <v>348</v>
      </c>
      <c r="R381" s="10" t="s">
        <v>165</v>
      </c>
      <c r="S381" s="10" t="s">
        <v>149</v>
      </c>
      <c r="T381" s="10" t="s">
        <v>349</v>
      </c>
      <c r="U381" s="10" t="s">
        <v>116</v>
      </c>
      <c r="V381" s="10" t="s">
        <v>118</v>
      </c>
      <c r="W381" s="10" t="s">
        <v>434</v>
      </c>
      <c r="X381" s="10" t="s">
        <v>134</v>
      </c>
      <c r="Y381" s="10" t="s">
        <v>436</v>
      </c>
      <c r="Z381" s="10"/>
      <c r="AA381" s="10" t="s">
        <v>197</v>
      </c>
      <c r="AB381" s="8" t="n">
        <f aca="true">IF($F381="","",TODAY()-$F381)</f>
        <v>263</v>
      </c>
      <c r="AC381" s="10" t="s">
        <v>443</v>
      </c>
      <c r="AD381" s="10" t="s">
        <v>657</v>
      </c>
      <c r="AE381" s="10" t="s">
        <v>442</v>
      </c>
      <c r="AF381" s="10" t="s">
        <v>438</v>
      </c>
      <c r="AG381" s="10"/>
      <c r="AH381" s="10"/>
      <c r="AI381" s="10"/>
      <c r="AJ381" s="10" t="s">
        <v>444</v>
      </c>
      <c r="AK381" s="10" t="s">
        <v>445</v>
      </c>
      <c r="AL381" s="10" t="s">
        <v>446</v>
      </c>
      <c r="AM381" s="10"/>
      <c r="AN381" s="8"/>
      <c r="AO381" s="10" t="s">
        <v>447</v>
      </c>
      <c r="AP381" s="10" t="s">
        <v>175</v>
      </c>
      <c r="AQ381" s="11" t="n">
        <v>46062</v>
      </c>
      <c r="AR381" s="13" t="s">
        <v>1534</v>
      </c>
      <c r="AS381" s="13" t="s">
        <v>1535</v>
      </c>
      <c r="AT381" s="13" t="s">
        <v>1552</v>
      </c>
      <c r="AU381" s="13" t="s">
        <v>464</v>
      </c>
      <c r="AV381" s="13"/>
      <c r="AW381" s="13"/>
      <c r="AX381" s="13"/>
      <c r="AY381" s="7" t="s">
        <v>465</v>
      </c>
      <c r="AZ381" s="7" t="s">
        <v>203</v>
      </c>
      <c r="BA381" s="7" t="s">
        <v>43</v>
      </c>
      <c r="BB381" s="7" t="s">
        <v>1536</v>
      </c>
      <c r="BC381" s="7"/>
      <c r="BD381" s="9"/>
      <c r="BE381" s="7"/>
      <c r="BF381" s="14" t="str">
        <f aca="true">IF(TRIM($A381)="Finalized","Closed",IF($BD381="","No review date set",IF($BD381&lt;TODAY(),"OVERDUE",IF($BD381-TODAY()&lt;=7,"Due within 7 days","Scheduled"))))</f>
        <v>Closed</v>
      </c>
      <c r="BG381" s="14" t="n">
        <f aca="true">IF($K381="","",TODAY()-$K381)</f>
        <v>6</v>
      </c>
      <c r="BH381" s="15" t="str">
        <f aca="false">IFERROR(LEFT(IF($B381="","Notes, ","")&amp;IF($K381="","Latest Date Worked, ","")&amp;IF($AY381="","Last Action, ","")&amp;IF(AND(OR(TRIM($A381)="Denied",TRIM($A381)="Rejected"),$BA381=""),"Denial Reason, ","")&amp;IF(AND(TRIM($A381)="Denied",$BB381="",TRIM($BA381)&lt;&gt;"NO DENIAL"),"Denial Code, ","")&amp;IF(AND(TRIM($A381)&lt;&gt;"Finalized",$BD381=""),"Next Review Date, ","")&amp;IF(AND(TRIM($A381)&lt;&gt;"Finalized",$BE381=""),"Next Step, ","")&amp;IF(AND(TRIM($A381)="Finalized",$AV381="",$AR381="",$AT381="",$AX381="",$AW381=""),"CPT outcome, ",""),LEN(IF($B381="","Notes, ","")&amp;IF($K381="","Latest Date Worked, ","")&amp;IF($AY381="","Last Action, ","")&amp;IF(AND(OR(TRIM($A381)="Denied",TRIM($A381)="Rejected"),$BA381=""),"Denial Reason, ","")&amp;IF(AND(TRIM($A381)="Denied",$BB381="",TRIM($BA381)&lt;&gt;"NO DENIAL"),"Denial Code, ","")&amp;IF(AND(TRIM($A381)&lt;&gt;"Finalized",$BD381=""),"Next Review Date, ","")&amp;IF(AND(TRIM($A381)&lt;&gt;"Finalized",$BE381=""),"Next Step, ","")&amp;IF(AND(TRIM($A381)="Finalized",$AV381="",$AR381="",$AT381="",$AX381="",$AW381=""),"CPT outcome, ",""))-2),"")</f>
        <v/>
      </c>
      <c r="BI381" s="15" t="str">
        <f aca="false">IF($BB381="","",IFERROR(INDEX('Denial Codes'!$C:$C,MATCH(LEFT($BB381,FIND(" - ",$BB381&amp;" - ")+2)&amp;"*",'Denial Codes'!$A:$A,0)),""))</f>
        <v>Medical necessity / frequency</v>
      </c>
      <c r="BJ381" s="15" t="str">
        <f aca="false">IF($BA381="","",IFERROR(INDEX(Lists!$B:$B,MATCH(TRIM($BA381),Lists!$A:$A,0))&amp;"",""))</f>
        <v>Appeal with medical records and a letter of medical necessity; check LCD/MUE limits.</v>
      </c>
    </row>
    <row r="382" customFormat="false" ht="15" hidden="false" customHeight="false" outlineLevel="0" collapsed="false">
      <c r="A382" s="7" t="s">
        <v>16</v>
      </c>
      <c r="B382" s="7" t="s">
        <v>1553</v>
      </c>
      <c r="C382" s="8" t="n">
        <v>555373347</v>
      </c>
      <c r="D382" s="9" t="n">
        <v>46127</v>
      </c>
      <c r="E382" s="10" t="s">
        <v>1554</v>
      </c>
      <c r="F382" s="11" t="n">
        <v>46027</v>
      </c>
      <c r="G382" s="10" t="s">
        <v>607</v>
      </c>
      <c r="H382" s="10" t="s">
        <v>607</v>
      </c>
      <c r="I382" s="10" t="s">
        <v>129</v>
      </c>
      <c r="J382" s="10" t="s">
        <v>1555</v>
      </c>
      <c r="K382" s="9" t="n">
        <v>46135</v>
      </c>
      <c r="L382" s="12" t="str">
        <f aca="true">IF($O382="","",$O382-TODAY())</f>
        <v/>
      </c>
      <c r="M382" s="12" t="str">
        <f aca="true">IF(AND(TRIM($A382)="Finalized",$K382&lt;&gt;""),"",IF($D382="","",$D382+180-TODAY()))</f>
        <v/>
      </c>
      <c r="N382" s="12" t="str">
        <f aca="true">IF(AND(TRIM($A382)="Finalized",$K382&lt;&gt;""),"",IF($D382="","",$D382+180-TODAY()))</f>
        <v/>
      </c>
      <c r="O382" s="11" t="str">
        <f aca="false">IF(AND(TRIM($A382)="Finalized",$K382&lt;&gt;""),"",DATE(2026,5,5))</f>
        <v/>
      </c>
      <c r="P382" s="10" t="s">
        <v>117</v>
      </c>
      <c r="Q382" s="10" t="s">
        <v>609</v>
      </c>
      <c r="R382" s="10" t="s">
        <v>147</v>
      </c>
      <c r="S382" s="10" t="s">
        <v>116</v>
      </c>
      <c r="T382" s="10" t="s">
        <v>147</v>
      </c>
      <c r="U382" s="10" t="s">
        <v>116</v>
      </c>
      <c r="V382" s="10" t="s">
        <v>118</v>
      </c>
      <c r="W382" s="10" t="s">
        <v>434</v>
      </c>
      <c r="X382" s="10" t="s">
        <v>134</v>
      </c>
      <c r="Y382" s="10" t="s">
        <v>436</v>
      </c>
      <c r="Z382" s="10"/>
      <c r="AA382" s="10" t="s">
        <v>683</v>
      </c>
      <c r="AB382" s="8" t="n">
        <f aca="true">IF($F382="","",TODAY()-$F382)</f>
        <v>284</v>
      </c>
      <c r="AC382" s="10" t="s">
        <v>442</v>
      </c>
      <c r="AD382" s="10" t="s">
        <v>443</v>
      </c>
      <c r="AE382" s="10" t="s">
        <v>438</v>
      </c>
      <c r="AF382" s="10"/>
      <c r="AG382" s="10"/>
      <c r="AH382" s="10"/>
      <c r="AI382" s="10"/>
      <c r="AJ382" s="10" t="s">
        <v>444</v>
      </c>
      <c r="AK382" s="10" t="s">
        <v>445</v>
      </c>
      <c r="AL382" s="10" t="s">
        <v>446</v>
      </c>
      <c r="AM382" s="10"/>
      <c r="AN382" s="8"/>
      <c r="AO382" s="10" t="s">
        <v>447</v>
      </c>
      <c r="AP382" s="10" t="s">
        <v>188</v>
      </c>
      <c r="AQ382" s="11" t="n">
        <v>46062</v>
      </c>
      <c r="AR382" s="13" t="s">
        <v>1556</v>
      </c>
      <c r="AS382" s="13" t="s">
        <v>1557</v>
      </c>
      <c r="AT382" s="13"/>
      <c r="AU382" s="13"/>
      <c r="AV382" s="13"/>
      <c r="AW382" s="13"/>
      <c r="AX382" s="13"/>
      <c r="AY382" s="7" t="s">
        <v>465</v>
      </c>
      <c r="AZ382" s="7"/>
      <c r="BA382" s="7" t="s">
        <v>41</v>
      </c>
      <c r="BB382" s="7" t="s">
        <v>1558</v>
      </c>
      <c r="BC382" s="7"/>
      <c r="BD382" s="9"/>
      <c r="BE382" s="7"/>
      <c r="BF382" s="14" t="str">
        <f aca="true">IF(TRIM($A382)="Finalized","Closed",IF($BD382="","No review date set",IF($BD382&lt;TODAY(),"OVERDUE",IF($BD382-TODAY()&lt;=7,"Due within 7 days","Scheduled"))))</f>
        <v>Closed</v>
      </c>
      <c r="BG382" s="14" t="n">
        <f aca="true">IF($K382="","",TODAY()-$K382)</f>
        <v>176</v>
      </c>
      <c r="BH382" s="15" t="str">
        <f aca="false">IFERROR(LEFT(IF($B382="","Notes, ","")&amp;IF($K382="","Latest Date Worked, ","")&amp;IF($AY382="","Last Action, ","")&amp;IF(AND(OR(TRIM($A382)="Denied",TRIM($A382)="Rejected"),$BA382=""),"Denial Reason, ","")&amp;IF(AND(TRIM($A382)="Denied",$BB382="",TRIM($BA382)&lt;&gt;"NO DENIAL"),"Denial Code, ","")&amp;IF(AND(TRIM($A382)&lt;&gt;"Finalized",$BD382=""),"Next Review Date, ","")&amp;IF(AND(TRIM($A382)&lt;&gt;"Finalized",$BE382=""),"Next Step, ","")&amp;IF(AND(TRIM($A382)="Finalized",$AV382="",$AR382="",$AT382="",$AX382="",$AW382=""),"CPT outcome, ",""),LEN(IF($B382="","Notes, ","")&amp;IF($K382="","Latest Date Worked, ","")&amp;IF($AY382="","Last Action, ","")&amp;IF(AND(OR(TRIM($A382)="Denied",TRIM($A382)="Rejected"),$BA382=""),"Denial Reason, ","")&amp;IF(AND(TRIM($A382)="Denied",$BB382="",TRIM($BA382)&lt;&gt;"NO DENIAL"),"Denial Code, ","")&amp;IF(AND(TRIM($A382)&lt;&gt;"Finalized",$BD382=""),"Next Review Date, ","")&amp;IF(AND(TRIM($A382)&lt;&gt;"Finalized",$BE382=""),"Next Step, ","")&amp;IF(AND(TRIM($A382)="Finalized",$AV382="",$AR382="",$AT382="",$AX382="",$AW382=""),"CPT outcome, ",""))-2),"")</f>
        <v/>
      </c>
      <c r="BI382" s="15" t="str">
        <f aca="false">IF($BB382="","",IFERROR(INDEX('Denial Codes'!$C:$C,MATCH(LEFT($BB382,FIND(" - ",$BB382&amp;" - ")+2)&amp;"*",'Denial Codes'!$A:$A,0)),""))</f>
        <v>Not covered by plan</v>
      </c>
      <c r="BJ382" s="15" t="str">
        <f aca="false">IF($BA382="","",IFERROR(INDEX(Lists!$B:$B,MATCH(TRIM($BA382),Lists!$A:$A,0))&amp;"",""))</f>
        <v>Confirm benefits; bill the patient if an ABN/waiver is on file, otherwise appeal or adjust.</v>
      </c>
    </row>
    <row r="383" customFormat="false" ht="15" hidden="false" customHeight="false" outlineLevel="0" collapsed="false">
      <c r="A383" s="7" t="s">
        <v>16</v>
      </c>
      <c r="B383" s="7" t="s">
        <v>1559</v>
      </c>
      <c r="C383" s="8" t="n">
        <v>563274947</v>
      </c>
      <c r="D383" s="9" t="n">
        <v>46212</v>
      </c>
      <c r="E383" s="10" t="s">
        <v>449</v>
      </c>
      <c r="F383" s="11" t="n">
        <v>46079</v>
      </c>
      <c r="G383" s="10" t="s">
        <v>163</v>
      </c>
      <c r="H383" s="10" t="s">
        <v>163</v>
      </c>
      <c r="I383" s="10" t="s">
        <v>129</v>
      </c>
      <c r="J383" s="10" t="s">
        <v>1560</v>
      </c>
      <c r="K383" s="9" t="n">
        <v>46262</v>
      </c>
      <c r="L383" s="12" t="str">
        <f aca="true">IF($O383="","",$O383-TODAY())</f>
        <v/>
      </c>
      <c r="M383" s="12" t="str">
        <f aca="true">IF(AND(TRIM($A383)="Finalized",$K383&lt;&gt;""),"",IF($F383="","",$F383+90-TODAY()))</f>
        <v/>
      </c>
      <c r="N383" s="12" t="str">
        <f aca="true">IF(AND(TRIM($A383)="Finalized",$K383&lt;&gt;""),"",IF($D383="","",$D383+365-TODAY()))</f>
        <v/>
      </c>
      <c r="O383" s="11" t="str">
        <f aca="false">IF(AND(TRIM($A383)="Finalized",$K383&lt;&gt;""),"",DATE(2026,5,27))</f>
        <v/>
      </c>
      <c r="P383" s="10" t="s">
        <v>165</v>
      </c>
      <c r="Q383" s="10" t="s">
        <v>166</v>
      </c>
      <c r="R383" s="10" t="s">
        <v>165</v>
      </c>
      <c r="S383" s="10" t="s">
        <v>149</v>
      </c>
      <c r="T383" s="10" t="s">
        <v>114</v>
      </c>
      <c r="U383" s="10" t="s">
        <v>116</v>
      </c>
      <c r="V383" s="10" t="s">
        <v>150</v>
      </c>
      <c r="W383" s="10" t="s">
        <v>132</v>
      </c>
      <c r="X383" s="10" t="s">
        <v>134</v>
      </c>
      <c r="Y383" s="10"/>
      <c r="Z383" s="10"/>
      <c r="AA383" s="10" t="s">
        <v>197</v>
      </c>
      <c r="AB383" s="8" t="n">
        <f aca="true">IF($F383="","",TODAY()-$F383)</f>
        <v>232</v>
      </c>
      <c r="AC383" s="10" t="s">
        <v>136</v>
      </c>
      <c r="AD383" s="10" t="s">
        <v>137</v>
      </c>
      <c r="AE383" s="10"/>
      <c r="AF383" s="10"/>
      <c r="AG383" s="10"/>
      <c r="AH383" s="10"/>
      <c r="AI383" s="10"/>
      <c r="AJ383" s="10" t="s">
        <v>139</v>
      </c>
      <c r="AK383" s="10" t="s">
        <v>859</v>
      </c>
      <c r="AL383" s="10"/>
      <c r="AM383" s="10"/>
      <c r="AN383" s="8"/>
      <c r="AO383" s="10" t="s">
        <v>140</v>
      </c>
      <c r="AP383" s="10" t="s">
        <v>141</v>
      </c>
      <c r="AQ383" s="11" t="n">
        <v>46092</v>
      </c>
      <c r="AR383" s="13"/>
      <c r="AS383" s="13"/>
      <c r="AT383" s="13"/>
      <c r="AU383" s="13"/>
      <c r="AV383" s="13" t="s">
        <v>1561</v>
      </c>
      <c r="AW383" s="13"/>
      <c r="AX383" s="13" t="s">
        <v>1561</v>
      </c>
      <c r="AY383" s="7" t="s">
        <v>363</v>
      </c>
      <c r="AZ383" s="7"/>
      <c r="BA383" s="7" t="s">
        <v>47</v>
      </c>
      <c r="BB383" s="7"/>
      <c r="BC383" s="7"/>
      <c r="BD383" s="9"/>
      <c r="BE383" s="7"/>
      <c r="BF383" s="14" t="str">
        <f aca="true">IF(TRIM($A383)="Finalized","Closed",IF($BD383="","No review date set",IF($BD383&lt;TODAY(),"OVERDUE",IF($BD383-TODAY()&lt;=7,"Due within 7 days","Scheduled"))))</f>
        <v>Closed</v>
      </c>
      <c r="BG383" s="14" t="n">
        <f aca="true">IF($K383="","",TODAY()-$K383)</f>
        <v>49</v>
      </c>
      <c r="BH383" s="15" t="str">
        <f aca="false">IFERROR(LEFT(IF($B383="","Notes, ","")&amp;IF($K383="","Latest Date Worked, ","")&amp;IF($AY383="","Last Action, ","")&amp;IF(AND(OR(TRIM($A383)="Denied",TRIM($A383)="Rejected"),$BA383=""),"Denial Reason, ","")&amp;IF(AND(TRIM($A383)="Denied",$BB383="",TRIM($BA383)&lt;&gt;"NO DENIAL"),"Denial Code, ","")&amp;IF(AND(TRIM($A383)&lt;&gt;"Finalized",$BD383=""),"Next Review Date, ","")&amp;IF(AND(TRIM($A383)&lt;&gt;"Finalized",$BE383=""),"Next Step, ","")&amp;IF(AND(TRIM($A383)="Finalized",$AV383="",$AR383="",$AT383="",$AX383="",$AW383=""),"CPT outcome, ",""),LEN(IF($B383="","Notes, ","")&amp;IF($K383="","Latest Date Worked, ","")&amp;IF($AY383="","Last Action, ","")&amp;IF(AND(OR(TRIM($A383)="Denied",TRIM($A383)="Rejected"),$BA383=""),"Denial Reason, ","")&amp;IF(AND(TRIM($A383)="Denied",$BB383="",TRIM($BA383)&lt;&gt;"NO DENIAL"),"Denial Code, ","")&amp;IF(AND(TRIM($A383)&lt;&gt;"Finalized",$BD383=""),"Next Review Date, ","")&amp;IF(AND(TRIM($A383)&lt;&gt;"Finalized",$BE383=""),"Next Step, ","")&amp;IF(AND(TRIM($A383)="Finalized",$AV383="",$AR383="",$AT383="",$AX383="",$AW383=""),"CPT outcome, ",""))-2),"")</f>
        <v/>
      </c>
      <c r="BI383" s="15" t="str">
        <f aca="false">IF($BB383="","",IFERROR(INDEX('Denial Codes'!$C:$C,MATCH(LEFT($BB383,FIND(" - ",$BB383&amp;" - ")+2)&amp;"*",'Denial Codes'!$A:$A,0)),""))</f>
        <v/>
      </c>
      <c r="BJ383" s="15" t="str">
        <f aca="false">IF($BA383="","",IFERROR(INDEX(Lists!$B:$B,MATCH(TRIM($BA383),Lists!$A:$A,0))&amp;"",""))</f>
        <v>Check provider enrollment, NPI/TIN and network status; appeal once credentialing is confirmed.</v>
      </c>
    </row>
    <row r="384" customFormat="false" ht="15" hidden="false" customHeight="false" outlineLevel="0" collapsed="false">
      <c r="A384" s="7" t="s">
        <v>16</v>
      </c>
      <c r="B384" s="7" t="s">
        <v>1562</v>
      </c>
      <c r="C384" s="8" t="n">
        <v>567785138</v>
      </c>
      <c r="D384" s="9" t="n">
        <v>46265</v>
      </c>
      <c r="E384" s="10" t="s">
        <v>1563</v>
      </c>
      <c r="F384" s="11" t="n">
        <v>46202</v>
      </c>
      <c r="G384" s="10" t="s">
        <v>369</v>
      </c>
      <c r="H384" s="10" t="s">
        <v>369</v>
      </c>
      <c r="I384" s="10" t="s">
        <v>129</v>
      </c>
      <c r="J384" s="10" t="s">
        <v>461</v>
      </c>
      <c r="K384" s="9" t="n">
        <v>46307</v>
      </c>
      <c r="L384" s="12" t="str">
        <f aca="true">IF($O384="","",$O384-TODAY())</f>
        <v/>
      </c>
      <c r="M384" s="12" t="str">
        <f aca="true">IF(AND(TRIM($A384)="Finalized",$K384&lt;&gt;""),"",IF($D384="","",$D384+365-TODAY()))</f>
        <v/>
      </c>
      <c r="N384" s="12" t="str">
        <f aca="true">IF(AND(TRIM($A384)="Finalized",$K384&lt;&gt;""),"",IF($D384="","",$D384+365-TODAY()))</f>
        <v/>
      </c>
      <c r="O384" s="11" t="str">
        <f aca="false">IF(AND(TRIM($A384)="Finalized",$K384&lt;&gt;""),"",DATE(2026,9,27))</f>
        <v/>
      </c>
      <c r="P384" s="10" t="s">
        <v>165</v>
      </c>
      <c r="Q384" s="10" t="s">
        <v>371</v>
      </c>
      <c r="R384" s="10" t="s">
        <v>114</v>
      </c>
      <c r="S384" s="10" t="s">
        <v>116</v>
      </c>
      <c r="T384" s="10" t="s">
        <v>114</v>
      </c>
      <c r="U384" s="10" t="s">
        <v>116</v>
      </c>
      <c r="V384" s="10" t="s">
        <v>303</v>
      </c>
      <c r="W384" s="10" t="s">
        <v>119</v>
      </c>
      <c r="X384" s="10" t="s">
        <v>120</v>
      </c>
      <c r="Y384" s="10"/>
      <c r="Z384" s="10"/>
      <c r="AA384" s="10" t="s">
        <v>230</v>
      </c>
      <c r="AB384" s="8" t="n">
        <f aca="true">IF($F384="","",TODAY()-$F384)</f>
        <v>109</v>
      </c>
      <c r="AC384" s="10" t="s">
        <v>273</v>
      </c>
      <c r="AD384" s="10"/>
      <c r="AE384" s="10"/>
      <c r="AF384" s="10"/>
      <c r="AG384" s="10"/>
      <c r="AH384" s="10"/>
      <c r="AI384" s="10"/>
      <c r="AJ384" s="10" t="s">
        <v>123</v>
      </c>
      <c r="AK384" s="10" t="s">
        <v>1564</v>
      </c>
      <c r="AL384" s="10"/>
      <c r="AM384" s="10"/>
      <c r="AN384" s="8"/>
      <c r="AO384" s="10" t="s">
        <v>764</v>
      </c>
      <c r="AP384" s="10" t="s">
        <v>202</v>
      </c>
      <c r="AQ384" s="11" t="n">
        <v>46205</v>
      </c>
      <c r="AR384" s="13"/>
      <c r="AS384" s="13"/>
      <c r="AT384" s="13" t="s">
        <v>273</v>
      </c>
      <c r="AU384" s="13" t="s">
        <v>464</v>
      </c>
      <c r="AV384" s="13"/>
      <c r="AW384" s="13"/>
      <c r="AX384" s="13" t="s">
        <v>273</v>
      </c>
      <c r="AY384" s="7" t="s">
        <v>465</v>
      </c>
      <c r="AZ384" s="7" t="s">
        <v>354</v>
      </c>
      <c r="BA384" s="7" t="s">
        <v>34</v>
      </c>
      <c r="BB384" s="7" t="s">
        <v>464</v>
      </c>
      <c r="BC384" s="7" t="s">
        <v>1565</v>
      </c>
      <c r="BD384" s="9"/>
      <c r="BE384" s="7"/>
      <c r="BF384" s="14" t="str">
        <f aca="true">IF(TRIM($A384)="Finalized","Closed",IF($BD384="","No review date set",IF($BD384&lt;TODAY(),"OVERDUE",IF($BD384-TODAY()&lt;=7,"Due within 7 days","Scheduled"))))</f>
        <v>Closed</v>
      </c>
      <c r="BG384" s="14" t="n">
        <f aca="true">IF($K384="","",TODAY()-$K384)</f>
        <v>4</v>
      </c>
      <c r="BH384" s="15" t="str">
        <f aca="false">IFERROR(LEFT(IF($B384="","Notes, ","")&amp;IF($K384="","Latest Date Worked, ","")&amp;IF($AY384="","Last Action, ","")&amp;IF(AND(OR(TRIM($A384)="Denied",TRIM($A384)="Rejected"),$BA384=""),"Denial Reason, ","")&amp;IF(AND(TRIM($A384)="Denied",$BB384="",TRIM($BA384)&lt;&gt;"NO DENIAL"),"Denial Code, ","")&amp;IF(AND(TRIM($A384)&lt;&gt;"Finalized",$BD384=""),"Next Review Date, ","")&amp;IF(AND(TRIM($A384)&lt;&gt;"Finalized",$BE384=""),"Next Step, ","")&amp;IF(AND(TRIM($A384)="Finalized",$AV384="",$AR384="",$AT384="",$AX384="",$AW384=""),"CPT outcome, ",""),LEN(IF($B384="","Notes, ","")&amp;IF($K384="","Latest Date Worked, ","")&amp;IF($AY384="","Last Action, ","")&amp;IF(AND(OR(TRIM($A384)="Denied",TRIM($A384)="Rejected"),$BA384=""),"Denial Reason, ","")&amp;IF(AND(TRIM($A384)="Denied",$BB384="",TRIM($BA384)&lt;&gt;"NO DENIAL"),"Denial Code, ","")&amp;IF(AND(TRIM($A384)&lt;&gt;"Finalized",$BD384=""),"Next Review Date, ","")&amp;IF(AND(TRIM($A384)&lt;&gt;"Finalized",$BE384=""),"Next Step, ","")&amp;IF(AND(TRIM($A384)="Finalized",$AV384="",$AR384="",$AT384="",$AX384="",$AW384=""),"CPT outcome, ",""))-2),"")</f>
        <v/>
      </c>
      <c r="BI384" s="15" t="str">
        <f aca="false">IF($BB384="","",IFERROR(INDEX('Denial Codes'!$C:$C,MATCH(LEFT($BB384,FIND(" - ",$BB384&amp;" - ")+2)&amp;"*",'Denial Codes'!$A:$A,0)),""))</f>
        <v>No authorization</v>
      </c>
      <c r="BJ384" s="15" t="str">
        <f aca="false">IF($BA384="","",IFERROR(INDEX(Lists!$B:$B,MATCH(TRIM($BA384),Lists!$A:$A,0))&amp;"",""))</f>
        <v>Check the portal for an auth; request a retro-auth or file an appeal with the auth number, then resubmit.</v>
      </c>
    </row>
    <row r="385" customFormat="false" ht="15" hidden="false" customHeight="false" outlineLevel="0" collapsed="false">
      <c r="A385" s="7" t="s">
        <v>16</v>
      </c>
      <c r="B385" s="7" t="s">
        <v>465</v>
      </c>
      <c r="C385" s="8" t="n">
        <v>548880209</v>
      </c>
      <c r="D385" s="9" t="n">
        <v>46135</v>
      </c>
      <c r="E385" s="10" t="s">
        <v>1566</v>
      </c>
      <c r="F385" s="11" t="n">
        <v>46034</v>
      </c>
      <c r="G385" s="10" t="s">
        <v>163</v>
      </c>
      <c r="H385" s="10" t="s">
        <v>260</v>
      </c>
      <c r="I385" s="10" t="s">
        <v>163</v>
      </c>
      <c r="J385" s="10" t="s">
        <v>1567</v>
      </c>
      <c r="K385" s="9" t="n">
        <v>46305</v>
      </c>
      <c r="L385" s="12" t="str">
        <f aca="true">IF($O385="","",$O385-TODAY())</f>
        <v/>
      </c>
      <c r="M385" s="12" t="str">
        <f aca="true">IF(AND(TRIM($A385)="Finalized",$K385&lt;&gt;""),"",IF($D385="","",$D385+365-TODAY()))</f>
        <v/>
      </c>
      <c r="N385" s="12" t="str">
        <f aca="true">IF(AND(TRIM($A385)="Finalized",$K385&lt;&gt;""),"",IF($D385="","",$D385+120-TODAY()))</f>
        <v/>
      </c>
      <c r="O385" s="11" t="str">
        <f aca="false">IF(AND(TRIM($A385)="Finalized",$K385&lt;&gt;""),"",DATE(2027,1,12))</f>
        <v/>
      </c>
      <c r="P385" s="10" t="s">
        <v>114</v>
      </c>
      <c r="Q385" s="10" t="s">
        <v>115</v>
      </c>
      <c r="R385" s="10" t="s">
        <v>114</v>
      </c>
      <c r="S385" s="10" t="s">
        <v>116</v>
      </c>
      <c r="T385" s="10" t="s">
        <v>117</v>
      </c>
      <c r="U385" s="10" t="s">
        <v>116</v>
      </c>
      <c r="V385" s="10" t="s">
        <v>118</v>
      </c>
      <c r="W385" s="10" t="s">
        <v>434</v>
      </c>
      <c r="X385" s="10" t="s">
        <v>619</v>
      </c>
      <c r="Y385" s="10" t="s">
        <v>758</v>
      </c>
      <c r="Z385" s="10" t="s">
        <v>436</v>
      </c>
      <c r="AA385" s="10" t="s">
        <v>656</v>
      </c>
      <c r="AB385" s="8" t="n">
        <f aca="true">IF($F385="","",TODAY()-$F385)</f>
        <v>277</v>
      </c>
      <c r="AC385" s="10" t="s">
        <v>438</v>
      </c>
      <c r="AD385" s="10" t="s">
        <v>440</v>
      </c>
      <c r="AE385" s="10" t="s">
        <v>443</v>
      </c>
      <c r="AF385" s="10" t="s">
        <v>439</v>
      </c>
      <c r="AG385" s="10" t="s">
        <v>442</v>
      </c>
      <c r="AH385" s="10" t="s">
        <v>657</v>
      </c>
      <c r="AI385" s="10" t="s">
        <v>441</v>
      </c>
      <c r="AJ385" s="10" t="s">
        <v>446</v>
      </c>
      <c r="AK385" s="10" t="s">
        <v>445</v>
      </c>
      <c r="AL385" s="10"/>
      <c r="AM385" s="10"/>
      <c r="AN385" s="8" t="n">
        <v>566386933</v>
      </c>
      <c r="AO385" s="10" t="s">
        <v>447</v>
      </c>
      <c r="AP385" s="10" t="s">
        <v>327</v>
      </c>
      <c r="AQ385" s="11" t="n">
        <v>46062</v>
      </c>
      <c r="AR385" s="13"/>
      <c r="AS385" s="13"/>
      <c r="AT385" s="13"/>
      <c r="AU385" s="13"/>
      <c r="AV385" s="13" t="s">
        <v>1568</v>
      </c>
      <c r="AW385" s="13"/>
      <c r="AX385" s="13" t="s">
        <v>1568</v>
      </c>
      <c r="AY385" s="7" t="s">
        <v>363</v>
      </c>
      <c r="AZ385" s="7"/>
      <c r="BA385" s="7"/>
      <c r="BB385" s="7"/>
      <c r="BC385" s="7"/>
      <c r="BD385" s="9"/>
      <c r="BE385" s="7"/>
      <c r="BF385" s="14" t="str">
        <f aca="true">IF(TRIM($A385)="Finalized","Closed",IF($BD385="","No review date set",IF($BD385&lt;TODAY(),"OVERDUE",IF($BD385-TODAY()&lt;=7,"Due within 7 days","Scheduled"))))</f>
        <v>Closed</v>
      </c>
      <c r="BG385" s="14" t="n">
        <f aca="true">IF($K385="","",TODAY()-$K385)</f>
        <v>6</v>
      </c>
      <c r="BH385" s="15" t="str">
        <f aca="false">IFERROR(LEFT(IF($B385="","Notes, ","")&amp;IF($K385="","Latest Date Worked, ","")&amp;IF($AY385="","Last Action, ","")&amp;IF(AND(OR(TRIM($A385)="Denied",TRIM($A385)="Rejected"),$BA385=""),"Denial Reason, ","")&amp;IF(AND(TRIM($A385)="Denied",$BB385="",TRIM($BA385)&lt;&gt;"NO DENIAL"),"Denial Code, ","")&amp;IF(AND(TRIM($A385)&lt;&gt;"Finalized",$BD385=""),"Next Review Date, ","")&amp;IF(AND(TRIM($A385)&lt;&gt;"Finalized",$BE385=""),"Next Step, ","")&amp;IF(AND(TRIM($A385)="Finalized",$AV385="",$AR385="",$AT385="",$AX385="",$AW385=""),"CPT outcome, ",""),LEN(IF($B385="","Notes, ","")&amp;IF($K385="","Latest Date Worked, ","")&amp;IF($AY385="","Last Action, ","")&amp;IF(AND(OR(TRIM($A385)="Denied",TRIM($A385)="Rejected"),$BA385=""),"Denial Reason, ","")&amp;IF(AND(TRIM($A385)="Denied",$BB385="",TRIM($BA385)&lt;&gt;"NO DENIAL"),"Denial Code, ","")&amp;IF(AND(TRIM($A385)&lt;&gt;"Finalized",$BD385=""),"Next Review Date, ","")&amp;IF(AND(TRIM($A385)&lt;&gt;"Finalized",$BE385=""),"Next Step, ","")&amp;IF(AND(TRIM($A385)="Finalized",$AV385="",$AR385="",$AT385="",$AX385="",$AW385=""),"CPT outcome, ",""))-2),"")</f>
        <v/>
      </c>
      <c r="BI385" s="15" t="str">
        <f aca="false">IF($BB385="","",IFERROR(INDEX('Denial Codes'!$C:$C,MATCH(LEFT($BB385,FIND(" - ",$BB385&amp;" - ")+2)&amp;"*",'Denial Codes'!$A:$A,0)),""))</f>
        <v/>
      </c>
      <c r="BJ385" s="15" t="str">
        <f aca="false">IF($BA385="","",IFERROR(INDEX(Lists!$B:$B,MATCH(TRIM($BA385),Lists!$A:$A,0))&amp;"",""))</f>
        <v/>
      </c>
    </row>
    <row r="386" customFormat="false" ht="15" hidden="false" customHeight="false" outlineLevel="0" collapsed="false">
      <c r="A386" s="7" t="s">
        <v>16</v>
      </c>
      <c r="B386" s="7" t="s">
        <v>465</v>
      </c>
      <c r="C386" s="8" t="n">
        <v>548873847</v>
      </c>
      <c r="D386" s="9" t="n">
        <v>46147</v>
      </c>
      <c r="E386" s="10" t="s">
        <v>1569</v>
      </c>
      <c r="F386" s="11" t="n">
        <v>46041</v>
      </c>
      <c r="G386" s="10" t="s">
        <v>1302</v>
      </c>
      <c r="H386" s="10" t="s">
        <v>260</v>
      </c>
      <c r="I386" s="10" t="s">
        <v>1302</v>
      </c>
      <c r="J386" s="10" t="s">
        <v>1570</v>
      </c>
      <c r="K386" s="9" t="n">
        <v>46305</v>
      </c>
      <c r="L386" s="12" t="str">
        <f aca="true">IF($O386="","",$O386-TODAY())</f>
        <v/>
      </c>
      <c r="M386" s="12" t="str">
        <f aca="true">IF(AND(TRIM($A386)="Finalized",$K386&lt;&gt;""),"",IF($D386="","",$D386+365-TODAY()))</f>
        <v/>
      </c>
      <c r="N386" s="12" t="str">
        <f aca="true">IF(AND(TRIM($A386)="Finalized",$K386&lt;&gt;""),"",IF($D386="","",$D386+120-TODAY()))</f>
        <v/>
      </c>
      <c r="O386" s="11" t="str">
        <f aca="false">IF(AND(TRIM($A386)="Finalized",$K386&lt;&gt;""),"",DATE(2027,1,19))</f>
        <v/>
      </c>
      <c r="P386" s="10" t="s">
        <v>114</v>
      </c>
      <c r="Q386" s="10" t="s">
        <v>115</v>
      </c>
      <c r="R386" s="10" t="s">
        <v>114</v>
      </c>
      <c r="S386" s="10" t="s">
        <v>116</v>
      </c>
      <c r="T386" s="10" t="s">
        <v>117</v>
      </c>
      <c r="U386" s="10" t="s">
        <v>116</v>
      </c>
      <c r="V386" s="10" t="s">
        <v>118</v>
      </c>
      <c r="W386" s="10" t="s">
        <v>434</v>
      </c>
      <c r="X386" s="10"/>
      <c r="Y386" s="10"/>
      <c r="Z386" s="10"/>
      <c r="AA386" s="10" t="s">
        <v>197</v>
      </c>
      <c r="AB386" s="8" t="n">
        <f aca="true">IF($F386="","",TODAY()-$F386)</f>
        <v>270</v>
      </c>
      <c r="AC386" s="10" t="s">
        <v>443</v>
      </c>
      <c r="AD386" s="10"/>
      <c r="AE386" s="10"/>
      <c r="AF386" s="10"/>
      <c r="AG386" s="10"/>
      <c r="AH386" s="10"/>
      <c r="AI386" s="10"/>
      <c r="AJ386" s="10" t="s">
        <v>444</v>
      </c>
      <c r="AK386" s="10" t="s">
        <v>445</v>
      </c>
      <c r="AL386" s="10" t="s">
        <v>446</v>
      </c>
      <c r="AM386" s="10"/>
      <c r="AN386" s="8" t="n">
        <v>565292656</v>
      </c>
      <c r="AO386" s="10" t="s">
        <v>447</v>
      </c>
      <c r="AP386" s="10" t="s">
        <v>175</v>
      </c>
      <c r="AQ386" s="11" t="n">
        <v>46062</v>
      </c>
      <c r="AR386" s="13"/>
      <c r="AS386" s="13"/>
      <c r="AT386" s="13"/>
      <c r="AU386" s="13"/>
      <c r="AV386" s="13" t="s">
        <v>443</v>
      </c>
      <c r="AW386" s="13"/>
      <c r="AX386" s="13" t="s">
        <v>443</v>
      </c>
      <c r="AY386" s="7" t="s">
        <v>363</v>
      </c>
      <c r="AZ386" s="7"/>
      <c r="BA386" s="7"/>
      <c r="BB386" s="7"/>
      <c r="BC386" s="7"/>
      <c r="BD386" s="9"/>
      <c r="BE386" s="7"/>
      <c r="BF386" s="14" t="str">
        <f aca="true">IF(TRIM($A386)="Finalized","Closed",IF($BD386="","No review date set",IF($BD386&lt;TODAY(),"OVERDUE",IF($BD386-TODAY()&lt;=7,"Due within 7 days","Scheduled"))))</f>
        <v>Closed</v>
      </c>
      <c r="BG386" s="14" t="n">
        <f aca="true">IF($K386="","",TODAY()-$K386)</f>
        <v>6</v>
      </c>
      <c r="BH386" s="15" t="str">
        <f aca="false">IFERROR(LEFT(IF($B386="","Notes, ","")&amp;IF($K386="","Latest Date Worked, ","")&amp;IF($AY386="","Last Action, ","")&amp;IF(AND(OR(TRIM($A386)="Denied",TRIM($A386)="Rejected"),$BA386=""),"Denial Reason, ","")&amp;IF(AND(TRIM($A386)="Denied",$BB386="",TRIM($BA386)&lt;&gt;"NO DENIAL"),"Denial Code, ","")&amp;IF(AND(TRIM($A386)&lt;&gt;"Finalized",$BD386=""),"Next Review Date, ","")&amp;IF(AND(TRIM($A386)&lt;&gt;"Finalized",$BE386=""),"Next Step, ","")&amp;IF(AND(TRIM($A386)="Finalized",$AV386="",$AR386="",$AT386="",$AX386="",$AW386=""),"CPT outcome, ",""),LEN(IF($B386="","Notes, ","")&amp;IF($K386="","Latest Date Worked, ","")&amp;IF($AY386="","Last Action, ","")&amp;IF(AND(OR(TRIM($A386)="Denied",TRIM($A386)="Rejected"),$BA386=""),"Denial Reason, ","")&amp;IF(AND(TRIM($A386)="Denied",$BB386="",TRIM($BA386)&lt;&gt;"NO DENIAL"),"Denial Code, ","")&amp;IF(AND(TRIM($A386)&lt;&gt;"Finalized",$BD386=""),"Next Review Date, ","")&amp;IF(AND(TRIM($A386)&lt;&gt;"Finalized",$BE386=""),"Next Step, ","")&amp;IF(AND(TRIM($A386)="Finalized",$AV386="",$AR386="",$AT386="",$AX386="",$AW386=""),"CPT outcome, ",""))-2),"")</f>
        <v/>
      </c>
      <c r="BI386" s="15" t="str">
        <f aca="false">IF($BB386="","",IFERROR(INDEX('Denial Codes'!$C:$C,MATCH(LEFT($BB386,FIND(" - ",$BB386&amp;" - ")+2)&amp;"*",'Denial Codes'!$A:$A,0)),""))</f>
        <v/>
      </c>
      <c r="BJ386" s="15" t="str">
        <f aca="false">IF($BA386="","",IFERROR(INDEX(Lists!$B:$B,MATCH(TRIM($BA386),Lists!$A:$A,0))&amp;"",""))</f>
        <v/>
      </c>
    </row>
    <row r="387" customFormat="false" ht="15" hidden="false" customHeight="false" outlineLevel="0" collapsed="false">
      <c r="A387" s="7" t="s">
        <v>16</v>
      </c>
      <c r="B387" s="7" t="s">
        <v>465</v>
      </c>
      <c r="C387" s="8" t="n">
        <v>548883662</v>
      </c>
      <c r="D387" s="9" t="n">
        <v>46135</v>
      </c>
      <c r="E387" s="10" t="s">
        <v>1571</v>
      </c>
      <c r="F387" s="11" t="n">
        <v>46041</v>
      </c>
      <c r="G387" s="10" t="s">
        <v>1289</v>
      </c>
      <c r="H387" s="10" t="s">
        <v>260</v>
      </c>
      <c r="I387" s="10" t="s">
        <v>1289</v>
      </c>
      <c r="J387" s="10" t="s">
        <v>1572</v>
      </c>
      <c r="K387" s="9" t="n">
        <v>46305</v>
      </c>
      <c r="L387" s="12" t="str">
        <f aca="true">IF($O387="","",$O387-TODAY())</f>
        <v/>
      </c>
      <c r="M387" s="12" t="str">
        <f aca="true">IF(AND(TRIM($A387)="Finalized",$K387&lt;&gt;""),"",IF($D387="","",$D387+365-TODAY()))</f>
        <v/>
      </c>
      <c r="N387" s="12" t="str">
        <f aca="true">IF(AND(TRIM($A387)="Finalized",$K387&lt;&gt;""),"",IF($D387="","",$D387+120-TODAY()))</f>
        <v/>
      </c>
      <c r="O387" s="11" t="str">
        <f aca="false">IF(AND(TRIM($A387)="Finalized",$K387&lt;&gt;""),"",DATE(2027,1,19))</f>
        <v/>
      </c>
      <c r="P387" s="10" t="s">
        <v>114</v>
      </c>
      <c r="Q387" s="10" t="s">
        <v>115</v>
      </c>
      <c r="R387" s="10" t="s">
        <v>114</v>
      </c>
      <c r="S387" s="10" t="s">
        <v>116</v>
      </c>
      <c r="T387" s="10" t="s">
        <v>117</v>
      </c>
      <c r="U387" s="10" t="s">
        <v>116</v>
      </c>
      <c r="V387" s="10" t="s">
        <v>118</v>
      </c>
      <c r="W387" s="10" t="s">
        <v>434</v>
      </c>
      <c r="X387" s="10" t="s">
        <v>478</v>
      </c>
      <c r="Y387" s="10" t="s">
        <v>479</v>
      </c>
      <c r="Z387" s="10" t="s">
        <v>436</v>
      </c>
      <c r="AA387" s="10" t="s">
        <v>656</v>
      </c>
      <c r="AB387" s="8" t="n">
        <f aca="true">IF($F387="","",TODAY()-$F387)</f>
        <v>270</v>
      </c>
      <c r="AC387" s="10" t="s">
        <v>443</v>
      </c>
      <c r="AD387" s="10" t="s">
        <v>441</v>
      </c>
      <c r="AE387" s="10" t="s">
        <v>439</v>
      </c>
      <c r="AF387" s="10" t="s">
        <v>438</v>
      </c>
      <c r="AG387" s="10" t="s">
        <v>657</v>
      </c>
      <c r="AH387" s="10" t="s">
        <v>440</v>
      </c>
      <c r="AI387" s="10" t="s">
        <v>442</v>
      </c>
      <c r="AJ387" s="10" t="s">
        <v>444</v>
      </c>
      <c r="AK387" s="10" t="s">
        <v>445</v>
      </c>
      <c r="AL387" s="10" t="s">
        <v>446</v>
      </c>
      <c r="AM387" s="10"/>
      <c r="AN387" s="8" t="n">
        <v>551561155</v>
      </c>
      <c r="AO387" s="10" t="s">
        <v>447</v>
      </c>
      <c r="AP387" s="10" t="s">
        <v>175</v>
      </c>
      <c r="AQ387" s="11" t="n">
        <v>46062</v>
      </c>
      <c r="AR387" s="13"/>
      <c r="AS387" s="13"/>
      <c r="AT387" s="13"/>
      <c r="AU387" s="13"/>
      <c r="AV387" s="13" t="s">
        <v>1573</v>
      </c>
      <c r="AW387" s="13"/>
      <c r="AX387" s="13" t="s">
        <v>1573</v>
      </c>
      <c r="AY387" s="7" t="s">
        <v>363</v>
      </c>
      <c r="AZ387" s="7"/>
      <c r="BA387" s="7"/>
      <c r="BB387" s="7"/>
      <c r="BC387" s="7"/>
      <c r="BD387" s="9"/>
      <c r="BE387" s="7"/>
      <c r="BF387" s="14" t="str">
        <f aca="true">IF(TRIM($A387)="Finalized","Closed",IF($BD387="","No review date set",IF($BD387&lt;TODAY(),"OVERDUE",IF($BD387-TODAY()&lt;=7,"Due within 7 days","Scheduled"))))</f>
        <v>Closed</v>
      </c>
      <c r="BG387" s="14" t="n">
        <f aca="true">IF($K387="","",TODAY()-$K387)</f>
        <v>6</v>
      </c>
      <c r="BH387" s="15" t="str">
        <f aca="false">IFERROR(LEFT(IF($B387="","Notes, ","")&amp;IF($K387="","Latest Date Worked, ","")&amp;IF($AY387="","Last Action, ","")&amp;IF(AND(OR(TRIM($A387)="Denied",TRIM($A387)="Rejected"),$BA387=""),"Denial Reason, ","")&amp;IF(AND(TRIM($A387)="Denied",$BB387="",TRIM($BA387)&lt;&gt;"NO DENIAL"),"Denial Code, ","")&amp;IF(AND(TRIM($A387)&lt;&gt;"Finalized",$BD387=""),"Next Review Date, ","")&amp;IF(AND(TRIM($A387)&lt;&gt;"Finalized",$BE387=""),"Next Step, ","")&amp;IF(AND(TRIM($A387)="Finalized",$AV387="",$AR387="",$AT387="",$AX387="",$AW387=""),"CPT outcome, ",""),LEN(IF($B387="","Notes, ","")&amp;IF($K387="","Latest Date Worked, ","")&amp;IF($AY387="","Last Action, ","")&amp;IF(AND(OR(TRIM($A387)="Denied",TRIM($A387)="Rejected"),$BA387=""),"Denial Reason, ","")&amp;IF(AND(TRIM($A387)="Denied",$BB387="",TRIM($BA387)&lt;&gt;"NO DENIAL"),"Denial Code, ","")&amp;IF(AND(TRIM($A387)&lt;&gt;"Finalized",$BD387=""),"Next Review Date, ","")&amp;IF(AND(TRIM($A387)&lt;&gt;"Finalized",$BE387=""),"Next Step, ","")&amp;IF(AND(TRIM($A387)="Finalized",$AV387="",$AR387="",$AT387="",$AX387="",$AW387=""),"CPT outcome, ",""))-2),"")</f>
        <v/>
      </c>
      <c r="BI387" s="15" t="str">
        <f aca="false">IF($BB387="","",IFERROR(INDEX('Denial Codes'!$C:$C,MATCH(LEFT($BB387,FIND(" - ",$BB387&amp;" - ")+2)&amp;"*",'Denial Codes'!$A:$A,0)),""))</f>
        <v/>
      </c>
      <c r="BJ387" s="15" t="str">
        <f aca="false">IF($BA387="","",IFERROR(INDEX(Lists!$B:$B,MATCH(TRIM($BA387),Lists!$A:$A,0))&amp;"",""))</f>
        <v/>
      </c>
    </row>
    <row r="388" customFormat="false" ht="15" hidden="false" customHeight="false" outlineLevel="0" collapsed="false">
      <c r="A388" s="7" t="s">
        <v>16</v>
      </c>
      <c r="B388" s="7" t="s">
        <v>465</v>
      </c>
      <c r="C388" s="8" t="n">
        <v>548916508</v>
      </c>
      <c r="D388" s="9" t="n">
        <v>46120</v>
      </c>
      <c r="E388" s="10" t="s">
        <v>1574</v>
      </c>
      <c r="F388" s="11" t="n">
        <v>46041</v>
      </c>
      <c r="G388" s="10" t="s">
        <v>1575</v>
      </c>
      <c r="H388" s="10" t="s">
        <v>260</v>
      </c>
      <c r="I388" s="10" t="s">
        <v>1575</v>
      </c>
      <c r="J388" s="10" t="s">
        <v>1576</v>
      </c>
      <c r="K388" s="9" t="n">
        <v>46305</v>
      </c>
      <c r="L388" s="12" t="str">
        <f aca="true">IF($O388="","",$O388-TODAY())</f>
        <v/>
      </c>
      <c r="M388" s="12" t="str">
        <f aca="true">IF(AND(TRIM($A388)="Finalized",$K388&lt;&gt;""),"",IF($D388="","",$D388+365-TODAY()))</f>
        <v/>
      </c>
      <c r="N388" s="12" t="str">
        <f aca="true">IF(AND(TRIM($A388)="Finalized",$K388&lt;&gt;""),"",IF($D388="","",$D388+120-TODAY()))</f>
        <v/>
      </c>
      <c r="O388" s="11" t="str">
        <f aca="false">IF(AND(TRIM($A388)="Finalized",$K388&lt;&gt;""),"",DATE(2027,1,19))</f>
        <v/>
      </c>
      <c r="P388" s="10" t="s">
        <v>114</v>
      </c>
      <c r="Q388" s="10" t="s">
        <v>115</v>
      </c>
      <c r="R388" s="10" t="s">
        <v>114</v>
      </c>
      <c r="S388" s="10" t="s">
        <v>116</v>
      </c>
      <c r="T388" s="10" t="s">
        <v>117</v>
      </c>
      <c r="U388" s="10" t="s">
        <v>116</v>
      </c>
      <c r="V388" s="10" t="s">
        <v>118</v>
      </c>
      <c r="W388" s="10" t="s">
        <v>434</v>
      </c>
      <c r="X388" s="10" t="s">
        <v>478</v>
      </c>
      <c r="Y388" s="10" t="s">
        <v>479</v>
      </c>
      <c r="Z388" s="10" t="s">
        <v>436</v>
      </c>
      <c r="AA388" s="10" t="s">
        <v>656</v>
      </c>
      <c r="AB388" s="8" t="n">
        <f aca="true">IF($F388="","",TODAY()-$F388)</f>
        <v>270</v>
      </c>
      <c r="AC388" s="10" t="s">
        <v>439</v>
      </c>
      <c r="AD388" s="10" t="s">
        <v>441</v>
      </c>
      <c r="AE388" s="10" t="s">
        <v>438</v>
      </c>
      <c r="AF388" s="10" t="s">
        <v>442</v>
      </c>
      <c r="AG388" s="10" t="s">
        <v>657</v>
      </c>
      <c r="AH388" s="10" t="s">
        <v>440</v>
      </c>
      <c r="AI388" s="10" t="s">
        <v>443</v>
      </c>
      <c r="AJ388" s="10" t="s">
        <v>444</v>
      </c>
      <c r="AK388" s="10" t="s">
        <v>445</v>
      </c>
      <c r="AL388" s="10" t="s">
        <v>446</v>
      </c>
      <c r="AM388" s="10"/>
      <c r="AN388" s="8" t="n">
        <v>565292638</v>
      </c>
      <c r="AO388" s="10" t="s">
        <v>447</v>
      </c>
      <c r="AP388" s="10" t="s">
        <v>175</v>
      </c>
      <c r="AQ388" s="11" t="n">
        <v>46062</v>
      </c>
      <c r="AR388" s="13"/>
      <c r="AS388" s="13"/>
      <c r="AT388" s="13"/>
      <c r="AU388" s="13"/>
      <c r="AV388" s="13" t="s">
        <v>1577</v>
      </c>
      <c r="AW388" s="13"/>
      <c r="AX388" s="13" t="s">
        <v>1577</v>
      </c>
      <c r="AY388" s="7" t="s">
        <v>363</v>
      </c>
      <c r="AZ388" s="7"/>
      <c r="BA388" s="7"/>
      <c r="BB388" s="7"/>
      <c r="BC388" s="7"/>
      <c r="BD388" s="9"/>
      <c r="BE388" s="7"/>
      <c r="BF388" s="14" t="str">
        <f aca="true">IF(TRIM($A388)="Finalized","Closed",IF($BD388="","No review date set",IF($BD388&lt;TODAY(),"OVERDUE",IF($BD388-TODAY()&lt;=7,"Due within 7 days","Scheduled"))))</f>
        <v>Closed</v>
      </c>
      <c r="BG388" s="14" t="n">
        <f aca="true">IF($K388="","",TODAY()-$K388)</f>
        <v>6</v>
      </c>
      <c r="BH388" s="15" t="str">
        <f aca="false">IFERROR(LEFT(IF($B388="","Notes, ","")&amp;IF($K388="","Latest Date Worked, ","")&amp;IF($AY388="","Last Action, ","")&amp;IF(AND(OR(TRIM($A388)="Denied",TRIM($A388)="Rejected"),$BA388=""),"Denial Reason, ","")&amp;IF(AND(TRIM($A388)="Denied",$BB388="",TRIM($BA388)&lt;&gt;"NO DENIAL"),"Denial Code, ","")&amp;IF(AND(TRIM($A388)&lt;&gt;"Finalized",$BD388=""),"Next Review Date, ","")&amp;IF(AND(TRIM($A388)&lt;&gt;"Finalized",$BE388=""),"Next Step, ","")&amp;IF(AND(TRIM($A388)="Finalized",$AV388="",$AR388="",$AT388="",$AX388="",$AW388=""),"CPT outcome, ",""),LEN(IF($B388="","Notes, ","")&amp;IF($K388="","Latest Date Worked, ","")&amp;IF($AY388="","Last Action, ","")&amp;IF(AND(OR(TRIM($A388)="Denied",TRIM($A388)="Rejected"),$BA388=""),"Denial Reason, ","")&amp;IF(AND(TRIM($A388)="Denied",$BB388="",TRIM($BA388)&lt;&gt;"NO DENIAL"),"Denial Code, ","")&amp;IF(AND(TRIM($A388)&lt;&gt;"Finalized",$BD388=""),"Next Review Date, ","")&amp;IF(AND(TRIM($A388)&lt;&gt;"Finalized",$BE388=""),"Next Step, ","")&amp;IF(AND(TRIM($A388)="Finalized",$AV388="",$AR388="",$AT388="",$AX388="",$AW388=""),"CPT outcome, ",""))-2),"")</f>
        <v/>
      </c>
      <c r="BI388" s="15" t="str">
        <f aca="false">IF($BB388="","",IFERROR(INDEX('Denial Codes'!$C:$C,MATCH(LEFT($BB388,FIND(" - ",$BB388&amp;" - ")+2)&amp;"*",'Denial Codes'!$A:$A,0)),""))</f>
        <v/>
      </c>
      <c r="BJ388" s="15" t="str">
        <f aca="false">IF($BA388="","",IFERROR(INDEX(Lists!$B:$B,MATCH(TRIM($BA388),Lists!$A:$A,0))&amp;"",""))</f>
        <v/>
      </c>
    </row>
    <row r="389" customFormat="false" ht="15" hidden="false" customHeight="false" outlineLevel="0" collapsed="false">
      <c r="A389" s="7" t="s">
        <v>16</v>
      </c>
      <c r="B389" s="7" t="s">
        <v>1578</v>
      </c>
      <c r="C389" s="8" t="n">
        <v>552345092</v>
      </c>
      <c r="D389" s="9" t="n">
        <v>46099</v>
      </c>
      <c r="E389" s="10" t="s">
        <v>1579</v>
      </c>
      <c r="F389" s="11" t="n">
        <v>46048</v>
      </c>
      <c r="G389" s="10" t="s">
        <v>271</v>
      </c>
      <c r="H389" s="10" t="s">
        <v>260</v>
      </c>
      <c r="I389" s="10" t="s">
        <v>271</v>
      </c>
      <c r="J389" s="10" t="s">
        <v>1580</v>
      </c>
      <c r="K389" s="9" t="n">
        <v>46305</v>
      </c>
      <c r="L389" s="12" t="str">
        <f aca="true">IF($O389="","",$O389-TODAY())</f>
        <v/>
      </c>
      <c r="M389" s="12" t="str">
        <f aca="true">IF(AND(TRIM($A389)="Finalized",$K389&lt;&gt;""),"",IF($D389="","",$D389+365-TODAY()))</f>
        <v/>
      </c>
      <c r="N389" s="12" t="str">
        <f aca="true">IF(AND(TRIM($A389)="Finalized",$K389&lt;&gt;""),"",IF($D389="","",$D389+120-TODAY()))</f>
        <v/>
      </c>
      <c r="O389" s="11" t="str">
        <f aca="false">IF(AND(TRIM($A389)="Finalized",$K389&lt;&gt;""),"",DATE(2027,1,26))</f>
        <v/>
      </c>
      <c r="P389" s="10" t="s">
        <v>114</v>
      </c>
      <c r="Q389" s="10" t="s">
        <v>115</v>
      </c>
      <c r="R389" s="10" t="s">
        <v>114</v>
      </c>
      <c r="S389" s="10" t="s">
        <v>116</v>
      </c>
      <c r="T389" s="10" t="s">
        <v>117</v>
      </c>
      <c r="U389" s="10" t="s">
        <v>116</v>
      </c>
      <c r="V389" s="10" t="s">
        <v>118</v>
      </c>
      <c r="W389" s="10" t="s">
        <v>434</v>
      </c>
      <c r="X389" s="10" t="s">
        <v>1581</v>
      </c>
      <c r="Y389" s="10"/>
      <c r="Z389" s="10"/>
      <c r="AA389" s="10" t="s">
        <v>197</v>
      </c>
      <c r="AB389" s="8" t="n">
        <f aca="true">IF($F389="","",TODAY()-$F389)</f>
        <v>263</v>
      </c>
      <c r="AC389" s="10" t="s">
        <v>443</v>
      </c>
      <c r="AD389" s="10" t="s">
        <v>440</v>
      </c>
      <c r="AE389" s="10" t="s">
        <v>1582</v>
      </c>
      <c r="AF389" s="10"/>
      <c r="AG389" s="10"/>
      <c r="AH389" s="10"/>
      <c r="AI389" s="10"/>
      <c r="AJ389" s="10" t="s">
        <v>444</v>
      </c>
      <c r="AK389" s="10" t="s">
        <v>445</v>
      </c>
      <c r="AL389" s="10" t="s">
        <v>446</v>
      </c>
      <c r="AM389" s="10" t="s">
        <v>1583</v>
      </c>
      <c r="AN389" s="8" t="n">
        <v>551630154</v>
      </c>
      <c r="AO389" s="10" t="s">
        <v>447</v>
      </c>
      <c r="AP389" s="10" t="s">
        <v>175</v>
      </c>
      <c r="AQ389" s="11" t="n">
        <v>46063</v>
      </c>
      <c r="AR389" s="13" t="s">
        <v>443</v>
      </c>
      <c r="AS389" s="13" t="s">
        <v>1584</v>
      </c>
      <c r="AT389" s="13"/>
      <c r="AU389" s="13"/>
      <c r="AV389" s="13" t="s">
        <v>1585</v>
      </c>
      <c r="AW389" s="13"/>
      <c r="AX389" s="13" t="s">
        <v>1585</v>
      </c>
      <c r="AY389" s="7" t="s">
        <v>465</v>
      </c>
      <c r="AZ389" s="7" t="s">
        <v>159</v>
      </c>
      <c r="BA389" s="7" t="s">
        <v>37</v>
      </c>
      <c r="BB389" s="7" t="s">
        <v>1584</v>
      </c>
      <c r="BC389" s="7"/>
      <c r="BD389" s="9"/>
      <c r="BE389" s="7"/>
      <c r="BF389" s="14" t="str">
        <f aca="true">IF(TRIM($A389)="Finalized","Closed",IF($BD389="","No review date set",IF($BD389&lt;TODAY(),"OVERDUE",IF($BD389-TODAY()&lt;=7,"Due within 7 days","Scheduled"))))</f>
        <v>Closed</v>
      </c>
      <c r="BG389" s="14" t="n">
        <f aca="true">IF($K389="","",TODAY()-$K389)</f>
        <v>6</v>
      </c>
      <c r="BH389" s="15" t="str">
        <f aca="false">IFERROR(LEFT(IF($B389="","Notes, ","")&amp;IF($K389="","Latest Date Worked, ","")&amp;IF($AY389="","Last Action, ","")&amp;IF(AND(OR(TRIM($A389)="Denied",TRIM($A389)="Rejected"),$BA389=""),"Denial Reason, ","")&amp;IF(AND(TRIM($A389)="Denied",$BB389="",TRIM($BA389)&lt;&gt;"NO DENIAL"),"Denial Code, ","")&amp;IF(AND(TRIM($A389)&lt;&gt;"Finalized",$BD389=""),"Next Review Date, ","")&amp;IF(AND(TRIM($A389)&lt;&gt;"Finalized",$BE389=""),"Next Step, ","")&amp;IF(AND(TRIM($A389)="Finalized",$AV389="",$AR389="",$AT389="",$AX389="",$AW389=""),"CPT outcome, ",""),LEN(IF($B389="","Notes, ","")&amp;IF($K389="","Latest Date Worked, ","")&amp;IF($AY389="","Last Action, ","")&amp;IF(AND(OR(TRIM($A389)="Denied",TRIM($A389)="Rejected"),$BA389=""),"Denial Reason, ","")&amp;IF(AND(TRIM($A389)="Denied",$BB389="",TRIM($BA389)&lt;&gt;"NO DENIAL"),"Denial Code, ","")&amp;IF(AND(TRIM($A389)&lt;&gt;"Finalized",$BD389=""),"Next Review Date, ","")&amp;IF(AND(TRIM($A389)&lt;&gt;"Finalized",$BE389=""),"Next Step, ","")&amp;IF(AND(TRIM($A389)="Finalized",$AV389="",$AR389="",$AT389="",$AX389="",$AW389=""),"CPT outcome, ",""))-2),"")</f>
        <v/>
      </c>
      <c r="BI389" s="15" t="str">
        <f aca="false">IF($BB389="","",IFERROR(INDEX('Denial Codes'!$C:$C,MATCH(LEFT($BB389,FIND(" - ",$BB389&amp;" - ")+2)&amp;"*",'Denial Codes'!$A:$A,0)),""))</f>
        <v/>
      </c>
      <c r="BJ389" s="15" t="str">
        <f aca="false">IF($BA389="","",IFERROR(INDEX(Lists!$B:$B,MATCH(TRIM($BA389),Lists!$A:$A,0))&amp;"",""))</f>
        <v>Check the NCCI pair; if the service was distinct, add 59/XU (or XS) and resubmit; otherwise adjust.</v>
      </c>
    </row>
    <row r="390" customFormat="false" ht="15" hidden="false" customHeight="false" outlineLevel="0" collapsed="false">
      <c r="A390" s="7" t="s">
        <v>16</v>
      </c>
      <c r="B390" s="7" t="s">
        <v>465</v>
      </c>
      <c r="C390" s="8" t="n">
        <v>549217008</v>
      </c>
      <c r="D390" s="9" t="n">
        <v>46135</v>
      </c>
      <c r="E390" s="10" t="s">
        <v>1574</v>
      </c>
      <c r="F390" s="11" t="n">
        <v>46055</v>
      </c>
      <c r="G390" s="10" t="s">
        <v>1575</v>
      </c>
      <c r="H390" s="10" t="s">
        <v>260</v>
      </c>
      <c r="I390" s="10" t="s">
        <v>1575</v>
      </c>
      <c r="J390" s="10" t="s">
        <v>1378</v>
      </c>
      <c r="K390" s="9" t="n">
        <v>46305</v>
      </c>
      <c r="L390" s="12" t="str">
        <f aca="true">IF($O390="","",$O390-TODAY())</f>
        <v/>
      </c>
      <c r="M390" s="12" t="str">
        <f aca="true">IF(AND(TRIM($A390)="Finalized",$K390&lt;&gt;""),"",IF($D390="","",$D390+365-TODAY()))</f>
        <v/>
      </c>
      <c r="N390" s="12" t="str">
        <f aca="true">IF(AND(TRIM($A390)="Finalized",$K390&lt;&gt;""),"",IF($D390="","",$D390+120-TODAY()))</f>
        <v/>
      </c>
      <c r="O390" s="11" t="str">
        <f aca="false">IF(AND(TRIM($A390)="Finalized",$K390&lt;&gt;""),"",DATE(2027,2,2))</f>
        <v/>
      </c>
      <c r="P390" s="10" t="s">
        <v>114</v>
      </c>
      <c r="Q390" s="10" t="s">
        <v>115</v>
      </c>
      <c r="R390" s="10" t="s">
        <v>114</v>
      </c>
      <c r="S390" s="10" t="s">
        <v>116</v>
      </c>
      <c r="T390" s="10" t="s">
        <v>117</v>
      </c>
      <c r="U390" s="10" t="s">
        <v>116</v>
      </c>
      <c r="V390" s="10" t="s">
        <v>150</v>
      </c>
      <c r="W390" s="10" t="s">
        <v>434</v>
      </c>
      <c r="X390" s="10" t="s">
        <v>478</v>
      </c>
      <c r="Y390" s="10" t="s">
        <v>620</v>
      </c>
      <c r="Z390" s="10" t="s">
        <v>621</v>
      </c>
      <c r="AA390" s="10" t="s">
        <v>683</v>
      </c>
      <c r="AB390" s="8" t="n">
        <f aca="true">IF($F390="","",TODAY()-$F390)</f>
        <v>256</v>
      </c>
      <c r="AC390" s="10" t="s">
        <v>441</v>
      </c>
      <c r="AD390" s="10" t="s">
        <v>440</v>
      </c>
      <c r="AE390" s="10" t="s">
        <v>442</v>
      </c>
      <c r="AF390" s="10" t="s">
        <v>443</v>
      </c>
      <c r="AG390" s="10" t="s">
        <v>657</v>
      </c>
      <c r="AH390" s="10" t="s">
        <v>438</v>
      </c>
      <c r="AI390" s="10" t="s">
        <v>439</v>
      </c>
      <c r="AJ390" s="10" t="s">
        <v>579</v>
      </c>
      <c r="AK390" s="10" t="s">
        <v>445</v>
      </c>
      <c r="AL390" s="10" t="s">
        <v>622</v>
      </c>
      <c r="AM390" s="10"/>
      <c r="AN390" s="8" t="n">
        <v>551630132</v>
      </c>
      <c r="AO390" s="10" t="s">
        <v>447</v>
      </c>
      <c r="AP390" s="10" t="s">
        <v>175</v>
      </c>
      <c r="AQ390" s="11" t="n">
        <v>46064</v>
      </c>
      <c r="AR390" s="13"/>
      <c r="AS390" s="13"/>
      <c r="AT390" s="13"/>
      <c r="AU390" s="13"/>
      <c r="AV390" s="13" t="s">
        <v>1586</v>
      </c>
      <c r="AW390" s="13"/>
      <c r="AX390" s="13" t="s">
        <v>1586</v>
      </c>
      <c r="AY390" s="7" t="s">
        <v>363</v>
      </c>
      <c r="AZ390" s="7"/>
      <c r="BA390" s="7"/>
      <c r="BB390" s="7"/>
      <c r="BC390" s="7"/>
      <c r="BD390" s="9"/>
      <c r="BE390" s="7"/>
      <c r="BF390" s="14" t="str">
        <f aca="true">IF(TRIM($A390)="Finalized","Closed",IF($BD390="","No review date set",IF($BD390&lt;TODAY(),"OVERDUE",IF($BD390-TODAY()&lt;=7,"Due within 7 days","Scheduled"))))</f>
        <v>Closed</v>
      </c>
      <c r="BG390" s="14" t="n">
        <f aca="true">IF($K390="","",TODAY()-$K390)</f>
        <v>6</v>
      </c>
      <c r="BH390" s="15" t="str">
        <f aca="false">IFERROR(LEFT(IF($B390="","Notes, ","")&amp;IF($K390="","Latest Date Worked, ","")&amp;IF($AY390="","Last Action, ","")&amp;IF(AND(OR(TRIM($A390)="Denied",TRIM($A390)="Rejected"),$BA390=""),"Denial Reason, ","")&amp;IF(AND(TRIM($A390)="Denied",$BB390="",TRIM($BA390)&lt;&gt;"NO DENIAL"),"Denial Code, ","")&amp;IF(AND(TRIM($A390)&lt;&gt;"Finalized",$BD390=""),"Next Review Date, ","")&amp;IF(AND(TRIM($A390)&lt;&gt;"Finalized",$BE390=""),"Next Step, ","")&amp;IF(AND(TRIM($A390)="Finalized",$AV390="",$AR390="",$AT390="",$AX390="",$AW390=""),"CPT outcome, ",""),LEN(IF($B390="","Notes, ","")&amp;IF($K390="","Latest Date Worked, ","")&amp;IF($AY390="","Last Action, ","")&amp;IF(AND(OR(TRIM($A390)="Denied",TRIM($A390)="Rejected"),$BA390=""),"Denial Reason, ","")&amp;IF(AND(TRIM($A390)="Denied",$BB390="",TRIM($BA390)&lt;&gt;"NO DENIAL"),"Denial Code, ","")&amp;IF(AND(TRIM($A390)&lt;&gt;"Finalized",$BD390=""),"Next Review Date, ","")&amp;IF(AND(TRIM($A390)&lt;&gt;"Finalized",$BE390=""),"Next Step, ","")&amp;IF(AND(TRIM($A390)="Finalized",$AV390="",$AR390="",$AT390="",$AX390="",$AW390=""),"CPT outcome, ",""))-2),"")</f>
        <v/>
      </c>
      <c r="BI390" s="15" t="str">
        <f aca="false">IF($BB390="","",IFERROR(INDEX('Denial Codes'!$C:$C,MATCH(LEFT($BB390,FIND(" - ",$BB390&amp;" - ")+2)&amp;"*",'Denial Codes'!$A:$A,0)),""))</f>
        <v/>
      </c>
      <c r="BJ390" s="15" t="str">
        <f aca="false">IF($BA390="","",IFERROR(INDEX(Lists!$B:$B,MATCH(TRIM($BA390),Lists!$A:$A,0))&amp;"",""))</f>
        <v/>
      </c>
    </row>
    <row r="391" customFormat="false" ht="15" hidden="false" customHeight="false" outlineLevel="0" collapsed="false">
      <c r="A391" s="7" t="s">
        <v>16</v>
      </c>
      <c r="B391" s="7" t="s">
        <v>1587</v>
      </c>
      <c r="C391" s="8" t="n">
        <v>564672683</v>
      </c>
      <c r="D391" s="9" t="n">
        <v>46247</v>
      </c>
      <c r="E391" s="10" t="s">
        <v>1588</v>
      </c>
      <c r="F391" s="11" t="n">
        <v>46181</v>
      </c>
      <c r="G391" s="10" t="s">
        <v>112</v>
      </c>
      <c r="H391" s="10" t="s">
        <v>112</v>
      </c>
      <c r="I391" s="10" t="s">
        <v>227</v>
      </c>
      <c r="J391" s="10" t="s">
        <v>113</v>
      </c>
      <c r="K391" s="9" t="n">
        <v>46307</v>
      </c>
      <c r="L391" s="12" t="str">
        <f aca="true">IF($O391="","",$O391-TODAY())</f>
        <v/>
      </c>
      <c r="M391" s="12" t="str">
        <f aca="true">IF(AND(TRIM($A391)="Finalized",$K391&lt;&gt;""),"",IF($D391="","",$D391+365-TODAY()))</f>
        <v/>
      </c>
      <c r="N391" s="12" t="str">
        <f aca="true">IF(AND(TRIM($A391)="Finalized",$K391&lt;&gt;""),"",IF($D391="","",$D391+120-TODAY()))</f>
        <v/>
      </c>
      <c r="O391" s="11" t="str">
        <f aca="false">IF(AND(TRIM($A391)="Finalized",$K391&lt;&gt;""),"",DATE(2027,6,8))</f>
        <v/>
      </c>
      <c r="P391" s="10" t="s">
        <v>114</v>
      </c>
      <c r="Q391" s="10" t="s">
        <v>115</v>
      </c>
      <c r="R391" s="10" t="s">
        <v>114</v>
      </c>
      <c r="S391" s="10" t="s">
        <v>116</v>
      </c>
      <c r="T391" s="10" t="s">
        <v>117</v>
      </c>
      <c r="U391" s="10" t="s">
        <v>116</v>
      </c>
      <c r="V391" s="10" t="s">
        <v>303</v>
      </c>
      <c r="W391" s="10" t="s">
        <v>119</v>
      </c>
      <c r="X391" s="10" t="s">
        <v>120</v>
      </c>
      <c r="Y391" s="10"/>
      <c r="Z391" s="10"/>
      <c r="AA391" s="10" t="s">
        <v>121</v>
      </c>
      <c r="AB391" s="8" t="n">
        <f aca="true">IF($F391="","",TODAY()-$F391)</f>
        <v>130</v>
      </c>
      <c r="AC391" s="10" t="s">
        <v>122</v>
      </c>
      <c r="AD391" s="10"/>
      <c r="AE391" s="10"/>
      <c r="AF391" s="10"/>
      <c r="AG391" s="10"/>
      <c r="AH391" s="10"/>
      <c r="AI391" s="10"/>
      <c r="AJ391" s="10" t="s">
        <v>123</v>
      </c>
      <c r="AK391" s="10"/>
      <c r="AL391" s="10"/>
      <c r="AM391" s="10"/>
      <c r="AN391" s="8"/>
      <c r="AO391" s="10" t="s">
        <v>125</v>
      </c>
      <c r="AP391" s="10" t="s">
        <v>126</v>
      </c>
      <c r="AQ391" s="11" t="n">
        <v>46211</v>
      </c>
      <c r="AR391" s="13"/>
      <c r="AS391" s="13"/>
      <c r="AT391" s="13"/>
      <c r="AU391" s="13"/>
      <c r="AV391" s="13"/>
      <c r="AW391" s="13"/>
      <c r="AX391" s="13" t="s">
        <v>122</v>
      </c>
      <c r="AY391" s="7" t="s">
        <v>411</v>
      </c>
      <c r="AZ391" s="7"/>
      <c r="BA391" s="7" t="s">
        <v>50</v>
      </c>
      <c r="BB391" s="7" t="s">
        <v>1589</v>
      </c>
      <c r="BC391" s="7"/>
      <c r="BD391" s="9"/>
      <c r="BE391" s="7"/>
      <c r="BF391" s="14" t="str">
        <f aca="true">IF(TRIM($A391)="Finalized","Closed",IF($BD391="","No review date set",IF($BD391&lt;TODAY(),"OVERDUE",IF($BD391-TODAY()&lt;=7,"Due within 7 days","Scheduled"))))</f>
        <v>Closed</v>
      </c>
      <c r="BG391" s="14" t="n">
        <f aca="true">IF($K391="","",TODAY()-$K391)</f>
        <v>4</v>
      </c>
      <c r="BH391" s="15" t="str">
        <f aca="false">IFERROR(LEFT(IF($B391="","Notes, ","")&amp;IF($K391="","Latest Date Worked, ","")&amp;IF($AY391="","Last Action, ","")&amp;IF(AND(OR(TRIM($A391)="Denied",TRIM($A391)="Rejected"),$BA391=""),"Denial Reason, ","")&amp;IF(AND(TRIM($A391)="Denied",$BB391="",TRIM($BA391)&lt;&gt;"NO DENIAL"),"Denial Code, ","")&amp;IF(AND(TRIM($A391)&lt;&gt;"Finalized",$BD391=""),"Next Review Date, ","")&amp;IF(AND(TRIM($A391)&lt;&gt;"Finalized",$BE391=""),"Next Step, ","")&amp;IF(AND(TRIM($A391)="Finalized",$AV391="",$AR391="",$AT391="",$AX391="",$AW391=""),"CPT outcome, ",""),LEN(IF($B391="","Notes, ","")&amp;IF($K391="","Latest Date Worked, ","")&amp;IF($AY391="","Last Action, ","")&amp;IF(AND(OR(TRIM($A391)="Denied",TRIM($A391)="Rejected"),$BA391=""),"Denial Reason, ","")&amp;IF(AND(TRIM($A391)="Denied",$BB391="",TRIM($BA391)&lt;&gt;"NO DENIAL"),"Denial Code, ","")&amp;IF(AND(TRIM($A391)&lt;&gt;"Finalized",$BD391=""),"Next Review Date, ","")&amp;IF(AND(TRIM($A391)&lt;&gt;"Finalized",$BE391=""),"Next Step, ","")&amp;IF(AND(TRIM($A391)="Finalized",$AV391="",$AR391="",$AT391="",$AX391="",$AW391=""),"CPT outcome, ",""))-2),"")</f>
        <v/>
      </c>
      <c r="BI391" s="15" t="str">
        <f aca="false">IF($BB391="","",IFERROR(INDEX('Denial Codes'!$C:$C,MATCH(LEFT($BB391,FIND(" - ",$BB391&amp;" - ")+2)&amp;"*",'Denial Codes'!$A:$A,0)),""))</f>
        <v>Place of service</v>
      </c>
      <c r="BJ391" s="15" t="str">
        <f aca="false">IF($BA391="","",IFERROR(INDEX(Lists!$B:$B,MATCH(TRIM($BA391),Lists!$A:$A,0))&amp;"",""))</f>
        <v>Verify the place of service (inpatient/outpatient) and correct the claim.</v>
      </c>
    </row>
    <row r="392" customFormat="false" ht="15" hidden="false" customHeight="false" outlineLevel="0" collapsed="false">
      <c r="A392" s="7" t="s">
        <v>16</v>
      </c>
      <c r="B392" s="7" t="s">
        <v>1543</v>
      </c>
      <c r="C392" s="8" t="n">
        <v>562699568</v>
      </c>
      <c r="D392" s="9" t="n">
        <v>46238</v>
      </c>
      <c r="E392" s="10" t="s">
        <v>1590</v>
      </c>
      <c r="F392" s="11" t="n">
        <v>46182</v>
      </c>
      <c r="G392" s="10" t="s">
        <v>112</v>
      </c>
      <c r="H392" s="10" t="s">
        <v>112</v>
      </c>
      <c r="I392" s="10" t="s">
        <v>271</v>
      </c>
      <c r="J392" s="10" t="s">
        <v>450</v>
      </c>
      <c r="K392" s="9" t="n">
        <v>46306</v>
      </c>
      <c r="L392" s="12" t="str">
        <f aca="true">IF($O392="","",$O392-TODAY())</f>
        <v/>
      </c>
      <c r="M392" s="12" t="str">
        <f aca="true">IF(AND(TRIM($A392)="Finalized",$K392&lt;&gt;""),"",IF($D392="","",$D392+365-TODAY()))</f>
        <v/>
      </c>
      <c r="N392" s="12" t="str">
        <f aca="true">IF(AND(TRIM($A392)="Finalized",$K392&lt;&gt;""),"",IF($D392="","",$D392+120-TODAY()))</f>
        <v/>
      </c>
      <c r="O392" s="11" t="str">
        <f aca="false">IF(AND(TRIM($A392)="Finalized",$K392&lt;&gt;""),"",DATE(2027,6,9))</f>
        <v/>
      </c>
      <c r="P392" s="10" t="s">
        <v>114</v>
      </c>
      <c r="Q392" s="10" t="s">
        <v>115</v>
      </c>
      <c r="R392" s="10" t="s">
        <v>114</v>
      </c>
      <c r="S392" s="10" t="s">
        <v>116</v>
      </c>
      <c r="T392" s="10" t="s">
        <v>117</v>
      </c>
      <c r="U392" s="10" t="s">
        <v>116</v>
      </c>
      <c r="V392" s="10" t="s">
        <v>303</v>
      </c>
      <c r="W392" s="10" t="s">
        <v>119</v>
      </c>
      <c r="X392" s="10" t="s">
        <v>304</v>
      </c>
      <c r="Y392" s="10"/>
      <c r="Z392" s="10"/>
      <c r="AA392" s="10" t="s">
        <v>197</v>
      </c>
      <c r="AB392" s="8" t="n">
        <f aca="true">IF($F392="","",TODAY()-$F392)</f>
        <v>129</v>
      </c>
      <c r="AC392" s="10" t="s">
        <v>451</v>
      </c>
      <c r="AD392" s="10"/>
      <c r="AE392" s="10"/>
      <c r="AF392" s="10"/>
      <c r="AG392" s="10"/>
      <c r="AH392" s="10"/>
      <c r="AI392" s="10"/>
      <c r="AJ392" s="10" t="s">
        <v>1591</v>
      </c>
      <c r="AK392" s="10"/>
      <c r="AL392" s="10"/>
      <c r="AM392" s="10"/>
      <c r="AN392" s="8"/>
      <c r="AO392" s="10" t="s">
        <v>1210</v>
      </c>
      <c r="AP392" s="10" t="s">
        <v>1211</v>
      </c>
      <c r="AQ392" s="11" t="n">
        <v>46191</v>
      </c>
      <c r="AR392" s="13"/>
      <c r="AS392" s="13"/>
      <c r="AT392" s="13" t="s">
        <v>451</v>
      </c>
      <c r="AU392" s="13" t="s">
        <v>464</v>
      </c>
      <c r="AV392" s="13"/>
      <c r="AW392" s="13"/>
      <c r="AX392" s="13"/>
      <c r="AY392" s="7" t="s">
        <v>465</v>
      </c>
      <c r="AZ392" s="7"/>
      <c r="BA392" s="7" t="s">
        <v>34</v>
      </c>
      <c r="BB392" s="7" t="s">
        <v>464</v>
      </c>
      <c r="BC392" s="7"/>
      <c r="BD392" s="9"/>
      <c r="BE392" s="7"/>
      <c r="BF392" s="14" t="str">
        <f aca="true">IF(TRIM($A392)="Finalized","Closed",IF($BD392="","No review date set",IF($BD392&lt;TODAY(),"OVERDUE",IF($BD392-TODAY()&lt;=7,"Due within 7 days","Scheduled"))))</f>
        <v>Closed</v>
      </c>
      <c r="BG392" s="14" t="n">
        <f aca="true">IF($K392="","",TODAY()-$K392)</f>
        <v>5</v>
      </c>
      <c r="BH392" s="15" t="str">
        <f aca="false">IFERROR(LEFT(IF($B392="","Notes, ","")&amp;IF($K392="","Latest Date Worked, ","")&amp;IF($AY392="","Last Action, ","")&amp;IF(AND(OR(TRIM($A392)="Denied",TRIM($A392)="Rejected"),$BA392=""),"Denial Reason, ","")&amp;IF(AND(TRIM($A392)="Denied",$BB392="",TRIM($BA392)&lt;&gt;"NO DENIAL"),"Denial Code, ","")&amp;IF(AND(TRIM($A392)&lt;&gt;"Finalized",$BD392=""),"Next Review Date, ","")&amp;IF(AND(TRIM($A392)&lt;&gt;"Finalized",$BE392=""),"Next Step, ","")&amp;IF(AND(TRIM($A392)="Finalized",$AV392="",$AR392="",$AT392="",$AX392="",$AW392=""),"CPT outcome, ",""),LEN(IF($B392="","Notes, ","")&amp;IF($K392="","Latest Date Worked, ","")&amp;IF($AY392="","Last Action, ","")&amp;IF(AND(OR(TRIM($A392)="Denied",TRIM($A392)="Rejected"),$BA392=""),"Denial Reason, ","")&amp;IF(AND(TRIM($A392)="Denied",$BB392="",TRIM($BA392)&lt;&gt;"NO DENIAL"),"Denial Code, ","")&amp;IF(AND(TRIM($A392)&lt;&gt;"Finalized",$BD392=""),"Next Review Date, ","")&amp;IF(AND(TRIM($A392)&lt;&gt;"Finalized",$BE392=""),"Next Step, ","")&amp;IF(AND(TRIM($A392)="Finalized",$AV392="",$AR392="",$AT392="",$AX392="",$AW392=""),"CPT outcome, ",""))-2),"")</f>
        <v/>
      </c>
      <c r="BI392" s="15" t="str">
        <f aca="false">IF($BB392="","",IFERROR(INDEX('Denial Codes'!$C:$C,MATCH(LEFT($BB392,FIND(" - ",$BB392&amp;" - ")+2)&amp;"*",'Denial Codes'!$A:$A,0)),""))</f>
        <v>No authorization</v>
      </c>
      <c r="BJ392" s="15" t="str">
        <f aca="false">IF($BA392="","",IFERROR(INDEX(Lists!$B:$B,MATCH(TRIM($BA392),Lists!$A:$A,0))&amp;"",""))</f>
        <v>Check the portal for an auth; request a retro-auth or file an appeal with the auth number, then resubmit.</v>
      </c>
    </row>
    <row r="393" customFormat="false" ht="15" hidden="false" customHeight="false" outlineLevel="0" collapsed="false">
      <c r="A393" s="7" t="s">
        <v>16</v>
      </c>
      <c r="B393" s="7" t="s">
        <v>1592</v>
      </c>
      <c r="C393" s="8" t="n">
        <v>563177256</v>
      </c>
      <c r="D393" s="9" t="n">
        <v>46211</v>
      </c>
      <c r="E393" s="10" t="s">
        <v>1407</v>
      </c>
      <c r="F393" s="11" t="n">
        <v>46192</v>
      </c>
      <c r="G393" s="10" t="s">
        <v>1245</v>
      </c>
      <c r="H393" s="10" t="s">
        <v>112</v>
      </c>
      <c r="I393" s="10" t="s">
        <v>1245</v>
      </c>
      <c r="J393" s="10" t="s">
        <v>228</v>
      </c>
      <c r="K393" s="9" t="n">
        <v>46306</v>
      </c>
      <c r="L393" s="12" t="str">
        <f aca="true">IF($O393="","",$O393-TODAY())</f>
        <v/>
      </c>
      <c r="M393" s="12" t="str">
        <f aca="true">IF(AND(TRIM($A393)="Finalized",$K393&lt;&gt;""),"",IF($D393="","",$D393+365-TODAY()))</f>
        <v/>
      </c>
      <c r="N393" s="12" t="str">
        <f aca="true">IF(AND(TRIM($A393)="Finalized",$K393&lt;&gt;""),"",IF($D393="","",$D393+120-TODAY()))</f>
        <v/>
      </c>
      <c r="O393" s="11" t="str">
        <f aca="false">IF(AND(TRIM($A393)="Finalized",$K393&lt;&gt;""),"",DATE(2027,6,19))</f>
        <v/>
      </c>
      <c r="P393" s="10" t="s">
        <v>114</v>
      </c>
      <c r="Q393" s="10" t="s">
        <v>115</v>
      </c>
      <c r="R393" s="10" t="s">
        <v>114</v>
      </c>
      <c r="S393" s="10" t="s">
        <v>116</v>
      </c>
      <c r="T393" s="10" t="s">
        <v>117</v>
      </c>
      <c r="U393" s="10" t="s">
        <v>116</v>
      </c>
      <c r="V393" s="10" t="s">
        <v>303</v>
      </c>
      <c r="W393" s="10" t="s">
        <v>119</v>
      </c>
      <c r="X393" s="10" t="s">
        <v>229</v>
      </c>
      <c r="Y393" s="10"/>
      <c r="Z393" s="10"/>
      <c r="AA393" s="10" t="s">
        <v>230</v>
      </c>
      <c r="AB393" s="8" t="n">
        <f aca="true">IF($F393="","",TODAY()-$F393)</f>
        <v>119</v>
      </c>
      <c r="AC393" s="10" t="s">
        <v>122</v>
      </c>
      <c r="AD393" s="10"/>
      <c r="AE393" s="10"/>
      <c r="AF393" s="10"/>
      <c r="AG393" s="10"/>
      <c r="AH393" s="10"/>
      <c r="AI393" s="10"/>
      <c r="AJ393" s="10" t="s">
        <v>123</v>
      </c>
      <c r="AK393" s="10" t="s">
        <v>1197</v>
      </c>
      <c r="AL393" s="10"/>
      <c r="AM393" s="10"/>
      <c r="AN393" s="8" t="s">
        <v>1593</v>
      </c>
      <c r="AO393" s="10" t="s">
        <v>274</v>
      </c>
      <c r="AP393" s="10" t="s">
        <v>275</v>
      </c>
      <c r="AQ393" s="11" t="n">
        <v>46196</v>
      </c>
      <c r="AR393" s="13"/>
      <c r="AS393" s="13"/>
      <c r="AT393" s="13"/>
      <c r="AU393" s="13"/>
      <c r="AV393" s="13" t="s">
        <v>122</v>
      </c>
      <c r="AW393" s="13"/>
      <c r="AX393" s="13"/>
      <c r="AY393" s="7" t="s">
        <v>363</v>
      </c>
      <c r="AZ393" s="7"/>
      <c r="BA393" s="7"/>
      <c r="BB393" s="7"/>
      <c r="BC393" s="7"/>
      <c r="BD393" s="9"/>
      <c r="BE393" s="7"/>
      <c r="BF393" s="14" t="str">
        <f aca="true">IF(TRIM($A393)="Finalized","Closed",IF($BD393="","No review date set",IF($BD393&lt;TODAY(),"OVERDUE",IF($BD393-TODAY()&lt;=7,"Due within 7 days","Scheduled"))))</f>
        <v>Closed</v>
      </c>
      <c r="BG393" s="14" t="n">
        <f aca="true">IF($K393="","",TODAY()-$K393)</f>
        <v>5</v>
      </c>
      <c r="BH393" s="15" t="str">
        <f aca="false">IFERROR(LEFT(IF($B393="","Notes, ","")&amp;IF($K393="","Latest Date Worked, ","")&amp;IF($AY393="","Last Action, ","")&amp;IF(AND(OR(TRIM($A393)="Denied",TRIM($A393)="Rejected"),$BA393=""),"Denial Reason, ","")&amp;IF(AND(TRIM($A393)="Denied",$BB393="",TRIM($BA393)&lt;&gt;"NO DENIAL"),"Denial Code, ","")&amp;IF(AND(TRIM($A393)&lt;&gt;"Finalized",$BD393=""),"Next Review Date, ","")&amp;IF(AND(TRIM($A393)&lt;&gt;"Finalized",$BE393=""),"Next Step, ","")&amp;IF(AND(TRIM($A393)="Finalized",$AV393="",$AR393="",$AT393="",$AX393="",$AW393=""),"CPT outcome, ",""),LEN(IF($B393="","Notes, ","")&amp;IF($K393="","Latest Date Worked, ","")&amp;IF($AY393="","Last Action, ","")&amp;IF(AND(OR(TRIM($A393)="Denied",TRIM($A393)="Rejected"),$BA393=""),"Denial Reason, ","")&amp;IF(AND(TRIM($A393)="Denied",$BB393="",TRIM($BA393)&lt;&gt;"NO DENIAL"),"Denial Code, ","")&amp;IF(AND(TRIM($A393)&lt;&gt;"Finalized",$BD393=""),"Next Review Date, ","")&amp;IF(AND(TRIM($A393)&lt;&gt;"Finalized",$BE393=""),"Next Step, ","")&amp;IF(AND(TRIM($A393)="Finalized",$AV393="",$AR393="",$AT393="",$AX393="",$AW393=""),"CPT outcome, ",""))-2),"")</f>
        <v/>
      </c>
      <c r="BI393" s="15" t="str">
        <f aca="false">IF($BB393="","",IFERROR(INDEX('Denial Codes'!$C:$C,MATCH(LEFT($BB393,FIND(" - ",$BB393&amp;" - ")+2)&amp;"*",'Denial Codes'!$A:$A,0)),""))</f>
        <v/>
      </c>
      <c r="BJ393" s="15" t="str">
        <f aca="false">IF($BA393="","",IFERROR(INDEX(Lists!$B:$B,MATCH(TRIM($BA393),Lists!$A:$A,0))&amp;"",""))</f>
        <v/>
      </c>
    </row>
    <row r="394" customFormat="false" ht="15" hidden="false" customHeight="false" outlineLevel="0" collapsed="false">
      <c r="A394" s="7" t="s">
        <v>16</v>
      </c>
      <c r="B394" s="7" t="s">
        <v>1592</v>
      </c>
      <c r="C394" s="8" t="n">
        <v>563164453</v>
      </c>
      <c r="D394" s="9" t="n">
        <v>46211</v>
      </c>
      <c r="E394" s="10" t="s">
        <v>1594</v>
      </c>
      <c r="F394" s="11" t="n">
        <v>46195</v>
      </c>
      <c r="G394" s="10" t="s">
        <v>271</v>
      </c>
      <c r="H394" s="10" t="s">
        <v>112</v>
      </c>
      <c r="I394" s="10" t="s">
        <v>271</v>
      </c>
      <c r="J394" s="10" t="s">
        <v>228</v>
      </c>
      <c r="K394" s="9" t="n">
        <v>46306</v>
      </c>
      <c r="L394" s="12" t="str">
        <f aca="true">IF($O394="","",$O394-TODAY())</f>
        <v/>
      </c>
      <c r="M394" s="12" t="str">
        <f aca="true">IF(AND(TRIM($A394)="Finalized",$K394&lt;&gt;""),"",IF($D394="","",$D394+365-TODAY()))</f>
        <v/>
      </c>
      <c r="N394" s="12" t="str">
        <f aca="true">IF(AND(TRIM($A394)="Finalized",$K394&lt;&gt;""),"",IF($D394="","",$D394+120-TODAY()))</f>
        <v/>
      </c>
      <c r="O394" s="11" t="str">
        <f aca="false">IF(AND(TRIM($A394)="Finalized",$K394&lt;&gt;""),"",DATE(2027,6,22))</f>
        <v/>
      </c>
      <c r="P394" s="10" t="s">
        <v>114</v>
      </c>
      <c r="Q394" s="10" t="s">
        <v>115</v>
      </c>
      <c r="R394" s="10" t="s">
        <v>114</v>
      </c>
      <c r="S394" s="10" t="s">
        <v>116</v>
      </c>
      <c r="T394" s="10" t="s">
        <v>117</v>
      </c>
      <c r="U394" s="10" t="s">
        <v>116</v>
      </c>
      <c r="V394" s="10" t="s">
        <v>303</v>
      </c>
      <c r="W394" s="10" t="s">
        <v>119</v>
      </c>
      <c r="X394" s="10" t="s">
        <v>229</v>
      </c>
      <c r="Y394" s="10"/>
      <c r="Z394" s="10"/>
      <c r="AA394" s="10" t="s">
        <v>230</v>
      </c>
      <c r="AB394" s="8" t="n">
        <f aca="true">IF($F394="","",TODAY()-$F394)</f>
        <v>116</v>
      </c>
      <c r="AC394" s="10" t="s">
        <v>122</v>
      </c>
      <c r="AD394" s="10"/>
      <c r="AE394" s="10"/>
      <c r="AF394" s="10"/>
      <c r="AG394" s="10"/>
      <c r="AH394" s="10"/>
      <c r="AI394" s="10"/>
      <c r="AJ394" s="10" t="s">
        <v>123</v>
      </c>
      <c r="AK394" s="10" t="s">
        <v>362</v>
      </c>
      <c r="AL394" s="10" t="s">
        <v>751</v>
      </c>
      <c r="AM394" s="10"/>
      <c r="AN394" s="8" t="n">
        <v>566076337</v>
      </c>
      <c r="AO394" s="10" t="s">
        <v>274</v>
      </c>
      <c r="AP394" s="10" t="s">
        <v>275</v>
      </c>
      <c r="AQ394" s="11" t="n">
        <v>46196</v>
      </c>
      <c r="AR394" s="13"/>
      <c r="AS394" s="13"/>
      <c r="AT394" s="13"/>
      <c r="AU394" s="13"/>
      <c r="AV394" s="13" t="s">
        <v>122</v>
      </c>
      <c r="AW394" s="13"/>
      <c r="AX394" s="13"/>
      <c r="AY394" s="7" t="s">
        <v>363</v>
      </c>
      <c r="AZ394" s="7"/>
      <c r="BA394" s="7"/>
      <c r="BB394" s="7"/>
      <c r="BC394" s="7"/>
      <c r="BD394" s="9"/>
      <c r="BE394" s="7"/>
      <c r="BF394" s="14" t="str">
        <f aca="true">IF(TRIM($A394)="Finalized","Closed",IF($BD394="","No review date set",IF($BD394&lt;TODAY(),"OVERDUE",IF($BD394-TODAY()&lt;=7,"Due within 7 days","Scheduled"))))</f>
        <v>Closed</v>
      </c>
      <c r="BG394" s="14" t="n">
        <f aca="true">IF($K394="","",TODAY()-$K394)</f>
        <v>5</v>
      </c>
      <c r="BH394" s="15" t="str">
        <f aca="false">IFERROR(LEFT(IF($B394="","Notes, ","")&amp;IF($K394="","Latest Date Worked, ","")&amp;IF($AY394="","Last Action, ","")&amp;IF(AND(OR(TRIM($A394)="Denied",TRIM($A394)="Rejected"),$BA394=""),"Denial Reason, ","")&amp;IF(AND(TRIM($A394)="Denied",$BB394="",TRIM($BA394)&lt;&gt;"NO DENIAL"),"Denial Code, ","")&amp;IF(AND(TRIM($A394)&lt;&gt;"Finalized",$BD394=""),"Next Review Date, ","")&amp;IF(AND(TRIM($A394)&lt;&gt;"Finalized",$BE394=""),"Next Step, ","")&amp;IF(AND(TRIM($A394)="Finalized",$AV394="",$AR394="",$AT394="",$AX394="",$AW394=""),"CPT outcome, ",""),LEN(IF($B394="","Notes, ","")&amp;IF($K394="","Latest Date Worked, ","")&amp;IF($AY394="","Last Action, ","")&amp;IF(AND(OR(TRIM($A394)="Denied",TRIM($A394)="Rejected"),$BA394=""),"Denial Reason, ","")&amp;IF(AND(TRIM($A394)="Denied",$BB394="",TRIM($BA394)&lt;&gt;"NO DENIAL"),"Denial Code, ","")&amp;IF(AND(TRIM($A394)&lt;&gt;"Finalized",$BD394=""),"Next Review Date, ","")&amp;IF(AND(TRIM($A394)&lt;&gt;"Finalized",$BE394=""),"Next Step, ","")&amp;IF(AND(TRIM($A394)="Finalized",$AV394="",$AR394="",$AT394="",$AX394="",$AW394=""),"CPT outcome, ",""))-2),"")</f>
        <v/>
      </c>
      <c r="BI394" s="15" t="str">
        <f aca="false">IF($BB394="","",IFERROR(INDEX('Denial Codes'!$C:$C,MATCH(LEFT($BB394,FIND(" - ",$BB394&amp;" - ")+2)&amp;"*",'Denial Codes'!$A:$A,0)),""))</f>
        <v/>
      </c>
      <c r="BJ394" s="15" t="str">
        <f aca="false">IF($BA394="","",IFERROR(INDEX(Lists!$B:$B,MATCH(TRIM($BA394),Lists!$A:$A,0))&amp;"",""))</f>
        <v/>
      </c>
    </row>
    <row r="395" customFormat="false" ht="15" hidden="false" customHeight="false" outlineLevel="0" collapsed="false">
      <c r="A395" s="7" t="s">
        <v>16</v>
      </c>
      <c r="B395" s="7" t="s">
        <v>1543</v>
      </c>
      <c r="C395" s="8" t="n">
        <v>563203416</v>
      </c>
      <c r="D395" s="9" t="n">
        <v>46247</v>
      </c>
      <c r="E395" s="10" t="s">
        <v>1171</v>
      </c>
      <c r="F395" s="11" t="n">
        <v>46195</v>
      </c>
      <c r="G395" s="10" t="s">
        <v>112</v>
      </c>
      <c r="H395" s="10" t="s">
        <v>112</v>
      </c>
      <c r="I395" s="10" t="s">
        <v>1163</v>
      </c>
      <c r="J395" s="10" t="s">
        <v>1242</v>
      </c>
      <c r="K395" s="9" t="n">
        <v>46306</v>
      </c>
      <c r="L395" s="12" t="str">
        <f aca="true">IF($O395="","",$O395-TODAY())</f>
        <v/>
      </c>
      <c r="M395" s="12" t="str">
        <f aca="true">IF(AND(TRIM($A395)="Finalized",$K395&lt;&gt;""),"",IF($D395="","",$D395+365-TODAY()))</f>
        <v/>
      </c>
      <c r="N395" s="12" t="str">
        <f aca="true">IF(AND(TRIM($A395)="Finalized",$K395&lt;&gt;""),"",IF($D395="","",$D395+120-TODAY()))</f>
        <v/>
      </c>
      <c r="O395" s="11" t="str">
        <f aca="false">IF(AND(TRIM($A395)="Finalized",$K395&lt;&gt;""),"",DATE(2027,6,22))</f>
        <v/>
      </c>
      <c r="P395" s="10" t="s">
        <v>114</v>
      </c>
      <c r="Q395" s="10" t="s">
        <v>115</v>
      </c>
      <c r="R395" s="10" t="s">
        <v>114</v>
      </c>
      <c r="S395" s="10" t="s">
        <v>116</v>
      </c>
      <c r="T395" s="10" t="s">
        <v>117</v>
      </c>
      <c r="U395" s="10" t="s">
        <v>116</v>
      </c>
      <c r="V395" s="10" t="s">
        <v>303</v>
      </c>
      <c r="W395" s="10" t="s">
        <v>119</v>
      </c>
      <c r="X395" s="10" t="s">
        <v>304</v>
      </c>
      <c r="Y395" s="10"/>
      <c r="Z395" s="10"/>
      <c r="AA395" s="10" t="s">
        <v>197</v>
      </c>
      <c r="AB395" s="8" t="n">
        <f aca="true">IF($F395="","",TODAY()-$F395)</f>
        <v>116</v>
      </c>
      <c r="AC395" s="10" t="s">
        <v>584</v>
      </c>
      <c r="AD395" s="10"/>
      <c r="AE395" s="10"/>
      <c r="AF395" s="10"/>
      <c r="AG395" s="10"/>
      <c r="AH395" s="10"/>
      <c r="AI395" s="10"/>
      <c r="AJ395" s="10" t="s">
        <v>124</v>
      </c>
      <c r="AK395" s="10"/>
      <c r="AL395" s="10"/>
      <c r="AM395" s="10"/>
      <c r="AN395" s="8"/>
      <c r="AO395" s="10" t="s">
        <v>125</v>
      </c>
      <c r="AP395" s="10" t="s">
        <v>126</v>
      </c>
      <c r="AQ395" s="11" t="n">
        <v>46196</v>
      </c>
      <c r="AR395" s="13"/>
      <c r="AS395" s="13"/>
      <c r="AT395" s="13" t="s">
        <v>584</v>
      </c>
      <c r="AU395" s="13" t="s">
        <v>464</v>
      </c>
      <c r="AV395" s="13"/>
      <c r="AW395" s="13"/>
      <c r="AX395" s="13"/>
      <c r="AY395" s="7" t="s">
        <v>465</v>
      </c>
      <c r="AZ395" s="7"/>
      <c r="BA395" s="7" t="s">
        <v>34</v>
      </c>
      <c r="BB395" s="7" t="s">
        <v>464</v>
      </c>
      <c r="BC395" s="7"/>
      <c r="BD395" s="9"/>
      <c r="BE395" s="7"/>
      <c r="BF395" s="14" t="str">
        <f aca="true">IF(TRIM($A395)="Finalized","Closed",IF($BD395="","No review date set",IF($BD395&lt;TODAY(),"OVERDUE",IF($BD395-TODAY()&lt;=7,"Due within 7 days","Scheduled"))))</f>
        <v>Closed</v>
      </c>
      <c r="BG395" s="14" t="n">
        <f aca="true">IF($K395="","",TODAY()-$K395)</f>
        <v>5</v>
      </c>
      <c r="BH395" s="15" t="str">
        <f aca="false">IFERROR(LEFT(IF($B395="","Notes, ","")&amp;IF($K395="","Latest Date Worked, ","")&amp;IF($AY395="","Last Action, ","")&amp;IF(AND(OR(TRIM($A395)="Denied",TRIM($A395)="Rejected"),$BA395=""),"Denial Reason, ","")&amp;IF(AND(TRIM($A395)="Denied",$BB395="",TRIM($BA395)&lt;&gt;"NO DENIAL"),"Denial Code, ","")&amp;IF(AND(TRIM($A395)&lt;&gt;"Finalized",$BD395=""),"Next Review Date, ","")&amp;IF(AND(TRIM($A395)&lt;&gt;"Finalized",$BE395=""),"Next Step, ","")&amp;IF(AND(TRIM($A395)="Finalized",$AV395="",$AR395="",$AT395="",$AX395="",$AW395=""),"CPT outcome, ",""),LEN(IF($B395="","Notes, ","")&amp;IF($K395="","Latest Date Worked, ","")&amp;IF($AY395="","Last Action, ","")&amp;IF(AND(OR(TRIM($A395)="Denied",TRIM($A395)="Rejected"),$BA395=""),"Denial Reason, ","")&amp;IF(AND(TRIM($A395)="Denied",$BB395="",TRIM($BA395)&lt;&gt;"NO DENIAL"),"Denial Code, ","")&amp;IF(AND(TRIM($A395)&lt;&gt;"Finalized",$BD395=""),"Next Review Date, ","")&amp;IF(AND(TRIM($A395)&lt;&gt;"Finalized",$BE395=""),"Next Step, ","")&amp;IF(AND(TRIM($A395)="Finalized",$AV395="",$AR395="",$AT395="",$AX395="",$AW395=""),"CPT outcome, ",""))-2),"")</f>
        <v/>
      </c>
      <c r="BI395" s="15" t="str">
        <f aca="false">IF($BB395="","",IFERROR(INDEX('Denial Codes'!$C:$C,MATCH(LEFT($BB395,FIND(" - ",$BB395&amp;" - ")+2)&amp;"*",'Denial Codes'!$A:$A,0)),""))</f>
        <v>No authorization</v>
      </c>
      <c r="BJ395" s="15" t="str">
        <f aca="false">IF($BA395="","",IFERROR(INDEX(Lists!$B:$B,MATCH(TRIM($BA395),Lists!$A:$A,0))&amp;"",""))</f>
        <v>Check the portal for an auth; request a retro-auth or file an appeal with the auth number, then resubmit.</v>
      </c>
    </row>
    <row r="396" customFormat="false" ht="15" hidden="false" customHeight="false" outlineLevel="0" collapsed="false">
      <c r="A396" s="7" t="s">
        <v>16</v>
      </c>
      <c r="B396" s="7" t="s">
        <v>1592</v>
      </c>
      <c r="C396" s="8" t="n">
        <v>563163093</v>
      </c>
      <c r="D396" s="9" t="n">
        <v>46268</v>
      </c>
      <c r="E396" s="10" t="s">
        <v>1595</v>
      </c>
      <c r="F396" s="11" t="n">
        <v>46195</v>
      </c>
      <c r="G396" s="10" t="s">
        <v>227</v>
      </c>
      <c r="H396" s="10" t="s">
        <v>112</v>
      </c>
      <c r="I396" s="10" t="s">
        <v>227</v>
      </c>
      <c r="J396" s="10" t="s">
        <v>261</v>
      </c>
      <c r="K396" s="9" t="n">
        <v>46306</v>
      </c>
      <c r="L396" s="12" t="str">
        <f aca="true">IF($O396="","",$O396-TODAY())</f>
        <v/>
      </c>
      <c r="M396" s="12" t="str">
        <f aca="true">IF(AND(TRIM($A396)="Finalized",$K396&lt;&gt;""),"",IF($D396="","",$D396+365-TODAY()))</f>
        <v/>
      </c>
      <c r="N396" s="12" t="str">
        <f aca="true">IF(AND(TRIM($A396)="Finalized",$K396&lt;&gt;""),"",IF($D396="","",$D396+120-TODAY()))</f>
        <v/>
      </c>
      <c r="O396" s="11" t="str">
        <f aca="false">IF(AND(TRIM($A396)="Finalized",$K396&lt;&gt;""),"",DATE(2027,6,22))</f>
        <v/>
      </c>
      <c r="P396" s="10" t="s">
        <v>114</v>
      </c>
      <c r="Q396" s="10" t="s">
        <v>115</v>
      </c>
      <c r="R396" s="10" t="s">
        <v>114</v>
      </c>
      <c r="S396" s="10" t="s">
        <v>116</v>
      </c>
      <c r="T396" s="10" t="s">
        <v>117</v>
      </c>
      <c r="U396" s="10" t="s">
        <v>116</v>
      </c>
      <c r="V396" s="10" t="s">
        <v>303</v>
      </c>
      <c r="W396" s="10" t="s">
        <v>119</v>
      </c>
      <c r="X396" s="10" t="s">
        <v>120</v>
      </c>
      <c r="Y396" s="10"/>
      <c r="Z396" s="10"/>
      <c r="AA396" s="10" t="s">
        <v>230</v>
      </c>
      <c r="AB396" s="8" t="n">
        <f aca="true">IF($F396="","",TODAY()-$F396)</f>
        <v>116</v>
      </c>
      <c r="AC396" s="10" t="s">
        <v>122</v>
      </c>
      <c r="AD396" s="10"/>
      <c r="AE396" s="10"/>
      <c r="AF396" s="10"/>
      <c r="AG396" s="10"/>
      <c r="AH396" s="10"/>
      <c r="AI396" s="10"/>
      <c r="AJ396" s="10" t="s">
        <v>123</v>
      </c>
      <c r="AK396" s="10" t="s">
        <v>1331</v>
      </c>
      <c r="AL396" s="10" t="s">
        <v>1596</v>
      </c>
      <c r="AM396" s="10"/>
      <c r="AN396" s="8" t="s">
        <v>1597</v>
      </c>
      <c r="AO396" s="10" t="s">
        <v>274</v>
      </c>
      <c r="AP396" s="10" t="s">
        <v>275</v>
      </c>
      <c r="AQ396" s="11" t="n">
        <v>46196</v>
      </c>
      <c r="AR396" s="13"/>
      <c r="AS396" s="13"/>
      <c r="AT396" s="13"/>
      <c r="AU396" s="13"/>
      <c r="AV396" s="13" t="s">
        <v>122</v>
      </c>
      <c r="AW396" s="13"/>
      <c r="AX396" s="13"/>
      <c r="AY396" s="7" t="s">
        <v>363</v>
      </c>
      <c r="AZ396" s="7"/>
      <c r="BA396" s="7"/>
      <c r="BB396" s="7"/>
      <c r="BC396" s="7"/>
      <c r="BD396" s="9"/>
      <c r="BE396" s="7"/>
      <c r="BF396" s="14" t="str">
        <f aca="true">IF(TRIM($A396)="Finalized","Closed",IF($BD396="","No review date set",IF($BD396&lt;TODAY(),"OVERDUE",IF($BD396-TODAY()&lt;=7,"Due within 7 days","Scheduled"))))</f>
        <v>Closed</v>
      </c>
      <c r="BG396" s="14" t="n">
        <f aca="true">IF($K396="","",TODAY()-$K396)</f>
        <v>5</v>
      </c>
      <c r="BH396" s="15" t="str">
        <f aca="false">IFERROR(LEFT(IF($B396="","Notes, ","")&amp;IF($K396="","Latest Date Worked, ","")&amp;IF($AY396="","Last Action, ","")&amp;IF(AND(OR(TRIM($A396)="Denied",TRIM($A396)="Rejected"),$BA396=""),"Denial Reason, ","")&amp;IF(AND(TRIM($A396)="Denied",$BB396="",TRIM($BA396)&lt;&gt;"NO DENIAL"),"Denial Code, ","")&amp;IF(AND(TRIM($A396)&lt;&gt;"Finalized",$BD396=""),"Next Review Date, ","")&amp;IF(AND(TRIM($A396)&lt;&gt;"Finalized",$BE396=""),"Next Step, ","")&amp;IF(AND(TRIM($A396)="Finalized",$AV396="",$AR396="",$AT396="",$AX396="",$AW396=""),"CPT outcome, ",""),LEN(IF($B396="","Notes, ","")&amp;IF($K396="","Latest Date Worked, ","")&amp;IF($AY396="","Last Action, ","")&amp;IF(AND(OR(TRIM($A396)="Denied",TRIM($A396)="Rejected"),$BA396=""),"Denial Reason, ","")&amp;IF(AND(TRIM($A396)="Denied",$BB396="",TRIM($BA396)&lt;&gt;"NO DENIAL"),"Denial Code, ","")&amp;IF(AND(TRIM($A396)&lt;&gt;"Finalized",$BD396=""),"Next Review Date, ","")&amp;IF(AND(TRIM($A396)&lt;&gt;"Finalized",$BE396=""),"Next Step, ","")&amp;IF(AND(TRIM($A396)="Finalized",$AV396="",$AR396="",$AT396="",$AX396="",$AW396=""),"CPT outcome, ",""))-2),"")</f>
        <v/>
      </c>
      <c r="BI396" s="15" t="str">
        <f aca="false">IF($BB396="","",IFERROR(INDEX('Denial Codes'!$C:$C,MATCH(LEFT($BB396,FIND(" - ",$BB396&amp;" - ")+2)&amp;"*",'Denial Codes'!$A:$A,0)),""))</f>
        <v/>
      </c>
      <c r="BJ396" s="15" t="str">
        <f aca="false">IF($BA396="","",IFERROR(INDEX(Lists!$B:$B,MATCH(TRIM($BA396),Lists!$A:$A,0))&amp;"",""))</f>
        <v/>
      </c>
    </row>
    <row r="397" customFormat="false" ht="15" hidden="false" customHeight="false" outlineLevel="0" collapsed="false">
      <c r="A397" s="7" t="s">
        <v>16</v>
      </c>
      <c r="B397" s="7" t="s">
        <v>1598</v>
      </c>
      <c r="C397" s="8" t="n">
        <v>563651212</v>
      </c>
      <c r="D397" s="9" t="n">
        <v>46255</v>
      </c>
      <c r="E397" s="10" t="s">
        <v>1281</v>
      </c>
      <c r="F397" s="11" t="n">
        <v>46199</v>
      </c>
      <c r="G397" s="10" t="s">
        <v>260</v>
      </c>
      <c r="H397" s="10" t="s">
        <v>260</v>
      </c>
      <c r="I397" s="10" t="s">
        <v>163</v>
      </c>
      <c r="J397" s="10" t="s">
        <v>209</v>
      </c>
      <c r="K397" s="9" t="n">
        <v>46306</v>
      </c>
      <c r="L397" s="12" t="str">
        <f aca="true">IF($O397="","",$O397-TODAY())</f>
        <v/>
      </c>
      <c r="M397" s="12" t="str">
        <f aca="true">IF(AND(TRIM($A397)="Finalized",$K397&lt;&gt;""),"",IF($D397="","",$D397+365-TODAY()))</f>
        <v/>
      </c>
      <c r="N397" s="12" t="str">
        <f aca="true">IF(AND(TRIM($A397)="Finalized",$K397&lt;&gt;""),"",IF($D397="","",$D397+120-TODAY()))</f>
        <v/>
      </c>
      <c r="O397" s="11" t="str">
        <f aca="false">IF(AND(TRIM($A397)="Finalized",$K397&lt;&gt;""),"",DATE(2027,6,26))</f>
        <v/>
      </c>
      <c r="P397" s="10" t="s">
        <v>114</v>
      </c>
      <c r="Q397" s="10" t="s">
        <v>115</v>
      </c>
      <c r="R397" s="10" t="s">
        <v>114</v>
      </c>
      <c r="S397" s="10" t="s">
        <v>116</v>
      </c>
      <c r="T397" s="10" t="s">
        <v>117</v>
      </c>
      <c r="U397" s="10" t="s">
        <v>116</v>
      </c>
      <c r="V397" s="10" t="s">
        <v>303</v>
      </c>
      <c r="W397" s="10" t="s">
        <v>183</v>
      </c>
      <c r="X397" s="10"/>
      <c r="Y397" s="10"/>
      <c r="Z397" s="10"/>
      <c r="AA397" s="10" t="s">
        <v>197</v>
      </c>
      <c r="AB397" s="8" t="n">
        <f aca="true">IF($F397="","",TODAY()-$F397)</f>
        <v>112</v>
      </c>
      <c r="AC397" s="10" t="s">
        <v>184</v>
      </c>
      <c r="AD397" s="10" t="s">
        <v>211</v>
      </c>
      <c r="AE397" s="10"/>
      <c r="AF397" s="10"/>
      <c r="AG397" s="10"/>
      <c r="AH397" s="10"/>
      <c r="AI397" s="10"/>
      <c r="AJ397" s="10" t="s">
        <v>1599</v>
      </c>
      <c r="AK397" s="10"/>
      <c r="AL397" s="10"/>
      <c r="AM397" s="10"/>
      <c r="AN397" s="8"/>
      <c r="AO397" s="10" t="s">
        <v>344</v>
      </c>
      <c r="AP397" s="10" t="s">
        <v>188</v>
      </c>
      <c r="AQ397" s="11" t="n">
        <v>46217</v>
      </c>
      <c r="AR397" s="13"/>
      <c r="AS397" s="13"/>
      <c r="AT397" s="13"/>
      <c r="AU397" s="13"/>
      <c r="AV397" s="13" t="s">
        <v>659</v>
      </c>
      <c r="AW397" s="13"/>
      <c r="AX397" s="13"/>
      <c r="AY397" s="7" t="s">
        <v>363</v>
      </c>
      <c r="AZ397" s="7" t="s">
        <v>1600</v>
      </c>
      <c r="BA397" s="7" t="s">
        <v>46</v>
      </c>
      <c r="BB397" s="7" t="s">
        <v>1601</v>
      </c>
      <c r="BC397" s="7"/>
      <c r="BD397" s="9"/>
      <c r="BE397" s="7"/>
      <c r="BF397" s="14" t="str">
        <f aca="true">IF(TRIM($A397)="Finalized","Closed",IF($BD397="","No review date set",IF($BD397&lt;TODAY(),"OVERDUE",IF($BD397-TODAY()&lt;=7,"Due within 7 days","Scheduled"))))</f>
        <v>Closed</v>
      </c>
      <c r="BG397" s="14" t="n">
        <f aca="true">IF($K397="","",TODAY()-$K397)</f>
        <v>5</v>
      </c>
      <c r="BH397" s="15" t="str">
        <f aca="false">IFERROR(LEFT(IF($B397="","Notes, ","")&amp;IF($K397="","Latest Date Worked, ","")&amp;IF($AY397="","Last Action, ","")&amp;IF(AND(OR(TRIM($A397)="Denied",TRIM($A397)="Rejected"),$BA397=""),"Denial Reason, ","")&amp;IF(AND(TRIM($A397)="Denied",$BB397="",TRIM($BA397)&lt;&gt;"NO DENIAL"),"Denial Code, ","")&amp;IF(AND(TRIM($A397)&lt;&gt;"Finalized",$BD397=""),"Next Review Date, ","")&amp;IF(AND(TRIM($A397)&lt;&gt;"Finalized",$BE397=""),"Next Step, ","")&amp;IF(AND(TRIM($A397)="Finalized",$AV397="",$AR397="",$AT397="",$AX397="",$AW397=""),"CPT outcome, ",""),LEN(IF($B397="","Notes, ","")&amp;IF($K397="","Latest Date Worked, ","")&amp;IF($AY397="","Last Action, ","")&amp;IF(AND(OR(TRIM($A397)="Denied",TRIM($A397)="Rejected"),$BA397=""),"Denial Reason, ","")&amp;IF(AND(TRIM($A397)="Denied",$BB397="",TRIM($BA397)&lt;&gt;"NO DENIAL"),"Denial Code, ","")&amp;IF(AND(TRIM($A397)&lt;&gt;"Finalized",$BD397=""),"Next Review Date, ","")&amp;IF(AND(TRIM($A397)&lt;&gt;"Finalized",$BE397=""),"Next Step, ","")&amp;IF(AND(TRIM($A397)="Finalized",$AV397="",$AR397="",$AT397="",$AX397="",$AW397=""),"CPT outcome, ",""))-2),"")</f>
        <v/>
      </c>
      <c r="BI397" s="15" t="str">
        <f aca="false">IF($BB397="","",IFERROR(INDEX('Denial Codes'!$C:$C,MATCH(LEFT($BB397,FIND(" - ",$BB397&amp;" - ")+2)&amp;"*",'Denial Codes'!$A:$A,0)),""))</f>
        <v>Eligibility / member ID</v>
      </c>
      <c r="BJ397" s="15" t="str">
        <f aca="false">IF($BA397="","",IFERROR(INDEX(Lists!$B:$B,MATCH(TRIM($BA397),Lists!$A:$A,0))&amp;"",""))</f>
        <v>Verify eligibility; correct the member ID/MBI, name or DOB and resubmit.</v>
      </c>
    </row>
    <row r="398" customFormat="false" ht="15" hidden="false" customHeight="false" outlineLevel="0" collapsed="false">
      <c r="A398" s="7" t="s">
        <v>16</v>
      </c>
      <c r="B398" s="7" t="s">
        <v>1602</v>
      </c>
      <c r="C398" s="8" t="n">
        <v>565309736</v>
      </c>
      <c r="D398" s="9" t="n">
        <v>46224</v>
      </c>
      <c r="E398" s="10" t="s">
        <v>1603</v>
      </c>
      <c r="F398" s="11" t="n">
        <v>46202</v>
      </c>
      <c r="G398" s="10" t="s">
        <v>112</v>
      </c>
      <c r="H398" s="10" t="s">
        <v>112</v>
      </c>
      <c r="I398" s="10" t="s">
        <v>1302</v>
      </c>
      <c r="J398" s="10" t="s">
        <v>1242</v>
      </c>
      <c r="K398" s="9" t="n">
        <v>46306</v>
      </c>
      <c r="L398" s="12" t="str">
        <f aca="true">IF($O398="","",$O398-TODAY())</f>
        <v/>
      </c>
      <c r="M398" s="12" t="str">
        <f aca="true">IF(AND(TRIM($A398)="Finalized",$K398&lt;&gt;""),"",IF($D398="","",$D398+365-TODAY()))</f>
        <v/>
      </c>
      <c r="N398" s="12" t="str">
        <f aca="true">IF(AND(TRIM($A398)="Finalized",$K398&lt;&gt;""),"",IF($D398="","",$D398+120-TODAY()))</f>
        <v/>
      </c>
      <c r="O398" s="11" t="str">
        <f aca="false">IF(AND(TRIM($A398)="Finalized",$K398&lt;&gt;""),"",DATE(2027,6,29))</f>
        <v/>
      </c>
      <c r="P398" s="10" t="s">
        <v>114</v>
      </c>
      <c r="Q398" s="10" t="s">
        <v>115</v>
      </c>
      <c r="R398" s="10" t="s">
        <v>114</v>
      </c>
      <c r="S398" s="10" t="s">
        <v>116</v>
      </c>
      <c r="T398" s="10" t="s">
        <v>117</v>
      </c>
      <c r="U398" s="10" t="s">
        <v>116</v>
      </c>
      <c r="V398" s="10" t="s">
        <v>303</v>
      </c>
      <c r="W398" s="10" t="s">
        <v>119</v>
      </c>
      <c r="X398" s="10" t="s">
        <v>304</v>
      </c>
      <c r="Y398" s="10"/>
      <c r="Z398" s="10"/>
      <c r="AA398" s="10" t="s">
        <v>197</v>
      </c>
      <c r="AB398" s="8" t="n">
        <f aca="true">IF($F398="","",TODAY()-$F398)</f>
        <v>109</v>
      </c>
      <c r="AC398" s="10" t="s">
        <v>584</v>
      </c>
      <c r="AD398" s="10"/>
      <c r="AE398" s="10"/>
      <c r="AF398" s="10"/>
      <c r="AG398" s="10"/>
      <c r="AH398" s="10"/>
      <c r="AI398" s="10"/>
      <c r="AJ398" s="10" t="s">
        <v>139</v>
      </c>
      <c r="AK398" s="10"/>
      <c r="AL398" s="10"/>
      <c r="AM398" s="10"/>
      <c r="AN398" s="8"/>
      <c r="AO398" s="10" t="s">
        <v>274</v>
      </c>
      <c r="AP398" s="10" t="s">
        <v>275</v>
      </c>
      <c r="AQ398" s="11" t="n">
        <v>46204</v>
      </c>
      <c r="AR398" s="13"/>
      <c r="AS398" s="13"/>
      <c r="AT398" s="13"/>
      <c r="AU398" s="13"/>
      <c r="AV398" s="13"/>
      <c r="AW398" s="13"/>
      <c r="AX398" s="13" t="s">
        <v>584</v>
      </c>
      <c r="AY398" s="7" t="s">
        <v>411</v>
      </c>
      <c r="AZ398" s="7"/>
      <c r="BA398" s="7" t="s">
        <v>49</v>
      </c>
      <c r="BB398" s="7" t="s">
        <v>1604</v>
      </c>
      <c r="BC398" s="7"/>
      <c r="BD398" s="9"/>
      <c r="BE398" s="7"/>
      <c r="BF398" s="14" t="str">
        <f aca="true">IF(TRIM($A398)="Finalized","Closed",IF($BD398="","No review date set",IF($BD398&lt;TODAY(),"OVERDUE",IF($BD398-TODAY()&lt;=7,"Due within 7 days","Scheduled"))))</f>
        <v>Closed</v>
      </c>
      <c r="BG398" s="14" t="n">
        <f aca="true">IF($K398="","",TODAY()-$K398)</f>
        <v>5</v>
      </c>
      <c r="BH398" s="15" t="str">
        <f aca="false">IFERROR(LEFT(IF($B398="","Notes, ","")&amp;IF($K398="","Latest Date Worked, ","")&amp;IF($AY398="","Last Action, ","")&amp;IF(AND(OR(TRIM($A398)="Denied",TRIM($A398)="Rejected"),$BA398=""),"Denial Reason, ","")&amp;IF(AND(TRIM($A398)="Denied",$BB398="",TRIM($BA398)&lt;&gt;"NO DENIAL"),"Denial Code, ","")&amp;IF(AND(TRIM($A398)&lt;&gt;"Finalized",$BD398=""),"Next Review Date, ","")&amp;IF(AND(TRIM($A398)&lt;&gt;"Finalized",$BE398=""),"Next Step, ","")&amp;IF(AND(TRIM($A398)="Finalized",$AV398="",$AR398="",$AT398="",$AX398="",$AW398=""),"CPT outcome, ",""),LEN(IF($B398="","Notes, ","")&amp;IF($K398="","Latest Date Worked, ","")&amp;IF($AY398="","Last Action, ","")&amp;IF(AND(OR(TRIM($A398)="Denied",TRIM($A398)="Rejected"),$BA398=""),"Denial Reason, ","")&amp;IF(AND(TRIM($A398)="Denied",$BB398="",TRIM($BA398)&lt;&gt;"NO DENIAL"),"Denial Code, ","")&amp;IF(AND(TRIM($A398)&lt;&gt;"Finalized",$BD398=""),"Next Review Date, ","")&amp;IF(AND(TRIM($A398)&lt;&gt;"Finalized",$BE398=""),"Next Step, ","")&amp;IF(AND(TRIM($A398)="Finalized",$AV398="",$AR398="",$AT398="",$AX398="",$AW398=""),"CPT outcome, ",""))-2),"")</f>
        <v/>
      </c>
      <c r="BI398" s="15" t="str">
        <f aca="false">IF($BB398="","",IFERROR(INDEX('Denial Codes'!$C:$C,MATCH(LEFT($BB398,FIND(" - ",$BB398&amp;" - ")+2)&amp;"*",'Denial Codes'!$A:$A,0)),""))</f>
        <v>Same or similar equipment (DME)</v>
      </c>
      <c r="BJ398" s="15" t="str">
        <f aca="false">IF($BA398="","",IFERROR(INDEX(Lists!$B:$B,MATCH(TRIM($BA398),Lists!$A:$A,0))&amp;"",""))</f>
        <v>Confirm the prior supplier and date; if an ABN was signed, shift to the patient, otherwise adjust.</v>
      </c>
    </row>
    <row r="399" customFormat="false" ht="15" hidden="false" customHeight="false" outlineLevel="0" collapsed="false">
      <c r="A399" s="7" t="s">
        <v>16</v>
      </c>
      <c r="B399" s="7" t="s">
        <v>203</v>
      </c>
      <c r="C399" s="8" t="n">
        <v>551321878</v>
      </c>
      <c r="D399" s="9" t="n">
        <v>46142</v>
      </c>
      <c r="E399" s="10" t="s">
        <v>1605</v>
      </c>
      <c r="F399" s="11" t="n">
        <v>46058</v>
      </c>
      <c r="G399" s="10" t="s">
        <v>555</v>
      </c>
      <c r="H399" s="10" t="s">
        <v>555</v>
      </c>
      <c r="I399" s="10" t="s">
        <v>129</v>
      </c>
      <c r="J399" s="10" t="s">
        <v>1606</v>
      </c>
      <c r="K399" s="9" t="n">
        <v>46195</v>
      </c>
      <c r="L399" s="12" t="str">
        <f aca="true">IF($O399="","",$O399-TODAY())</f>
        <v/>
      </c>
      <c r="M399" s="12" t="str">
        <f aca="true">IF(AND(TRIM($A399)="Finalized",$K399&lt;&gt;""),"",IF($D399="","",$D399+365-TODAY()))</f>
        <v/>
      </c>
      <c r="N399" s="12" t="str">
        <f aca="true">IF(AND(TRIM($A399)="Finalized",$K399&lt;&gt;""),"",IF($D399="","",$D399+365-TODAY()))</f>
        <v/>
      </c>
      <c r="O399" s="11" t="str">
        <f aca="false">IF(AND(TRIM($A399)="Finalized",$K399&lt;&gt;""),"",DATE(2026,5,6))</f>
        <v/>
      </c>
      <c r="P399" s="10" t="s">
        <v>165</v>
      </c>
      <c r="Q399" s="10" t="s">
        <v>557</v>
      </c>
      <c r="R399" s="10" t="s">
        <v>114</v>
      </c>
      <c r="S399" s="10" t="s">
        <v>116</v>
      </c>
      <c r="T399" s="10" t="s">
        <v>114</v>
      </c>
      <c r="U399" s="10" t="s">
        <v>116</v>
      </c>
      <c r="V399" s="10" t="s">
        <v>150</v>
      </c>
      <c r="W399" s="10" t="s">
        <v>132</v>
      </c>
      <c r="X399" s="10"/>
      <c r="Y399" s="10"/>
      <c r="Z399" s="10"/>
      <c r="AA399" s="10" t="s">
        <v>197</v>
      </c>
      <c r="AB399" s="8" t="n">
        <f aca="true">IF($F399="","",TODAY()-$F399)</f>
        <v>253</v>
      </c>
      <c r="AC399" s="10" t="s">
        <v>169</v>
      </c>
      <c r="AD399" s="10" t="s">
        <v>246</v>
      </c>
      <c r="AE399" s="10" t="s">
        <v>1126</v>
      </c>
      <c r="AF399" s="10"/>
      <c r="AG399" s="10"/>
      <c r="AH399" s="10"/>
      <c r="AI399" s="10"/>
      <c r="AJ399" s="10" t="s">
        <v>124</v>
      </c>
      <c r="AK399" s="10" t="s">
        <v>139</v>
      </c>
      <c r="AL399" s="10" t="s">
        <v>452</v>
      </c>
      <c r="AM399" s="10" t="s">
        <v>1607</v>
      </c>
      <c r="AN399" s="8"/>
      <c r="AO399" s="10" t="s">
        <v>546</v>
      </c>
      <c r="AP399" s="10" t="s">
        <v>175</v>
      </c>
      <c r="AQ399" s="11" t="n">
        <v>46083</v>
      </c>
      <c r="AR399" s="13" t="s">
        <v>1126</v>
      </c>
      <c r="AS399" s="13" t="s">
        <v>215</v>
      </c>
      <c r="AT399" s="13"/>
      <c r="AU399" s="13"/>
      <c r="AV399" s="13" t="s">
        <v>922</v>
      </c>
      <c r="AW399" s="13"/>
      <c r="AX399" s="13" t="s">
        <v>922</v>
      </c>
      <c r="AY399" s="7" t="s">
        <v>203</v>
      </c>
      <c r="AZ399" s="7"/>
      <c r="BA399" s="7" t="s">
        <v>37</v>
      </c>
      <c r="BB399" s="7" t="s">
        <v>215</v>
      </c>
      <c r="BC399" s="7" t="s">
        <v>1608</v>
      </c>
      <c r="BD399" s="9"/>
      <c r="BE399" s="7"/>
      <c r="BF399" s="14" t="str">
        <f aca="true">IF(TRIM($A399)="Finalized","Closed",IF($BD399="","No review date set",IF($BD399&lt;TODAY(),"OVERDUE",IF($BD399-TODAY()&lt;=7,"Due within 7 days","Scheduled"))))</f>
        <v>Closed</v>
      </c>
      <c r="BG399" s="14" t="n">
        <f aca="true">IF($K399="","",TODAY()-$K399)</f>
        <v>116</v>
      </c>
      <c r="BH399" s="15" t="str">
        <f aca="false">IFERROR(LEFT(IF($B399="","Notes, ","")&amp;IF($K399="","Latest Date Worked, ","")&amp;IF($AY399="","Last Action, ","")&amp;IF(AND(OR(TRIM($A399)="Denied",TRIM($A399)="Rejected"),$BA399=""),"Denial Reason, ","")&amp;IF(AND(TRIM($A399)="Denied",$BB399="",TRIM($BA399)&lt;&gt;"NO DENIAL"),"Denial Code, ","")&amp;IF(AND(TRIM($A399)&lt;&gt;"Finalized",$BD399=""),"Next Review Date, ","")&amp;IF(AND(TRIM($A399)&lt;&gt;"Finalized",$BE399=""),"Next Step, ","")&amp;IF(AND(TRIM($A399)="Finalized",$AV399="",$AR399="",$AT399="",$AX399="",$AW399=""),"CPT outcome, ",""),LEN(IF($B399="","Notes, ","")&amp;IF($K399="","Latest Date Worked, ","")&amp;IF($AY399="","Last Action, ","")&amp;IF(AND(OR(TRIM($A399)="Denied",TRIM($A399)="Rejected"),$BA399=""),"Denial Reason, ","")&amp;IF(AND(TRIM($A399)="Denied",$BB399="",TRIM($BA399)&lt;&gt;"NO DENIAL"),"Denial Code, ","")&amp;IF(AND(TRIM($A399)&lt;&gt;"Finalized",$BD399=""),"Next Review Date, ","")&amp;IF(AND(TRIM($A399)&lt;&gt;"Finalized",$BE399=""),"Next Step, ","")&amp;IF(AND(TRIM($A399)="Finalized",$AV399="",$AR399="",$AT399="",$AX399="",$AW399=""),"CPT outcome, ",""))-2),"")</f>
        <v/>
      </c>
      <c r="BI399" s="15" t="str">
        <f aca="false">IF($BB399="","",IFERROR(INDEX('Denial Codes'!$C:$C,MATCH(LEFT($BB399,FIND(" - ",$BB399&amp;" - ")+2)&amp;"*",'Denial Codes'!$A:$A,0)),""))</f>
        <v>Bundled / NCCI edit</v>
      </c>
      <c r="BJ399" s="15" t="str">
        <f aca="false">IF($BA399="","",IFERROR(INDEX(Lists!$B:$B,MATCH(TRIM($BA399),Lists!$A:$A,0))&amp;"",""))</f>
        <v>Check the NCCI pair; if the service was distinct, add 59/XU (or XS) and resubmit; otherwise adjust.</v>
      </c>
    </row>
    <row r="400" customFormat="false" ht="15" hidden="false" customHeight="false" outlineLevel="0" collapsed="false">
      <c r="A400" s="7" t="s">
        <v>16</v>
      </c>
      <c r="B400" s="7" t="s">
        <v>203</v>
      </c>
      <c r="C400" s="8" t="n">
        <v>551412333</v>
      </c>
      <c r="D400" s="9" t="n">
        <v>46233</v>
      </c>
      <c r="E400" s="10" t="s">
        <v>1609</v>
      </c>
      <c r="F400" s="11" t="n">
        <v>46072</v>
      </c>
      <c r="G400" s="10" t="s">
        <v>460</v>
      </c>
      <c r="H400" s="10" t="s">
        <v>460</v>
      </c>
      <c r="I400" s="10" t="s">
        <v>129</v>
      </c>
      <c r="J400" s="10" t="s">
        <v>1610</v>
      </c>
      <c r="K400" s="9" t="n">
        <v>46192</v>
      </c>
      <c r="L400" s="12" t="str">
        <f aca="true">IF($O400="","",$O400-TODAY())</f>
        <v/>
      </c>
      <c r="M400" s="12" t="str">
        <f aca="true">IF(AND(TRIM($A400)="Finalized",$K400&lt;&gt;""),"",IF($D400="","",$D400+180-TODAY()))</f>
        <v/>
      </c>
      <c r="N400" s="12" t="str">
        <f aca="true">IF(AND(TRIM($A400)="Finalized",$K400&lt;&gt;""),"",IF($D400="","",$D400+365-TODAY()))</f>
        <v/>
      </c>
      <c r="O400" s="11" t="str">
        <f aca="false">IF(AND(TRIM($A400)="Finalized",$K400&lt;&gt;""),"",DATE(2026,5,20))</f>
        <v/>
      </c>
      <c r="P400" s="10" t="s">
        <v>165</v>
      </c>
      <c r="Q400" s="10" t="s">
        <v>462</v>
      </c>
      <c r="R400" s="10" t="s">
        <v>147</v>
      </c>
      <c r="S400" s="10" t="s">
        <v>116</v>
      </c>
      <c r="T400" s="10" t="s">
        <v>114</v>
      </c>
      <c r="U400" s="10" t="s">
        <v>116</v>
      </c>
      <c r="V400" s="10" t="s">
        <v>150</v>
      </c>
      <c r="W400" s="10" t="s">
        <v>132</v>
      </c>
      <c r="X400" s="10" t="s">
        <v>1479</v>
      </c>
      <c r="Y400" s="10"/>
      <c r="Z400" s="10"/>
      <c r="AA400" s="10" t="s">
        <v>197</v>
      </c>
      <c r="AB400" s="8" t="n">
        <f aca="true">IF($F400="","",TODAY()-$F400)</f>
        <v>239</v>
      </c>
      <c r="AC400" s="10" t="s">
        <v>858</v>
      </c>
      <c r="AD400" s="10"/>
      <c r="AE400" s="10"/>
      <c r="AF400" s="10"/>
      <c r="AG400" s="10"/>
      <c r="AH400" s="10"/>
      <c r="AI400" s="10"/>
      <c r="AJ400" s="10" t="s">
        <v>124</v>
      </c>
      <c r="AK400" s="10" t="s">
        <v>139</v>
      </c>
      <c r="AL400" s="10" t="s">
        <v>598</v>
      </c>
      <c r="AM400" s="10" t="s">
        <v>452</v>
      </c>
      <c r="AN400" s="8"/>
      <c r="AO400" s="10" t="s">
        <v>546</v>
      </c>
      <c r="AP400" s="10" t="s">
        <v>175</v>
      </c>
      <c r="AQ400" s="11" t="n">
        <v>46084</v>
      </c>
      <c r="AR400" s="13"/>
      <c r="AS400" s="13"/>
      <c r="AT400" s="13"/>
      <c r="AU400" s="13"/>
      <c r="AV400" s="13" t="s">
        <v>858</v>
      </c>
      <c r="AW400" s="13"/>
      <c r="AX400" s="13" t="s">
        <v>858</v>
      </c>
      <c r="AY400" s="7" t="s">
        <v>363</v>
      </c>
      <c r="AZ400" s="7"/>
      <c r="BA400" s="7" t="s">
        <v>36</v>
      </c>
      <c r="BB400" s="7"/>
      <c r="BC400" s="7" t="s">
        <v>1611</v>
      </c>
      <c r="BD400" s="9"/>
      <c r="BE400" s="7"/>
      <c r="BF400" s="14" t="str">
        <f aca="true">IF(TRIM($A400)="Finalized","Closed",IF($BD400="","No review date set",IF($BD400&lt;TODAY(),"OVERDUE",IF($BD400-TODAY()&lt;=7,"Due within 7 days","Scheduled"))))</f>
        <v>Closed</v>
      </c>
      <c r="BG400" s="14" t="n">
        <f aca="true">IF($K400="","",TODAY()-$K400)</f>
        <v>119</v>
      </c>
      <c r="BH400" s="15" t="str">
        <f aca="false">IFERROR(LEFT(IF($B400="","Notes, ","")&amp;IF($K400="","Latest Date Worked, ","")&amp;IF($AY400="","Last Action, ","")&amp;IF(AND(OR(TRIM($A400)="Denied",TRIM($A400)="Rejected"),$BA400=""),"Denial Reason, ","")&amp;IF(AND(TRIM($A400)="Denied",$BB400="",TRIM($BA400)&lt;&gt;"NO DENIAL"),"Denial Code, ","")&amp;IF(AND(TRIM($A400)&lt;&gt;"Finalized",$BD400=""),"Next Review Date, ","")&amp;IF(AND(TRIM($A400)&lt;&gt;"Finalized",$BE400=""),"Next Step, ","")&amp;IF(AND(TRIM($A400)="Finalized",$AV400="",$AR400="",$AT400="",$AX400="",$AW400=""),"CPT outcome, ",""),LEN(IF($B400="","Notes, ","")&amp;IF($K400="","Latest Date Worked, ","")&amp;IF($AY400="","Last Action, ","")&amp;IF(AND(OR(TRIM($A400)="Denied",TRIM($A400)="Rejected"),$BA400=""),"Denial Reason, ","")&amp;IF(AND(TRIM($A400)="Denied",$BB400="",TRIM($BA400)&lt;&gt;"NO DENIAL"),"Denial Code, ","")&amp;IF(AND(TRIM($A400)&lt;&gt;"Finalized",$BD400=""),"Next Review Date, ","")&amp;IF(AND(TRIM($A400)&lt;&gt;"Finalized",$BE400=""),"Next Step, ","")&amp;IF(AND(TRIM($A400)="Finalized",$AV400="",$AR400="",$AT400="",$AX400="",$AW400=""),"CPT outcome, ",""))-2),"")</f>
        <v/>
      </c>
      <c r="BI400" s="15" t="str">
        <f aca="false">IF($BB400="","",IFERROR(INDEX('Denial Codes'!$C:$C,MATCH(LEFT($BB400,FIND(" - ",$BB400&amp;" - ")+2)&amp;"*",'Denial Codes'!$A:$A,0)),""))</f>
        <v/>
      </c>
      <c r="BJ400" s="15" t="str">
        <f aca="false">IF($BA400="","",IFERROR(INDEX(Lists!$B:$B,MATCH(TRIM($BA400),Lists!$A:$A,0))&amp;"",""))</f>
        <v>Upload the MR on the payer portal, note the PIQ/reference number and set a review date.</v>
      </c>
    </row>
    <row r="401" customFormat="false" ht="15" hidden="false" customHeight="false" outlineLevel="0" collapsed="false">
      <c r="A401" s="7" t="s">
        <v>16</v>
      </c>
      <c r="B401" s="7" t="s">
        <v>1612</v>
      </c>
      <c r="C401" s="8" t="n">
        <v>555728365</v>
      </c>
      <c r="D401" s="9" t="n">
        <v>46129</v>
      </c>
      <c r="E401" s="10" t="s">
        <v>1613</v>
      </c>
      <c r="F401" s="11" t="n">
        <v>46092</v>
      </c>
      <c r="G401" s="10" t="s">
        <v>369</v>
      </c>
      <c r="H401" s="10" t="s">
        <v>369</v>
      </c>
      <c r="I401" s="10" t="s">
        <v>129</v>
      </c>
      <c r="J401" s="10" t="s">
        <v>583</v>
      </c>
      <c r="K401" s="9" t="n">
        <v>46257</v>
      </c>
      <c r="L401" s="12" t="str">
        <f aca="true">IF($O401="","",$O401-TODAY())</f>
        <v/>
      </c>
      <c r="M401" s="12" t="str">
        <f aca="true">IF(AND(TRIM($A401)="Finalized",$K401&lt;&gt;""),"",IF($D401="","",$D401+365-TODAY()))</f>
        <v/>
      </c>
      <c r="N401" s="12" t="str">
        <f aca="true">IF(AND(TRIM($A401)="Finalized",$K401&lt;&gt;""),"",IF($D401="","",$D401+365-TODAY()))</f>
        <v/>
      </c>
      <c r="O401" s="11" t="str">
        <f aca="false">IF(AND(TRIM($A401)="Finalized",$K401&lt;&gt;""),"",DATE(2026,6,9))</f>
        <v/>
      </c>
      <c r="P401" s="10" t="s">
        <v>165</v>
      </c>
      <c r="Q401" s="10" t="s">
        <v>371</v>
      </c>
      <c r="R401" s="10" t="s">
        <v>114</v>
      </c>
      <c r="S401" s="10" t="s">
        <v>116</v>
      </c>
      <c r="T401" s="10" t="s">
        <v>114</v>
      </c>
      <c r="U401" s="10" t="s">
        <v>116</v>
      </c>
      <c r="V401" s="10" t="s">
        <v>167</v>
      </c>
      <c r="W401" s="10" t="s">
        <v>119</v>
      </c>
      <c r="X401" s="10" t="s">
        <v>151</v>
      </c>
      <c r="Y401" s="10"/>
      <c r="Z401" s="10"/>
      <c r="AA401" s="10" t="s">
        <v>197</v>
      </c>
      <c r="AB401" s="8" t="n">
        <f aca="true">IF($F401="","",TODAY()-$F401)</f>
        <v>219</v>
      </c>
      <c r="AC401" s="10" t="s">
        <v>584</v>
      </c>
      <c r="AD401" s="10"/>
      <c r="AE401" s="10"/>
      <c r="AF401" s="10"/>
      <c r="AG401" s="10"/>
      <c r="AH401" s="10"/>
      <c r="AI401" s="10"/>
      <c r="AJ401" s="10" t="s">
        <v>139</v>
      </c>
      <c r="AK401" s="10" t="s">
        <v>585</v>
      </c>
      <c r="AL401" s="10"/>
      <c r="AM401" s="10"/>
      <c r="AN401" s="8"/>
      <c r="AO401" s="10" t="s">
        <v>506</v>
      </c>
      <c r="AP401" s="10" t="s">
        <v>188</v>
      </c>
      <c r="AQ401" s="11" t="n">
        <v>46125</v>
      </c>
      <c r="AR401" s="13"/>
      <c r="AS401" s="13"/>
      <c r="AT401" s="13" t="s">
        <v>584</v>
      </c>
      <c r="AU401" s="13" t="s">
        <v>508</v>
      </c>
      <c r="AV401" s="13"/>
      <c r="AW401" s="13"/>
      <c r="AX401" s="13"/>
      <c r="AY401" s="7" t="s">
        <v>465</v>
      </c>
      <c r="AZ401" s="7"/>
      <c r="BA401" s="7" t="s">
        <v>47</v>
      </c>
      <c r="BB401" s="7" t="s">
        <v>508</v>
      </c>
      <c r="BC401" s="7"/>
      <c r="BD401" s="9"/>
      <c r="BE401" s="7"/>
      <c r="BF401" s="14" t="str">
        <f aca="true">IF(TRIM($A401)="Finalized","Closed",IF($BD401="","No review date set",IF($BD401&lt;TODAY(),"OVERDUE",IF($BD401-TODAY()&lt;=7,"Due within 7 days","Scheduled"))))</f>
        <v>Closed</v>
      </c>
      <c r="BG401" s="14" t="n">
        <f aca="true">IF($K401="","",TODAY()-$K401)</f>
        <v>54</v>
      </c>
      <c r="BH401" s="15" t="str">
        <f aca="false">IFERROR(LEFT(IF($B401="","Notes, ","")&amp;IF($K401="","Latest Date Worked, ","")&amp;IF($AY401="","Last Action, ","")&amp;IF(AND(OR(TRIM($A401)="Denied",TRIM($A401)="Rejected"),$BA401=""),"Denial Reason, ","")&amp;IF(AND(TRIM($A401)="Denied",$BB401="",TRIM($BA401)&lt;&gt;"NO DENIAL"),"Denial Code, ","")&amp;IF(AND(TRIM($A401)&lt;&gt;"Finalized",$BD401=""),"Next Review Date, ","")&amp;IF(AND(TRIM($A401)&lt;&gt;"Finalized",$BE401=""),"Next Step, ","")&amp;IF(AND(TRIM($A401)="Finalized",$AV401="",$AR401="",$AT401="",$AX401="",$AW401=""),"CPT outcome, ",""),LEN(IF($B401="","Notes, ","")&amp;IF($K401="","Latest Date Worked, ","")&amp;IF($AY401="","Last Action, ","")&amp;IF(AND(OR(TRIM($A401)="Denied",TRIM($A401)="Rejected"),$BA401=""),"Denial Reason, ","")&amp;IF(AND(TRIM($A401)="Denied",$BB401="",TRIM($BA401)&lt;&gt;"NO DENIAL"),"Denial Code, ","")&amp;IF(AND(TRIM($A401)&lt;&gt;"Finalized",$BD401=""),"Next Review Date, ","")&amp;IF(AND(TRIM($A401)&lt;&gt;"Finalized",$BE401=""),"Next Step, ","")&amp;IF(AND(TRIM($A401)="Finalized",$AV401="",$AR401="",$AT401="",$AX401="",$AW401=""),"CPT outcome, ",""))-2),"")</f>
        <v/>
      </c>
      <c r="BI401" s="15" t="str">
        <f aca="false">IF($BB401="","",IFERROR(INDEX('Denial Codes'!$C:$C,MATCH(LEFT($BB401,FIND(" - ",$BB401&amp;" - ")+2)&amp;"*",'Denial Codes'!$A:$A,0)),""))</f>
        <v>Credentialing / out of network</v>
      </c>
      <c r="BJ401" s="15" t="str">
        <f aca="false">IF($BA401="","",IFERROR(INDEX(Lists!$B:$B,MATCH(TRIM($BA401),Lists!$A:$A,0))&amp;"",""))</f>
        <v>Check provider enrollment, NPI/TIN and network status; appeal once credentialing is confirmed.</v>
      </c>
    </row>
    <row r="402" customFormat="false" ht="15" hidden="false" customHeight="false" outlineLevel="0" collapsed="false">
      <c r="A402" s="7" t="s">
        <v>16</v>
      </c>
      <c r="B402" s="7" t="s">
        <v>1614</v>
      </c>
      <c r="C402" s="8" t="n">
        <v>563362999</v>
      </c>
      <c r="D402" s="9" t="n">
        <v>46288</v>
      </c>
      <c r="E402" s="10" t="s">
        <v>1615</v>
      </c>
      <c r="F402" s="11" t="n">
        <v>46094</v>
      </c>
      <c r="G402" s="10" t="s">
        <v>208</v>
      </c>
      <c r="H402" s="10" t="s">
        <v>208</v>
      </c>
      <c r="I402" s="10" t="s">
        <v>129</v>
      </c>
      <c r="J402" s="10" t="s">
        <v>1616</v>
      </c>
      <c r="K402" s="9" t="n">
        <v>46286</v>
      </c>
      <c r="L402" s="12" t="str">
        <f aca="true">IF($O402="","",$O402-TODAY())</f>
        <v/>
      </c>
      <c r="M402" s="12" t="str">
        <f aca="true">IF(AND(TRIM($A402)="Finalized",$K402&lt;&gt;""),"",IF($D402="","",$D402+180-TODAY()))</f>
        <v/>
      </c>
      <c r="N402" s="12" t="str">
        <f aca="true">IF(AND(TRIM($A402)="Finalized",$K402&lt;&gt;""),"",IF($D402="","",$D402+365-TODAY()))</f>
        <v/>
      </c>
      <c r="O402" s="11" t="str">
        <f aca="false">IF(AND(TRIM($A402)="Finalized",$K402&lt;&gt;""),"",DATE(2026,6,11))</f>
        <v/>
      </c>
      <c r="P402" s="10" t="s">
        <v>165</v>
      </c>
      <c r="Q402" s="10" t="s">
        <v>210</v>
      </c>
      <c r="R402" s="10" t="s">
        <v>147</v>
      </c>
      <c r="S402" s="10" t="s">
        <v>116</v>
      </c>
      <c r="T402" s="10" t="s">
        <v>114</v>
      </c>
      <c r="U402" s="10" t="s">
        <v>116</v>
      </c>
      <c r="V402" s="10" t="s">
        <v>167</v>
      </c>
      <c r="W402" s="10" t="s">
        <v>183</v>
      </c>
      <c r="X402" s="10" t="s">
        <v>591</v>
      </c>
      <c r="Y402" s="10"/>
      <c r="Z402" s="10"/>
      <c r="AA402" s="10" t="s">
        <v>197</v>
      </c>
      <c r="AB402" s="8" t="n">
        <f aca="true">IF($F402="","",TODAY()-$F402)</f>
        <v>217</v>
      </c>
      <c r="AC402" s="10" t="s">
        <v>185</v>
      </c>
      <c r="AD402" s="10" t="s">
        <v>184</v>
      </c>
      <c r="AE402" s="10"/>
      <c r="AF402" s="10"/>
      <c r="AG402" s="10"/>
      <c r="AH402" s="10"/>
      <c r="AI402" s="10"/>
      <c r="AJ402" s="10" t="s">
        <v>511</v>
      </c>
      <c r="AK402" s="10"/>
      <c r="AL402" s="10"/>
      <c r="AM402" s="10"/>
      <c r="AN402" s="8"/>
      <c r="AO402" s="10" t="s">
        <v>326</v>
      </c>
      <c r="AP402" s="10" t="s">
        <v>202</v>
      </c>
      <c r="AQ402" s="11" t="n">
        <v>46119</v>
      </c>
      <c r="AR402" s="13"/>
      <c r="AS402" s="13"/>
      <c r="AT402" s="13" t="s">
        <v>189</v>
      </c>
      <c r="AU402" s="13" t="s">
        <v>559</v>
      </c>
      <c r="AV402" s="13"/>
      <c r="AW402" s="13"/>
      <c r="AX402" s="13"/>
      <c r="AY402" s="7" t="s">
        <v>159</v>
      </c>
      <c r="AZ402" s="7" t="s">
        <v>159</v>
      </c>
      <c r="BA402" s="7" t="s">
        <v>35</v>
      </c>
      <c r="BB402" s="7" t="s">
        <v>559</v>
      </c>
      <c r="BC402" s="7"/>
      <c r="BD402" s="9"/>
      <c r="BE402" s="7"/>
      <c r="BF402" s="14" t="str">
        <f aca="true">IF(TRIM($A402)="Finalized","Closed",IF($BD402="","No review date set",IF($BD402&lt;TODAY(),"OVERDUE",IF($BD402-TODAY()&lt;=7,"Due within 7 days","Scheduled"))))</f>
        <v>Closed</v>
      </c>
      <c r="BG402" s="14" t="n">
        <f aca="true">IF($K402="","",TODAY()-$K402)</f>
        <v>25</v>
      </c>
      <c r="BH402" s="15" t="str">
        <f aca="false">IFERROR(LEFT(IF($B402="","Notes, ","")&amp;IF($K402="","Latest Date Worked, ","")&amp;IF($AY402="","Last Action, ","")&amp;IF(AND(OR(TRIM($A402)="Denied",TRIM($A402)="Rejected"),$BA402=""),"Denial Reason, ","")&amp;IF(AND(TRIM($A402)="Denied",$BB402="",TRIM($BA402)&lt;&gt;"NO DENIAL"),"Denial Code, ","")&amp;IF(AND(TRIM($A402)&lt;&gt;"Finalized",$BD402=""),"Next Review Date, ","")&amp;IF(AND(TRIM($A402)&lt;&gt;"Finalized",$BE402=""),"Next Step, ","")&amp;IF(AND(TRIM($A402)="Finalized",$AV402="",$AR402="",$AT402="",$AX402="",$AW402=""),"CPT outcome, ",""),LEN(IF($B402="","Notes, ","")&amp;IF($K402="","Latest Date Worked, ","")&amp;IF($AY402="","Last Action, ","")&amp;IF(AND(OR(TRIM($A402)="Denied",TRIM($A402)="Rejected"),$BA402=""),"Denial Reason, ","")&amp;IF(AND(TRIM($A402)="Denied",$BB402="",TRIM($BA402)&lt;&gt;"NO DENIAL"),"Denial Code, ","")&amp;IF(AND(TRIM($A402)&lt;&gt;"Finalized",$BD402=""),"Next Review Date, ","")&amp;IF(AND(TRIM($A402)&lt;&gt;"Finalized",$BE402=""),"Next Step, ","")&amp;IF(AND(TRIM($A402)="Finalized",$AV402="",$AR402="",$AT402="",$AX402="",$AW402=""),"CPT outcome, ",""))-2),"")</f>
        <v/>
      </c>
      <c r="BI402" s="15" t="str">
        <f aca="false">IF($BB402="","",IFERROR(INDEX('Denial Codes'!$C:$C,MATCH(LEFT($BB402,FIND(" - ",$BB402&amp;" - ")+2)&amp;"*",'Denial Codes'!$A:$A,0)),""))</f>
        <v>Timely filing</v>
      </c>
      <c r="BJ402" s="15" t="str">
        <f aca="false">IF($BA402="","",IFERROR(INDEX(Lists!$B:$B,MATCH(TRIM($BA402),Lists!$A:$A,0))&amp;"",""))</f>
        <v>Find proof of timely filing (clearinghouse acceptance or earlier submission) and appeal with it; if none, adjust the balance.</v>
      </c>
    </row>
    <row r="403" customFormat="false" ht="15" hidden="false" customHeight="false" outlineLevel="0" collapsed="false">
      <c r="A403" s="7" t="s">
        <v>16</v>
      </c>
      <c r="B403" s="7" t="s">
        <v>1617</v>
      </c>
      <c r="C403" s="8" t="n">
        <v>552871981</v>
      </c>
      <c r="D403" s="9" t="n">
        <v>46227</v>
      </c>
      <c r="E403" s="10" t="s">
        <v>1618</v>
      </c>
      <c r="F403" s="11" t="n">
        <v>46097</v>
      </c>
      <c r="G403" s="10" t="s">
        <v>369</v>
      </c>
      <c r="H403" s="10" t="s">
        <v>369</v>
      </c>
      <c r="I403" s="10" t="s">
        <v>129</v>
      </c>
      <c r="J403" s="10" t="s">
        <v>461</v>
      </c>
      <c r="K403" s="9" t="n">
        <v>46245</v>
      </c>
      <c r="L403" s="12" t="str">
        <f aca="true">IF($O403="","",$O403-TODAY())</f>
        <v/>
      </c>
      <c r="M403" s="12" t="str">
        <f aca="true">IF(AND(TRIM($A403)="Finalized",$K403&lt;&gt;""),"",IF($D403="","",$D403+365-TODAY()))</f>
        <v/>
      </c>
      <c r="N403" s="12" t="str">
        <f aca="true">IF(AND(TRIM($A403)="Finalized",$K403&lt;&gt;""),"",IF($D403="","",$D403+365-TODAY()))</f>
        <v/>
      </c>
      <c r="O403" s="11" t="str">
        <f aca="false">IF(AND(TRIM($A403)="Finalized",$K403&lt;&gt;""),"",DATE(2026,6,14))</f>
        <v/>
      </c>
      <c r="P403" s="10" t="s">
        <v>165</v>
      </c>
      <c r="Q403" s="10" t="s">
        <v>371</v>
      </c>
      <c r="R403" s="10" t="s">
        <v>114</v>
      </c>
      <c r="S403" s="10" t="s">
        <v>116</v>
      </c>
      <c r="T403" s="10" t="s">
        <v>114</v>
      </c>
      <c r="U403" s="10" t="s">
        <v>116</v>
      </c>
      <c r="V403" s="10" t="s">
        <v>167</v>
      </c>
      <c r="W403" s="10" t="s">
        <v>119</v>
      </c>
      <c r="X403" s="10" t="s">
        <v>120</v>
      </c>
      <c r="Y403" s="10"/>
      <c r="Z403" s="10"/>
      <c r="AA403" s="10" t="s">
        <v>230</v>
      </c>
      <c r="AB403" s="8" t="n">
        <f aca="true">IF($F403="","",TODAY()-$F403)</f>
        <v>214</v>
      </c>
      <c r="AC403" s="10" t="s">
        <v>273</v>
      </c>
      <c r="AD403" s="10"/>
      <c r="AE403" s="10"/>
      <c r="AF403" s="10"/>
      <c r="AG403" s="10"/>
      <c r="AH403" s="10"/>
      <c r="AI403" s="10"/>
      <c r="AJ403" s="10" t="s">
        <v>1619</v>
      </c>
      <c r="AK403" s="10" t="s">
        <v>1375</v>
      </c>
      <c r="AL403" s="10" t="s">
        <v>1620</v>
      </c>
      <c r="AM403" s="10"/>
      <c r="AN403" s="8"/>
      <c r="AO403" s="10" t="s">
        <v>962</v>
      </c>
      <c r="AP403" s="10" t="s">
        <v>188</v>
      </c>
      <c r="AQ403" s="11" t="n">
        <v>46217</v>
      </c>
      <c r="AR403" s="13"/>
      <c r="AS403" s="13"/>
      <c r="AT403" s="13" t="s">
        <v>273</v>
      </c>
      <c r="AU403" s="13" t="s">
        <v>559</v>
      </c>
      <c r="AV403" s="13"/>
      <c r="AW403" s="13"/>
      <c r="AX403" s="13"/>
      <c r="AY403" s="7" t="s">
        <v>465</v>
      </c>
      <c r="AZ403" s="7"/>
      <c r="BA403" s="7" t="s">
        <v>35</v>
      </c>
      <c r="BB403" s="7" t="s">
        <v>559</v>
      </c>
      <c r="BC403" s="7"/>
      <c r="BD403" s="9"/>
      <c r="BE403" s="7"/>
      <c r="BF403" s="14" t="str">
        <f aca="true">IF(TRIM($A403)="Finalized","Closed",IF($BD403="","No review date set",IF($BD403&lt;TODAY(),"OVERDUE",IF($BD403-TODAY()&lt;=7,"Due within 7 days","Scheduled"))))</f>
        <v>Closed</v>
      </c>
      <c r="BG403" s="14" t="n">
        <f aca="true">IF($K403="","",TODAY()-$K403)</f>
        <v>66</v>
      </c>
      <c r="BH403" s="15" t="str">
        <f aca="false">IFERROR(LEFT(IF($B403="","Notes, ","")&amp;IF($K403="","Latest Date Worked, ","")&amp;IF($AY403="","Last Action, ","")&amp;IF(AND(OR(TRIM($A403)="Denied",TRIM($A403)="Rejected"),$BA403=""),"Denial Reason, ","")&amp;IF(AND(TRIM($A403)="Denied",$BB403="",TRIM($BA403)&lt;&gt;"NO DENIAL"),"Denial Code, ","")&amp;IF(AND(TRIM($A403)&lt;&gt;"Finalized",$BD403=""),"Next Review Date, ","")&amp;IF(AND(TRIM($A403)&lt;&gt;"Finalized",$BE403=""),"Next Step, ","")&amp;IF(AND(TRIM($A403)="Finalized",$AV403="",$AR403="",$AT403="",$AX403="",$AW403=""),"CPT outcome, ",""),LEN(IF($B403="","Notes, ","")&amp;IF($K403="","Latest Date Worked, ","")&amp;IF($AY403="","Last Action, ","")&amp;IF(AND(OR(TRIM($A403)="Denied",TRIM($A403)="Rejected"),$BA403=""),"Denial Reason, ","")&amp;IF(AND(TRIM($A403)="Denied",$BB403="",TRIM($BA403)&lt;&gt;"NO DENIAL"),"Denial Code, ","")&amp;IF(AND(TRIM($A403)&lt;&gt;"Finalized",$BD403=""),"Next Review Date, ","")&amp;IF(AND(TRIM($A403)&lt;&gt;"Finalized",$BE403=""),"Next Step, ","")&amp;IF(AND(TRIM($A403)="Finalized",$AV403="",$AR403="",$AT403="",$AX403="",$AW403=""),"CPT outcome, ",""))-2),"")</f>
        <v/>
      </c>
      <c r="BI403" s="15" t="str">
        <f aca="false">IF($BB403="","",IFERROR(INDEX('Denial Codes'!$C:$C,MATCH(LEFT($BB403,FIND(" - ",$BB403&amp;" - ")+2)&amp;"*",'Denial Codes'!$A:$A,0)),""))</f>
        <v>Timely filing</v>
      </c>
      <c r="BJ403" s="15" t="str">
        <f aca="false">IF($BA403="","",IFERROR(INDEX(Lists!$B:$B,MATCH(TRIM($BA403),Lists!$A:$A,0))&amp;"",""))</f>
        <v>Find proof of timely filing (clearinghouse acceptance or earlier submission) and appeal with it; if none, adjust the balance.</v>
      </c>
    </row>
    <row r="404" customFormat="false" ht="15" hidden="false" customHeight="false" outlineLevel="0" collapsed="false">
      <c r="A404" s="7" t="s">
        <v>16</v>
      </c>
      <c r="B404" s="7" t="s">
        <v>1621</v>
      </c>
      <c r="C404" s="8" t="n">
        <v>555169750</v>
      </c>
      <c r="D404" s="9" t="n">
        <v>46141</v>
      </c>
      <c r="E404" s="10" t="s">
        <v>560</v>
      </c>
      <c r="F404" s="11" t="n">
        <v>46104</v>
      </c>
      <c r="G404" s="10" t="s">
        <v>369</v>
      </c>
      <c r="H404" s="10" t="s">
        <v>369</v>
      </c>
      <c r="I404" s="10" t="s">
        <v>129</v>
      </c>
      <c r="J404" s="10" t="s">
        <v>339</v>
      </c>
      <c r="K404" s="9" t="n">
        <v>46266</v>
      </c>
      <c r="L404" s="12" t="str">
        <f aca="true">IF($O404="","",$O404-TODAY())</f>
        <v/>
      </c>
      <c r="M404" s="12" t="str">
        <f aca="true">IF(AND(TRIM($A404)="Finalized",$K404&lt;&gt;""),"",IF($D404="","",$D404+365-TODAY()))</f>
        <v/>
      </c>
      <c r="N404" s="12" t="str">
        <f aca="true">IF(AND(TRIM($A404)="Finalized",$K404&lt;&gt;""),"",IF($D404="","",$D404+365-TODAY()))</f>
        <v/>
      </c>
      <c r="O404" s="11" t="str">
        <f aca="false">IF(AND(TRIM($A404)="Finalized",$K404&lt;&gt;""),"",DATE(2026,6,21))</f>
        <v/>
      </c>
      <c r="P404" s="10" t="s">
        <v>165</v>
      </c>
      <c r="Q404" s="10" t="s">
        <v>371</v>
      </c>
      <c r="R404" s="10" t="s">
        <v>114</v>
      </c>
      <c r="S404" s="10" t="s">
        <v>116</v>
      </c>
      <c r="T404" s="10" t="s">
        <v>114</v>
      </c>
      <c r="U404" s="10" t="s">
        <v>116</v>
      </c>
      <c r="V404" s="10" t="s">
        <v>167</v>
      </c>
      <c r="W404" s="10" t="s">
        <v>183</v>
      </c>
      <c r="X404" s="10"/>
      <c r="Y404" s="10"/>
      <c r="Z404" s="10"/>
      <c r="AA404" s="10" t="s">
        <v>197</v>
      </c>
      <c r="AB404" s="8" t="n">
        <f aca="true">IF($F404="","",TODAY()-$F404)</f>
        <v>207</v>
      </c>
      <c r="AC404" s="10" t="s">
        <v>184</v>
      </c>
      <c r="AD404" s="10"/>
      <c r="AE404" s="10"/>
      <c r="AF404" s="10"/>
      <c r="AG404" s="10"/>
      <c r="AH404" s="10"/>
      <c r="AI404" s="10"/>
      <c r="AJ404" s="10" t="s">
        <v>751</v>
      </c>
      <c r="AK404" s="10" t="s">
        <v>284</v>
      </c>
      <c r="AL404" s="10"/>
      <c r="AM404" s="10"/>
      <c r="AN404" s="8"/>
      <c r="AO404" s="10" t="s">
        <v>213</v>
      </c>
      <c r="AP404" s="10" t="s">
        <v>1072</v>
      </c>
      <c r="AQ404" s="11" t="n">
        <v>46105</v>
      </c>
      <c r="AR404" s="13"/>
      <c r="AS404" s="13"/>
      <c r="AT404" s="13"/>
      <c r="AU404" s="13"/>
      <c r="AV404" s="13" t="s">
        <v>211</v>
      </c>
      <c r="AW404" s="13"/>
      <c r="AX404" s="13" t="s">
        <v>1622</v>
      </c>
      <c r="AY404" s="7" t="s">
        <v>363</v>
      </c>
      <c r="AZ404" s="7" t="s">
        <v>847</v>
      </c>
      <c r="BA404" s="7" t="s">
        <v>40</v>
      </c>
      <c r="BB404" s="7"/>
      <c r="BC404" s="7"/>
      <c r="BD404" s="9"/>
      <c r="BE404" s="7"/>
      <c r="BF404" s="14" t="str">
        <f aca="true">IF(TRIM($A404)="Finalized","Closed",IF($BD404="","No review date set",IF($BD404&lt;TODAY(),"OVERDUE",IF($BD404-TODAY()&lt;=7,"Due within 7 days","Scheduled"))))</f>
        <v>Closed</v>
      </c>
      <c r="BG404" s="14" t="n">
        <f aca="true">IF($K404="","",TODAY()-$K404)</f>
        <v>45</v>
      </c>
      <c r="BH404" s="15" t="str">
        <f aca="false">IFERROR(LEFT(IF($B404="","Notes, ","")&amp;IF($K404="","Latest Date Worked, ","")&amp;IF($AY404="","Last Action, ","")&amp;IF(AND(OR(TRIM($A404)="Denied",TRIM($A404)="Rejected"),$BA404=""),"Denial Reason, ","")&amp;IF(AND(TRIM($A404)="Denied",$BB404="",TRIM($BA404)&lt;&gt;"NO DENIAL"),"Denial Code, ","")&amp;IF(AND(TRIM($A404)&lt;&gt;"Finalized",$BD404=""),"Next Review Date, ","")&amp;IF(AND(TRIM($A404)&lt;&gt;"Finalized",$BE404=""),"Next Step, ","")&amp;IF(AND(TRIM($A404)="Finalized",$AV404="",$AR404="",$AT404="",$AX404="",$AW404=""),"CPT outcome, ",""),LEN(IF($B404="","Notes, ","")&amp;IF($K404="","Latest Date Worked, ","")&amp;IF($AY404="","Last Action, ","")&amp;IF(AND(OR(TRIM($A404)="Denied",TRIM($A404)="Rejected"),$BA404=""),"Denial Reason, ","")&amp;IF(AND(TRIM($A404)="Denied",$BB404="",TRIM($BA404)&lt;&gt;"NO DENIAL"),"Denial Code, ","")&amp;IF(AND(TRIM($A404)&lt;&gt;"Finalized",$BD404=""),"Next Review Date, ","")&amp;IF(AND(TRIM($A404)&lt;&gt;"Finalized",$BE404=""),"Next Step, ","")&amp;IF(AND(TRIM($A404)="Finalized",$AV404="",$AR404="",$AT404="",$AX404="",$AW404=""),"CPT outcome, ",""))-2),"")</f>
        <v/>
      </c>
      <c r="BI404" s="15" t="str">
        <f aca="false">IF($BB404="","",IFERROR(INDEX('Denial Codes'!$C:$C,MATCH(LEFT($BB404,FIND(" - ",$BB404&amp;" - ")+2)&amp;"*",'Denial Codes'!$A:$A,0)),""))</f>
        <v/>
      </c>
      <c r="BJ404" s="15" t="str">
        <f aca="false">IF($BA404="","",IFERROR(INDEX(Lists!$B:$B,MATCH(TRIM($BA404),Lists!$A:$A,0))&amp;"",""))</f>
        <v>Fix the code, units, charge or other claim data and resubmit as a corrected claim.</v>
      </c>
    </row>
    <row r="405" customFormat="false" ht="15" hidden="false" customHeight="false" outlineLevel="0" collapsed="false">
      <c r="A405" s="7" t="s">
        <v>16</v>
      </c>
      <c r="B405" s="7" t="s">
        <v>1623</v>
      </c>
      <c r="C405" s="8" t="n">
        <v>569508762</v>
      </c>
      <c r="D405" s="9" t="n">
        <v>46127</v>
      </c>
      <c r="E405" s="10" t="s">
        <v>1624</v>
      </c>
      <c r="F405" s="11" t="n">
        <v>46105</v>
      </c>
      <c r="G405" s="10" t="s">
        <v>485</v>
      </c>
      <c r="H405" s="10" t="s">
        <v>485</v>
      </c>
      <c r="I405" s="10" t="s">
        <v>129</v>
      </c>
      <c r="J405" s="10" t="s">
        <v>194</v>
      </c>
      <c r="K405" s="9" t="n">
        <v>46269</v>
      </c>
      <c r="L405" s="12" t="str">
        <f aca="true">IF($O405="","",$O405-TODAY())</f>
        <v/>
      </c>
      <c r="M405" s="12" t="str">
        <f aca="true">IF(AND(TRIM($A405)="Finalized",$K405&lt;&gt;""),"",IF($F405="","",$F405+90-TODAY()))</f>
        <v/>
      </c>
      <c r="N405" s="12" t="str">
        <f aca="true">IF(AND(TRIM($A405)="Finalized",$K405&lt;&gt;""),"",IF($D405="","",$D405+180-TODAY()))</f>
        <v/>
      </c>
      <c r="O405" s="11" t="str">
        <f aca="false">IF(AND(TRIM($A405)="Finalized",$K405&lt;&gt;""),"",DATE(2026,6,22))</f>
        <v/>
      </c>
      <c r="P405" s="10" t="s">
        <v>165</v>
      </c>
      <c r="Q405" s="10" t="s">
        <v>220</v>
      </c>
      <c r="R405" s="10" t="s">
        <v>165</v>
      </c>
      <c r="S405" s="10" t="s">
        <v>149</v>
      </c>
      <c r="T405" s="10" t="s">
        <v>147</v>
      </c>
      <c r="U405" s="10" t="s">
        <v>116</v>
      </c>
      <c r="V405" s="10" t="s">
        <v>167</v>
      </c>
      <c r="W405" s="10" t="s">
        <v>196</v>
      </c>
      <c r="X405" s="10"/>
      <c r="Y405" s="10"/>
      <c r="Z405" s="10"/>
      <c r="AA405" s="10" t="s">
        <v>197</v>
      </c>
      <c r="AB405" s="8" t="n">
        <f aca="true">IF($F405="","",TODAY()-$F405)</f>
        <v>206</v>
      </c>
      <c r="AC405" s="10" t="s">
        <v>198</v>
      </c>
      <c r="AD405" s="10"/>
      <c r="AE405" s="10"/>
      <c r="AF405" s="10"/>
      <c r="AG405" s="10"/>
      <c r="AH405" s="10"/>
      <c r="AI405" s="10"/>
      <c r="AJ405" s="10" t="s">
        <v>444</v>
      </c>
      <c r="AK405" s="10" t="s">
        <v>267</v>
      </c>
      <c r="AL405" s="10" t="s">
        <v>1411</v>
      </c>
      <c r="AM405" s="10"/>
      <c r="AN405" s="8"/>
      <c r="AO405" s="10" t="s">
        <v>201</v>
      </c>
      <c r="AP405" s="10" t="s">
        <v>202</v>
      </c>
      <c r="AQ405" s="11" t="n">
        <v>46121</v>
      </c>
      <c r="AR405" s="13"/>
      <c r="AS405" s="13"/>
      <c r="AT405" s="13"/>
      <c r="AU405" s="13"/>
      <c r="AV405" s="13" t="s">
        <v>198</v>
      </c>
      <c r="AW405" s="13"/>
      <c r="AX405" s="13" t="s">
        <v>198</v>
      </c>
      <c r="AY405" s="7" t="s">
        <v>363</v>
      </c>
      <c r="AZ405" s="7" t="s">
        <v>159</v>
      </c>
      <c r="BA405" s="7" t="s">
        <v>39</v>
      </c>
      <c r="BB405" s="7"/>
      <c r="BC405" s="7"/>
      <c r="BD405" s="9"/>
      <c r="BE405" s="7"/>
      <c r="BF405" s="14" t="str">
        <f aca="true">IF(TRIM($A405)="Finalized","Closed",IF($BD405="","No review date set",IF($BD405&lt;TODAY(),"OVERDUE",IF($BD405-TODAY()&lt;=7,"Due within 7 days","Scheduled"))))</f>
        <v>Closed</v>
      </c>
      <c r="BG405" s="14" t="n">
        <f aca="true">IF($K405="","",TODAY()-$K405)</f>
        <v>42</v>
      </c>
      <c r="BH405" s="15" t="str">
        <f aca="false">IFERROR(LEFT(IF($B405="","Notes, ","")&amp;IF($K405="","Latest Date Worked, ","")&amp;IF($AY405="","Last Action, ","")&amp;IF(AND(OR(TRIM($A405)="Denied",TRIM($A405)="Rejected"),$BA405=""),"Denial Reason, ","")&amp;IF(AND(TRIM($A405)="Denied",$BB405="",TRIM($BA405)&lt;&gt;"NO DENIAL"),"Denial Code, ","")&amp;IF(AND(TRIM($A405)&lt;&gt;"Finalized",$BD405=""),"Next Review Date, ","")&amp;IF(AND(TRIM($A405)&lt;&gt;"Finalized",$BE405=""),"Next Step, ","")&amp;IF(AND(TRIM($A405)="Finalized",$AV405="",$AR405="",$AT405="",$AX405="",$AW405=""),"CPT outcome, ",""),LEN(IF($B405="","Notes, ","")&amp;IF($K405="","Latest Date Worked, ","")&amp;IF($AY405="","Last Action, ","")&amp;IF(AND(OR(TRIM($A405)="Denied",TRIM($A405)="Rejected"),$BA405=""),"Denial Reason, ","")&amp;IF(AND(TRIM($A405)="Denied",$BB405="",TRIM($BA405)&lt;&gt;"NO DENIAL"),"Denial Code, ","")&amp;IF(AND(TRIM($A405)&lt;&gt;"Finalized",$BD405=""),"Next Review Date, ","")&amp;IF(AND(TRIM($A405)&lt;&gt;"Finalized",$BE405=""),"Next Step, ","")&amp;IF(AND(TRIM($A405)="Finalized",$AV405="",$AR405="",$AT405="",$AX405="",$AW405=""),"CPT outcome, ",""))-2),"")</f>
        <v/>
      </c>
      <c r="BI405" s="15" t="str">
        <f aca="false">IF($BB405="","",IFERROR(INDEX('Denial Codes'!$C:$C,MATCH(LEFT($BB405,FIND(" - ",$BB405&amp;" - ")+2)&amp;"*",'Denial Codes'!$A:$A,0)),""))</f>
        <v/>
      </c>
      <c r="BJ405" s="15" t="str">
        <f aca="false">IF($BA405="","",IFERROR(INDEX(Lists!$B:$B,MATCH(TRIM($BA405),Lists!$A:$A,0))&amp;"",""))</f>
        <v>Review the diagnosis codes and pointers with the chart; correct and resubmit.</v>
      </c>
    </row>
    <row r="406" customFormat="false" ht="15" hidden="false" customHeight="false" outlineLevel="0" collapsed="false">
      <c r="A406" s="7" t="s">
        <v>16</v>
      </c>
      <c r="B406" s="7" t="s">
        <v>1625</v>
      </c>
      <c r="C406" s="8" t="n">
        <v>554246495</v>
      </c>
      <c r="D406" s="9" t="n">
        <v>46123</v>
      </c>
      <c r="E406" s="10" t="s">
        <v>1626</v>
      </c>
      <c r="F406" s="11" t="n">
        <v>46106</v>
      </c>
      <c r="G406" s="10" t="s">
        <v>1245</v>
      </c>
      <c r="H406" s="10" t="s">
        <v>347</v>
      </c>
      <c r="I406" s="10" t="s">
        <v>1245</v>
      </c>
      <c r="J406" s="10" t="s">
        <v>918</v>
      </c>
      <c r="K406" s="9" t="n">
        <v>46268</v>
      </c>
      <c r="L406" s="12" t="str">
        <f aca="true">IF($O406="","",$O406-TODAY())</f>
        <v/>
      </c>
      <c r="M406" s="12" t="str">
        <f aca="true">IF(AND(TRIM($A406)="Finalized",$K406&lt;&gt;""),"",IF($F406="","",$F406+90-TODAY()))</f>
        <v/>
      </c>
      <c r="N406" s="12" t="str">
        <f aca="true">IF(AND(TRIM($A406)="Finalized",$K406&lt;&gt;""),"",IF($D406="","",$D406+540-TODAY()))</f>
        <v/>
      </c>
      <c r="O406" s="11" t="str">
        <f aca="false">IF(AND(TRIM($A406)="Finalized",$K406&lt;&gt;""),"",DATE(2026,6,23))</f>
        <v/>
      </c>
      <c r="P406" s="10" t="s">
        <v>165</v>
      </c>
      <c r="Q406" s="10" t="s">
        <v>348</v>
      </c>
      <c r="R406" s="10" t="s">
        <v>165</v>
      </c>
      <c r="S406" s="10" t="s">
        <v>149</v>
      </c>
      <c r="T406" s="10" t="s">
        <v>349</v>
      </c>
      <c r="U406" s="10" t="s">
        <v>116</v>
      </c>
      <c r="V406" s="10" t="s">
        <v>167</v>
      </c>
      <c r="W406" s="10" t="s">
        <v>183</v>
      </c>
      <c r="X406" s="10"/>
      <c r="Y406" s="10"/>
      <c r="Z406" s="10"/>
      <c r="AA406" s="10" t="s">
        <v>197</v>
      </c>
      <c r="AB406" s="8" t="n">
        <f aca="true">IF($F406="","",TODAY()-$F406)</f>
        <v>205</v>
      </c>
      <c r="AC406" s="10" t="s">
        <v>185</v>
      </c>
      <c r="AD406" s="10"/>
      <c r="AE406" s="10"/>
      <c r="AF406" s="10"/>
      <c r="AG406" s="10"/>
      <c r="AH406" s="10"/>
      <c r="AI406" s="10"/>
      <c r="AJ406" s="10" t="s">
        <v>212</v>
      </c>
      <c r="AK406" s="10"/>
      <c r="AL406" s="10"/>
      <c r="AM406" s="10"/>
      <c r="AN406" s="8" t="n">
        <v>557570817</v>
      </c>
      <c r="AO406" s="10" t="s">
        <v>255</v>
      </c>
      <c r="AP406" s="10" t="s">
        <v>188</v>
      </c>
      <c r="AQ406" s="11" t="n">
        <v>46119</v>
      </c>
      <c r="AR406" s="13"/>
      <c r="AS406" s="13"/>
      <c r="AT406" s="13"/>
      <c r="AU406" s="13"/>
      <c r="AV406" s="13" t="s">
        <v>185</v>
      </c>
      <c r="AW406" s="13"/>
      <c r="AX406" s="13" t="s">
        <v>185</v>
      </c>
      <c r="AY406" s="7" t="s">
        <v>363</v>
      </c>
      <c r="AZ406" s="7"/>
      <c r="BA406" s="7" t="s">
        <v>41</v>
      </c>
      <c r="BB406" s="7"/>
      <c r="BC406" s="7"/>
      <c r="BD406" s="9"/>
      <c r="BE406" s="7"/>
      <c r="BF406" s="14" t="str">
        <f aca="true">IF(TRIM($A406)="Finalized","Closed",IF($BD406="","No review date set",IF($BD406&lt;TODAY(),"OVERDUE",IF($BD406-TODAY()&lt;=7,"Due within 7 days","Scheduled"))))</f>
        <v>Closed</v>
      </c>
      <c r="BG406" s="14" t="n">
        <f aca="true">IF($K406="","",TODAY()-$K406)</f>
        <v>43</v>
      </c>
      <c r="BH406" s="15" t="str">
        <f aca="false">IFERROR(LEFT(IF($B406="","Notes, ","")&amp;IF($K406="","Latest Date Worked, ","")&amp;IF($AY406="","Last Action, ","")&amp;IF(AND(OR(TRIM($A406)="Denied",TRIM($A406)="Rejected"),$BA406=""),"Denial Reason, ","")&amp;IF(AND(TRIM($A406)="Denied",$BB406="",TRIM($BA406)&lt;&gt;"NO DENIAL"),"Denial Code, ","")&amp;IF(AND(TRIM($A406)&lt;&gt;"Finalized",$BD406=""),"Next Review Date, ","")&amp;IF(AND(TRIM($A406)&lt;&gt;"Finalized",$BE406=""),"Next Step, ","")&amp;IF(AND(TRIM($A406)="Finalized",$AV406="",$AR406="",$AT406="",$AX406="",$AW406=""),"CPT outcome, ",""),LEN(IF($B406="","Notes, ","")&amp;IF($K406="","Latest Date Worked, ","")&amp;IF($AY406="","Last Action, ","")&amp;IF(AND(OR(TRIM($A406)="Denied",TRIM($A406)="Rejected"),$BA406=""),"Denial Reason, ","")&amp;IF(AND(TRIM($A406)="Denied",$BB406="",TRIM($BA406)&lt;&gt;"NO DENIAL"),"Denial Code, ","")&amp;IF(AND(TRIM($A406)&lt;&gt;"Finalized",$BD406=""),"Next Review Date, ","")&amp;IF(AND(TRIM($A406)&lt;&gt;"Finalized",$BE406=""),"Next Step, ","")&amp;IF(AND(TRIM($A406)="Finalized",$AV406="",$AR406="",$AT406="",$AX406="",$AW406=""),"CPT outcome, ",""))-2),"")</f>
        <v/>
      </c>
      <c r="BI406" s="15" t="str">
        <f aca="false">IF($BB406="","",IFERROR(INDEX('Denial Codes'!$C:$C,MATCH(LEFT($BB406,FIND(" - ",$BB406&amp;" - ")+2)&amp;"*",'Denial Codes'!$A:$A,0)),""))</f>
        <v/>
      </c>
      <c r="BJ406" s="15" t="str">
        <f aca="false">IF($BA406="","",IFERROR(INDEX(Lists!$B:$B,MATCH(TRIM($BA406),Lists!$A:$A,0))&amp;"",""))</f>
        <v>Confirm benefits; bill the patient if an ABN/waiver is on file, otherwise appeal or adjust.</v>
      </c>
    </row>
    <row r="407" customFormat="false" ht="15" hidden="false" customHeight="false" outlineLevel="0" collapsed="false">
      <c r="A407" s="7" t="s">
        <v>16</v>
      </c>
      <c r="B407" s="7" t="s">
        <v>1627</v>
      </c>
      <c r="C407" s="8" t="n">
        <v>556735438</v>
      </c>
      <c r="D407" s="9" t="n">
        <v>46261</v>
      </c>
      <c r="E407" s="10" t="s">
        <v>1628</v>
      </c>
      <c r="F407" s="11" t="n">
        <v>46113</v>
      </c>
      <c r="G407" s="10" t="s">
        <v>180</v>
      </c>
      <c r="H407" s="10" t="s">
        <v>180</v>
      </c>
      <c r="I407" s="10" t="s">
        <v>129</v>
      </c>
      <c r="J407" s="10" t="s">
        <v>423</v>
      </c>
      <c r="K407" s="9" t="n">
        <v>46269</v>
      </c>
      <c r="L407" s="12" t="str">
        <f aca="true">IF($O407="","",$O407-TODAY())</f>
        <v/>
      </c>
      <c r="M407" s="12" t="str">
        <f aca="true">IF(AND(TRIM($A407)="Finalized",$K407&lt;&gt;""),"",IF($D407="","",$D407+180-TODAY()))</f>
        <v/>
      </c>
      <c r="N407" s="12" t="str">
        <f aca="true">IF(AND(TRIM($A407)="Finalized",$K407&lt;&gt;""),"",IF($D407="","",$D407+365-TODAY()))</f>
        <v/>
      </c>
      <c r="O407" s="11" t="str">
        <f aca="false">IF(AND(TRIM($A407)="Finalized",$K407&lt;&gt;""),"",DATE(2026,6,30))</f>
        <v/>
      </c>
      <c r="P407" s="10" t="s">
        <v>165</v>
      </c>
      <c r="Q407" s="10" t="s">
        <v>182</v>
      </c>
      <c r="R407" s="10" t="s">
        <v>147</v>
      </c>
      <c r="S407" s="10" t="s">
        <v>116</v>
      </c>
      <c r="T407" s="10" t="s">
        <v>114</v>
      </c>
      <c r="U407" s="10" t="s">
        <v>116</v>
      </c>
      <c r="V407" s="10" t="s">
        <v>221</v>
      </c>
      <c r="W407" s="10" t="s">
        <v>132</v>
      </c>
      <c r="X407" s="10"/>
      <c r="Y407" s="10"/>
      <c r="Z407" s="10"/>
      <c r="AA407" s="10" t="s">
        <v>197</v>
      </c>
      <c r="AB407" s="8" t="n">
        <f aca="true">IF($F407="","",TODAY()-$F407)</f>
        <v>198</v>
      </c>
      <c r="AC407" s="10" t="s">
        <v>169</v>
      </c>
      <c r="AD407" s="10" t="s">
        <v>246</v>
      </c>
      <c r="AE407" s="10"/>
      <c r="AF407" s="10"/>
      <c r="AG407" s="10"/>
      <c r="AH407" s="10"/>
      <c r="AI407" s="10"/>
      <c r="AJ407" s="10" t="s">
        <v>1629</v>
      </c>
      <c r="AK407" s="10" t="s">
        <v>1630</v>
      </c>
      <c r="AL407" s="10" t="s">
        <v>598</v>
      </c>
      <c r="AM407" s="10"/>
      <c r="AN407" s="8"/>
      <c r="AO407" s="10" t="s">
        <v>174</v>
      </c>
      <c r="AP407" s="10" t="s">
        <v>175</v>
      </c>
      <c r="AQ407" s="11" t="n">
        <v>46197</v>
      </c>
      <c r="AR407" s="13"/>
      <c r="AS407" s="13"/>
      <c r="AT407" s="13" t="s">
        <v>922</v>
      </c>
      <c r="AU407" s="13" t="s">
        <v>559</v>
      </c>
      <c r="AV407" s="13"/>
      <c r="AW407" s="13"/>
      <c r="AX407" s="13"/>
      <c r="AY407" s="7" t="s">
        <v>465</v>
      </c>
      <c r="AZ407" s="7"/>
      <c r="BA407" s="7" t="s">
        <v>35</v>
      </c>
      <c r="BB407" s="7" t="s">
        <v>559</v>
      </c>
      <c r="BC407" s="7"/>
      <c r="BD407" s="9"/>
      <c r="BE407" s="7"/>
      <c r="BF407" s="14" t="str">
        <f aca="true">IF(TRIM($A407)="Finalized","Closed",IF($BD407="","No review date set",IF($BD407&lt;TODAY(),"OVERDUE",IF($BD407-TODAY()&lt;=7,"Due within 7 days","Scheduled"))))</f>
        <v>Closed</v>
      </c>
      <c r="BG407" s="14" t="n">
        <f aca="true">IF($K407="","",TODAY()-$K407)</f>
        <v>42</v>
      </c>
      <c r="BH407" s="15" t="str">
        <f aca="false">IFERROR(LEFT(IF($B407="","Notes, ","")&amp;IF($K407="","Latest Date Worked, ","")&amp;IF($AY407="","Last Action, ","")&amp;IF(AND(OR(TRIM($A407)="Denied",TRIM($A407)="Rejected"),$BA407=""),"Denial Reason, ","")&amp;IF(AND(TRIM($A407)="Denied",$BB407="",TRIM($BA407)&lt;&gt;"NO DENIAL"),"Denial Code, ","")&amp;IF(AND(TRIM($A407)&lt;&gt;"Finalized",$BD407=""),"Next Review Date, ","")&amp;IF(AND(TRIM($A407)&lt;&gt;"Finalized",$BE407=""),"Next Step, ","")&amp;IF(AND(TRIM($A407)="Finalized",$AV407="",$AR407="",$AT407="",$AX407="",$AW407=""),"CPT outcome, ",""),LEN(IF($B407="","Notes, ","")&amp;IF($K407="","Latest Date Worked, ","")&amp;IF($AY407="","Last Action, ","")&amp;IF(AND(OR(TRIM($A407)="Denied",TRIM($A407)="Rejected"),$BA407=""),"Denial Reason, ","")&amp;IF(AND(TRIM($A407)="Denied",$BB407="",TRIM($BA407)&lt;&gt;"NO DENIAL"),"Denial Code, ","")&amp;IF(AND(TRIM($A407)&lt;&gt;"Finalized",$BD407=""),"Next Review Date, ","")&amp;IF(AND(TRIM($A407)&lt;&gt;"Finalized",$BE407=""),"Next Step, ","")&amp;IF(AND(TRIM($A407)="Finalized",$AV407="",$AR407="",$AT407="",$AX407="",$AW407=""),"CPT outcome, ",""))-2),"")</f>
        <v/>
      </c>
      <c r="BI407" s="15" t="str">
        <f aca="false">IF($BB407="","",IFERROR(INDEX('Denial Codes'!$C:$C,MATCH(LEFT($BB407,FIND(" - ",$BB407&amp;" - ")+2)&amp;"*",'Denial Codes'!$A:$A,0)),""))</f>
        <v>Timely filing</v>
      </c>
      <c r="BJ407" s="15" t="str">
        <f aca="false">IF($BA407="","",IFERROR(INDEX(Lists!$B:$B,MATCH(TRIM($BA407),Lists!$A:$A,0))&amp;"",""))</f>
        <v>Find proof of timely filing (clearinghouse acceptance or earlier submission) and appeal with it; if none, adjust the balance.</v>
      </c>
    </row>
    <row r="408" customFormat="false" ht="15" hidden="false" customHeight="false" outlineLevel="0" collapsed="false">
      <c r="A408" s="7" t="s">
        <v>16</v>
      </c>
      <c r="B408" s="7" t="s">
        <v>1631</v>
      </c>
      <c r="C408" s="8" t="n">
        <v>565388227</v>
      </c>
      <c r="D408" s="9" t="n">
        <v>46127</v>
      </c>
      <c r="E408" s="10" t="s">
        <v>668</v>
      </c>
      <c r="F408" s="11" t="n">
        <v>46118</v>
      </c>
      <c r="G408" s="10" t="s">
        <v>208</v>
      </c>
      <c r="H408" s="10" t="s">
        <v>208</v>
      </c>
      <c r="I408" s="10" t="s">
        <v>129</v>
      </c>
      <c r="J408" s="10" t="s">
        <v>1029</v>
      </c>
      <c r="K408" s="9" t="n">
        <v>46284</v>
      </c>
      <c r="L408" s="12" t="str">
        <f aca="true">IF($O408="","",$O408-TODAY())</f>
        <v/>
      </c>
      <c r="M408" s="12" t="str">
        <f aca="true">IF(AND(TRIM($A408)="Finalized",$K408&lt;&gt;""),"",IF($D408="","",$D408+180-TODAY()))</f>
        <v/>
      </c>
      <c r="N408" s="12" t="str">
        <f aca="true">IF(AND(TRIM($A408)="Finalized",$K408&lt;&gt;""),"",IF($D408="","",$D408+365-TODAY()))</f>
        <v/>
      </c>
      <c r="O408" s="11" t="str">
        <f aca="false">IF(AND(TRIM($A408)="Finalized",$K408&lt;&gt;""),"",DATE(2026,7,5))</f>
        <v/>
      </c>
      <c r="P408" s="10" t="s">
        <v>165</v>
      </c>
      <c r="Q408" s="10" t="s">
        <v>210</v>
      </c>
      <c r="R408" s="10" t="s">
        <v>147</v>
      </c>
      <c r="S408" s="10" t="s">
        <v>116</v>
      </c>
      <c r="T408" s="10" t="s">
        <v>114</v>
      </c>
      <c r="U408" s="10" t="s">
        <v>116</v>
      </c>
      <c r="V408" s="10" t="s">
        <v>221</v>
      </c>
      <c r="W408" s="10" t="s">
        <v>119</v>
      </c>
      <c r="X408" s="10" t="s">
        <v>151</v>
      </c>
      <c r="Y408" s="10"/>
      <c r="Z408" s="10"/>
      <c r="AA408" s="10" t="s">
        <v>197</v>
      </c>
      <c r="AB408" s="8" t="n">
        <f aca="true">IF($F408="","",TODAY()-$F408)</f>
        <v>193</v>
      </c>
      <c r="AC408" s="10" t="s">
        <v>305</v>
      </c>
      <c r="AD408" s="10"/>
      <c r="AE408" s="10"/>
      <c r="AF408" s="10"/>
      <c r="AG408" s="10"/>
      <c r="AH408" s="10"/>
      <c r="AI408" s="10"/>
      <c r="AJ408" s="10" t="s">
        <v>124</v>
      </c>
      <c r="AK408" s="10"/>
      <c r="AL408" s="10"/>
      <c r="AM408" s="10"/>
      <c r="AN408" s="8"/>
      <c r="AO408" s="10" t="s">
        <v>546</v>
      </c>
      <c r="AP408" s="10" t="s">
        <v>188</v>
      </c>
      <c r="AQ408" s="11" t="n">
        <v>46121</v>
      </c>
      <c r="AR408" s="13"/>
      <c r="AS408" s="13"/>
      <c r="AT408" s="13" t="s">
        <v>305</v>
      </c>
      <c r="AU408" s="13" t="s">
        <v>464</v>
      </c>
      <c r="AV408" s="13"/>
      <c r="AW408" s="13"/>
      <c r="AX408" s="13"/>
      <c r="AY408" s="7"/>
      <c r="AZ408" s="7"/>
      <c r="BA408" s="7" t="s">
        <v>34</v>
      </c>
      <c r="BB408" s="7" t="s">
        <v>464</v>
      </c>
      <c r="BC408" s="7"/>
      <c r="BD408" s="9"/>
      <c r="BE408" s="7"/>
      <c r="BF408" s="14" t="str">
        <f aca="true">IF(TRIM($A408)="Finalized","Closed",IF($BD408="","No review date set",IF($BD408&lt;TODAY(),"OVERDUE",IF($BD408-TODAY()&lt;=7,"Due within 7 days","Scheduled"))))</f>
        <v>Closed</v>
      </c>
      <c r="BG408" s="14" t="n">
        <f aca="true">IF($K408="","",TODAY()-$K408)</f>
        <v>27</v>
      </c>
      <c r="BH408" s="15" t="str">
        <f aca="false">IFERROR(LEFT(IF($B408="","Notes, ","")&amp;IF($K408="","Latest Date Worked, ","")&amp;IF($AY408="","Last Action, ","")&amp;IF(AND(OR(TRIM($A408)="Denied",TRIM($A408)="Rejected"),$BA408=""),"Denial Reason, ","")&amp;IF(AND(TRIM($A408)="Denied",$BB408="",TRIM($BA408)&lt;&gt;"NO DENIAL"),"Denial Code, ","")&amp;IF(AND(TRIM($A408)&lt;&gt;"Finalized",$BD408=""),"Next Review Date, ","")&amp;IF(AND(TRIM($A408)&lt;&gt;"Finalized",$BE408=""),"Next Step, ","")&amp;IF(AND(TRIM($A408)="Finalized",$AV408="",$AR408="",$AT408="",$AX408="",$AW408=""),"CPT outcome, ",""),LEN(IF($B408="","Notes, ","")&amp;IF($K408="","Latest Date Worked, ","")&amp;IF($AY408="","Last Action, ","")&amp;IF(AND(OR(TRIM($A408)="Denied",TRIM($A408)="Rejected"),$BA408=""),"Denial Reason, ","")&amp;IF(AND(TRIM($A408)="Denied",$BB408="",TRIM($BA408)&lt;&gt;"NO DENIAL"),"Denial Code, ","")&amp;IF(AND(TRIM($A408)&lt;&gt;"Finalized",$BD408=""),"Next Review Date, ","")&amp;IF(AND(TRIM($A408)&lt;&gt;"Finalized",$BE408=""),"Next Step, ","")&amp;IF(AND(TRIM($A408)="Finalized",$AV408="",$AR408="",$AT408="",$AX408="",$AW408=""),"CPT outcome, ",""))-2),"")</f>
        <v>Last Action</v>
      </c>
      <c r="BI408" s="15" t="str">
        <f aca="false">IF($BB408="","",IFERROR(INDEX('Denial Codes'!$C:$C,MATCH(LEFT($BB408,FIND(" - ",$BB408&amp;" - ")+2)&amp;"*",'Denial Codes'!$A:$A,0)),""))</f>
        <v>No authorization</v>
      </c>
      <c r="BJ408" s="15" t="str">
        <f aca="false">IF($BA408="","",IFERROR(INDEX(Lists!$B:$B,MATCH(TRIM($BA408),Lists!$A:$A,0))&amp;"",""))</f>
        <v>Check the portal for an auth; request a retro-auth or file an appeal with the auth number, then resubmit.</v>
      </c>
    </row>
    <row r="409" customFormat="false" ht="15" hidden="false" customHeight="false" outlineLevel="0" collapsed="false">
      <c r="A409" s="7" t="s">
        <v>16</v>
      </c>
      <c r="B409" s="7" t="s">
        <v>1632</v>
      </c>
      <c r="C409" s="8" t="n">
        <v>553810379</v>
      </c>
      <c r="D409" s="9" t="n">
        <v>46129</v>
      </c>
      <c r="E409" s="10" t="s">
        <v>1633</v>
      </c>
      <c r="F409" s="11" t="n">
        <v>46092</v>
      </c>
      <c r="G409" s="10" t="s">
        <v>738</v>
      </c>
      <c r="H409" s="10" t="s">
        <v>738</v>
      </c>
      <c r="I409" s="10" t="s">
        <v>129</v>
      </c>
      <c r="J409" s="10" t="s">
        <v>724</v>
      </c>
      <c r="K409" s="9" t="n">
        <v>46278</v>
      </c>
      <c r="L409" s="12" t="str">
        <f aca="true">IF($O409="","",$O409-TODAY())</f>
        <v/>
      </c>
      <c r="M409" s="12" t="str">
        <f aca="true">IF(AND(TRIM($A409)="Finalized",$K409&lt;&gt;""),"",IF($D409="","",$D409+180-TODAY()))</f>
        <v/>
      </c>
      <c r="N409" s="12" t="str">
        <f aca="true">IF(AND(TRIM($A409)="Finalized",$K409&lt;&gt;""),"",IF($D409="","",$D409+180-TODAY()))</f>
        <v/>
      </c>
      <c r="O409" s="11" t="str">
        <f aca="false">IF(AND(TRIM($A409)="Finalized",$K409&lt;&gt;""),"",DATE(2026,7,9))</f>
        <v/>
      </c>
      <c r="P409" s="10" t="s">
        <v>117</v>
      </c>
      <c r="Q409" s="10" t="s">
        <v>740</v>
      </c>
      <c r="R409" s="10" t="s">
        <v>147</v>
      </c>
      <c r="S409" s="10" t="s">
        <v>116</v>
      </c>
      <c r="T409" s="10" t="s">
        <v>147</v>
      </c>
      <c r="U409" s="10" t="s">
        <v>116</v>
      </c>
      <c r="V409" s="10" t="s">
        <v>167</v>
      </c>
      <c r="W409" s="10" t="s">
        <v>196</v>
      </c>
      <c r="X409" s="10"/>
      <c r="Y409" s="10"/>
      <c r="Z409" s="10"/>
      <c r="AA409" s="10" t="s">
        <v>197</v>
      </c>
      <c r="AB409" s="8" t="n">
        <f aca="true">IF($F409="","",TODAY()-$F409)</f>
        <v>219</v>
      </c>
      <c r="AC409" s="10" t="s">
        <v>487</v>
      </c>
      <c r="AD409" s="10"/>
      <c r="AE409" s="10"/>
      <c r="AF409" s="10"/>
      <c r="AG409" s="10"/>
      <c r="AH409" s="10"/>
      <c r="AI409" s="10"/>
      <c r="AJ409" s="10" t="s">
        <v>223</v>
      </c>
      <c r="AK409" s="10" t="s">
        <v>350</v>
      </c>
      <c r="AL409" s="10"/>
      <c r="AM409" s="10"/>
      <c r="AN409" s="8"/>
      <c r="AO409" s="10" t="s">
        <v>255</v>
      </c>
      <c r="AP409" s="10" t="s">
        <v>268</v>
      </c>
      <c r="AQ409" s="11" t="n">
        <v>46106</v>
      </c>
      <c r="AR409" s="13" t="s">
        <v>487</v>
      </c>
      <c r="AS409" s="13" t="s">
        <v>1634</v>
      </c>
      <c r="AT409" s="13"/>
      <c r="AU409" s="13"/>
      <c r="AV409" s="13"/>
      <c r="AW409" s="13"/>
      <c r="AX409" s="13"/>
      <c r="AY409" s="7" t="s">
        <v>465</v>
      </c>
      <c r="AZ409" s="7"/>
      <c r="BA409" s="7" t="s">
        <v>37</v>
      </c>
      <c r="BB409" s="7" t="s">
        <v>1634</v>
      </c>
      <c r="BC409" s="7"/>
      <c r="BD409" s="9"/>
      <c r="BE409" s="7"/>
      <c r="BF409" s="14" t="str">
        <f aca="true">IF(TRIM($A409)="Finalized","Closed",IF($BD409="","No review date set",IF($BD409&lt;TODAY(),"OVERDUE",IF($BD409-TODAY()&lt;=7,"Due within 7 days","Scheduled"))))</f>
        <v>Closed</v>
      </c>
      <c r="BG409" s="14" t="n">
        <f aca="true">IF($K409="","",TODAY()-$K409)</f>
        <v>33</v>
      </c>
      <c r="BH409" s="15" t="str">
        <f aca="false">IFERROR(LEFT(IF($B409="","Notes, ","")&amp;IF($K409="","Latest Date Worked, ","")&amp;IF($AY409="","Last Action, ","")&amp;IF(AND(OR(TRIM($A409)="Denied",TRIM($A409)="Rejected"),$BA409=""),"Denial Reason, ","")&amp;IF(AND(TRIM($A409)="Denied",$BB409="",TRIM($BA409)&lt;&gt;"NO DENIAL"),"Denial Code, ","")&amp;IF(AND(TRIM($A409)&lt;&gt;"Finalized",$BD409=""),"Next Review Date, ","")&amp;IF(AND(TRIM($A409)&lt;&gt;"Finalized",$BE409=""),"Next Step, ","")&amp;IF(AND(TRIM($A409)="Finalized",$AV409="",$AR409="",$AT409="",$AX409="",$AW409=""),"CPT outcome, ",""),LEN(IF($B409="","Notes, ","")&amp;IF($K409="","Latest Date Worked, ","")&amp;IF($AY409="","Last Action, ","")&amp;IF(AND(OR(TRIM($A409)="Denied",TRIM($A409)="Rejected"),$BA409=""),"Denial Reason, ","")&amp;IF(AND(TRIM($A409)="Denied",$BB409="",TRIM($BA409)&lt;&gt;"NO DENIAL"),"Denial Code, ","")&amp;IF(AND(TRIM($A409)&lt;&gt;"Finalized",$BD409=""),"Next Review Date, ","")&amp;IF(AND(TRIM($A409)&lt;&gt;"Finalized",$BE409=""),"Next Step, ","")&amp;IF(AND(TRIM($A409)="Finalized",$AV409="",$AR409="",$AT409="",$AX409="",$AW409=""),"CPT outcome, ",""))-2),"")</f>
        <v/>
      </c>
      <c r="BI409" s="15" t="str">
        <f aca="false">IF($BB409="","",IFERROR(INDEX('Denial Codes'!$C:$C,MATCH(LEFT($BB409,FIND(" - ",$BB409&amp;" - ")+2)&amp;"*",'Denial Codes'!$A:$A,0)),""))</f>
        <v>Bundled / NCCI edit</v>
      </c>
      <c r="BJ409" s="15" t="str">
        <f aca="false">IF($BA409="","",IFERROR(INDEX(Lists!$B:$B,MATCH(TRIM($BA409),Lists!$A:$A,0))&amp;"",""))</f>
        <v>Check the NCCI pair; if the service was distinct, add 59/XU (or XS) and resubmit; otherwise adjust.</v>
      </c>
    </row>
    <row r="410" customFormat="false" ht="15" hidden="false" customHeight="false" outlineLevel="0" collapsed="false">
      <c r="A410" s="7" t="s">
        <v>16</v>
      </c>
      <c r="B410" s="7" t="s">
        <v>465</v>
      </c>
      <c r="C410" s="8" t="n">
        <v>556692374</v>
      </c>
      <c r="D410" s="9" t="n">
        <v>46141</v>
      </c>
      <c r="E410" s="10" t="s">
        <v>1635</v>
      </c>
      <c r="F410" s="11" t="n">
        <v>46125</v>
      </c>
      <c r="G410" s="10" t="s">
        <v>163</v>
      </c>
      <c r="H410" s="10" t="s">
        <v>163</v>
      </c>
      <c r="I410" s="10" t="s">
        <v>129</v>
      </c>
      <c r="J410" s="10" t="s">
        <v>1636</v>
      </c>
      <c r="K410" s="9" t="n">
        <v>46278</v>
      </c>
      <c r="L410" s="12" t="str">
        <f aca="true">IF($O410="","",$O410-TODAY())</f>
        <v/>
      </c>
      <c r="M410" s="12" t="str">
        <f aca="true">IF(AND(TRIM($A410)="Finalized",$K410&lt;&gt;""),"",IF($F410="","",$F410+90-TODAY()))</f>
        <v/>
      </c>
      <c r="N410" s="12" t="str">
        <f aca="true">IF(AND(TRIM($A410)="Finalized",$K410&lt;&gt;""),"",IF($D410="","",$D410+365-TODAY()))</f>
        <v/>
      </c>
      <c r="O410" s="11" t="str">
        <f aca="false">IF(AND(TRIM($A410)="Finalized",$K410&lt;&gt;""),"",DATE(2026,7,12))</f>
        <v/>
      </c>
      <c r="P410" s="10" t="s">
        <v>165</v>
      </c>
      <c r="Q410" s="10" t="s">
        <v>166</v>
      </c>
      <c r="R410" s="10" t="s">
        <v>165</v>
      </c>
      <c r="S410" s="10" t="s">
        <v>149</v>
      </c>
      <c r="T410" s="10" t="s">
        <v>114</v>
      </c>
      <c r="U410" s="10" t="s">
        <v>116</v>
      </c>
      <c r="V410" s="10" t="s">
        <v>221</v>
      </c>
      <c r="W410" s="10" t="s">
        <v>132</v>
      </c>
      <c r="X410" s="10"/>
      <c r="Y410" s="10"/>
      <c r="Z410" s="10"/>
      <c r="AA410" s="10" t="s">
        <v>197</v>
      </c>
      <c r="AB410" s="8" t="n">
        <f aca="true">IF($F410="","",TODAY()-$F410)</f>
        <v>186</v>
      </c>
      <c r="AC410" s="10" t="s">
        <v>716</v>
      </c>
      <c r="AD410" s="10"/>
      <c r="AE410" s="10"/>
      <c r="AF410" s="10"/>
      <c r="AG410" s="10"/>
      <c r="AH410" s="10"/>
      <c r="AI410" s="10"/>
      <c r="AJ410" s="10" t="s">
        <v>686</v>
      </c>
      <c r="AK410" s="10"/>
      <c r="AL410" s="10"/>
      <c r="AM410" s="10"/>
      <c r="AN410" s="8"/>
      <c r="AO410" s="10" t="s">
        <v>546</v>
      </c>
      <c r="AP410" s="10" t="s">
        <v>175</v>
      </c>
      <c r="AQ410" s="11" t="n">
        <v>46133</v>
      </c>
      <c r="AR410" s="13" t="s">
        <v>716</v>
      </c>
      <c r="AS410" s="13" t="s">
        <v>1637</v>
      </c>
      <c r="AT410" s="13"/>
      <c r="AU410" s="13"/>
      <c r="AV410" s="13"/>
      <c r="AW410" s="13"/>
      <c r="AX410" s="13"/>
      <c r="AY410" s="7" t="s">
        <v>465</v>
      </c>
      <c r="AZ410" s="7"/>
      <c r="BA410" s="7" t="s">
        <v>41</v>
      </c>
      <c r="BB410" s="7" t="s">
        <v>1637</v>
      </c>
      <c r="BC410" s="7"/>
      <c r="BD410" s="9"/>
      <c r="BE410" s="7"/>
      <c r="BF410" s="14" t="str">
        <f aca="true">IF(TRIM($A410)="Finalized","Closed",IF($BD410="","No review date set",IF($BD410&lt;TODAY(),"OVERDUE",IF($BD410-TODAY()&lt;=7,"Due within 7 days","Scheduled"))))</f>
        <v>Closed</v>
      </c>
      <c r="BG410" s="14" t="n">
        <f aca="true">IF($K410="","",TODAY()-$K410)</f>
        <v>33</v>
      </c>
      <c r="BH410" s="15" t="str">
        <f aca="false">IFERROR(LEFT(IF($B410="","Notes, ","")&amp;IF($K410="","Latest Date Worked, ","")&amp;IF($AY410="","Last Action, ","")&amp;IF(AND(OR(TRIM($A410)="Denied",TRIM($A410)="Rejected"),$BA410=""),"Denial Reason, ","")&amp;IF(AND(TRIM($A410)="Denied",$BB410="",TRIM($BA410)&lt;&gt;"NO DENIAL"),"Denial Code, ","")&amp;IF(AND(TRIM($A410)&lt;&gt;"Finalized",$BD410=""),"Next Review Date, ","")&amp;IF(AND(TRIM($A410)&lt;&gt;"Finalized",$BE410=""),"Next Step, ","")&amp;IF(AND(TRIM($A410)="Finalized",$AV410="",$AR410="",$AT410="",$AX410="",$AW410=""),"CPT outcome, ",""),LEN(IF($B410="","Notes, ","")&amp;IF($K410="","Latest Date Worked, ","")&amp;IF($AY410="","Last Action, ","")&amp;IF(AND(OR(TRIM($A410)="Denied",TRIM($A410)="Rejected"),$BA410=""),"Denial Reason, ","")&amp;IF(AND(TRIM($A410)="Denied",$BB410="",TRIM($BA410)&lt;&gt;"NO DENIAL"),"Denial Code, ","")&amp;IF(AND(TRIM($A410)&lt;&gt;"Finalized",$BD410=""),"Next Review Date, ","")&amp;IF(AND(TRIM($A410)&lt;&gt;"Finalized",$BE410=""),"Next Step, ","")&amp;IF(AND(TRIM($A410)="Finalized",$AV410="",$AR410="",$AT410="",$AX410="",$AW410=""),"CPT outcome, ",""))-2),"")</f>
        <v/>
      </c>
      <c r="BI410" s="15" t="str">
        <f aca="false">IF($BB410="","",IFERROR(INDEX('Denial Codes'!$C:$C,MATCH(LEFT($BB410,FIND(" - ",$BB410&amp;" - ")+2)&amp;"*",'Denial Codes'!$A:$A,0)),""))</f>
        <v>Not covered by plan</v>
      </c>
      <c r="BJ410" s="15" t="str">
        <f aca="false">IF($BA410="","",IFERROR(INDEX(Lists!$B:$B,MATCH(TRIM($BA410),Lists!$A:$A,0))&amp;"",""))</f>
        <v>Confirm benefits; bill the patient if an ABN/waiver is on file, otherwise appeal or adjust.</v>
      </c>
    </row>
    <row r="411" customFormat="false" ht="15" hidden="false" customHeight="false" outlineLevel="0" collapsed="false">
      <c r="A411" s="7" t="s">
        <v>16</v>
      </c>
      <c r="B411" s="7" t="s">
        <v>1638</v>
      </c>
      <c r="C411" s="8" t="n">
        <v>556802417</v>
      </c>
      <c r="D411" s="9" t="n">
        <v>46170</v>
      </c>
      <c r="E411" s="10" t="s">
        <v>1639</v>
      </c>
      <c r="F411" s="11" t="n">
        <v>46125</v>
      </c>
      <c r="G411" s="10" t="s">
        <v>369</v>
      </c>
      <c r="H411" s="10" t="s">
        <v>369</v>
      </c>
      <c r="I411" s="10" t="s">
        <v>129</v>
      </c>
      <c r="J411" s="10" t="s">
        <v>461</v>
      </c>
      <c r="K411" s="9" t="n">
        <v>46285</v>
      </c>
      <c r="L411" s="12" t="str">
        <f aca="true">IF($O411="","",$O411-TODAY())</f>
        <v/>
      </c>
      <c r="M411" s="12" t="str">
        <f aca="true">IF(AND(TRIM($A411)="Finalized",$K411&lt;&gt;""),"",IF($D411="","",$D411+365-TODAY()))</f>
        <v/>
      </c>
      <c r="N411" s="12" t="str">
        <f aca="true">IF(AND(TRIM($A411)="Finalized",$K411&lt;&gt;""),"",IF($D411="","",$D411+365-TODAY()))</f>
        <v/>
      </c>
      <c r="O411" s="11" t="str">
        <f aca="false">IF(AND(TRIM($A411)="Finalized",$K411&lt;&gt;""),"",DATE(2026,7,12))</f>
        <v/>
      </c>
      <c r="P411" s="10" t="s">
        <v>165</v>
      </c>
      <c r="Q411" s="10" t="s">
        <v>371</v>
      </c>
      <c r="R411" s="10" t="s">
        <v>114</v>
      </c>
      <c r="S411" s="10" t="s">
        <v>116</v>
      </c>
      <c r="T411" s="10" t="s">
        <v>114</v>
      </c>
      <c r="U411" s="10" t="s">
        <v>116</v>
      </c>
      <c r="V411" s="10" t="s">
        <v>221</v>
      </c>
      <c r="W411" s="10" t="s">
        <v>119</v>
      </c>
      <c r="X411" s="10" t="s">
        <v>120</v>
      </c>
      <c r="Y411" s="10"/>
      <c r="Z411" s="10"/>
      <c r="AA411" s="10" t="s">
        <v>230</v>
      </c>
      <c r="AB411" s="8" t="n">
        <f aca="true">IF($F411="","",TODAY()-$F411)</f>
        <v>186</v>
      </c>
      <c r="AC411" s="10" t="s">
        <v>273</v>
      </c>
      <c r="AD411" s="10"/>
      <c r="AE411" s="10"/>
      <c r="AF411" s="10"/>
      <c r="AG411" s="10"/>
      <c r="AH411" s="10"/>
      <c r="AI411" s="10"/>
      <c r="AJ411" s="10" t="s">
        <v>123</v>
      </c>
      <c r="AK411" s="10" t="s">
        <v>124</v>
      </c>
      <c r="AL411" s="10"/>
      <c r="AM411" s="10"/>
      <c r="AN411" s="8"/>
      <c r="AO411" s="10" t="s">
        <v>344</v>
      </c>
      <c r="AP411" s="10" t="s">
        <v>268</v>
      </c>
      <c r="AQ411" s="11" t="n">
        <v>46134</v>
      </c>
      <c r="AR411" s="13"/>
      <c r="AS411" s="13"/>
      <c r="AT411" s="13" t="s">
        <v>273</v>
      </c>
      <c r="AU411" s="13" t="s">
        <v>464</v>
      </c>
      <c r="AV411" s="13"/>
      <c r="AW411" s="13"/>
      <c r="AX411" s="13"/>
      <c r="AY411" s="7" t="s">
        <v>465</v>
      </c>
      <c r="AZ411" s="7"/>
      <c r="BA411" s="7" t="s">
        <v>34</v>
      </c>
      <c r="BB411" s="7" t="s">
        <v>464</v>
      </c>
      <c r="BC411" s="7"/>
      <c r="BD411" s="9"/>
      <c r="BE411" s="7"/>
      <c r="BF411" s="14" t="str">
        <f aca="true">IF(TRIM($A411)="Finalized","Closed",IF($BD411="","No review date set",IF($BD411&lt;TODAY(),"OVERDUE",IF($BD411-TODAY()&lt;=7,"Due within 7 days","Scheduled"))))</f>
        <v>Closed</v>
      </c>
      <c r="BG411" s="14" t="n">
        <f aca="true">IF($K411="","",TODAY()-$K411)</f>
        <v>26</v>
      </c>
      <c r="BH411" s="15" t="str">
        <f aca="false">IFERROR(LEFT(IF($B411="","Notes, ","")&amp;IF($K411="","Latest Date Worked, ","")&amp;IF($AY411="","Last Action, ","")&amp;IF(AND(OR(TRIM($A411)="Denied",TRIM($A411)="Rejected"),$BA411=""),"Denial Reason, ","")&amp;IF(AND(TRIM($A411)="Denied",$BB411="",TRIM($BA411)&lt;&gt;"NO DENIAL"),"Denial Code, ","")&amp;IF(AND(TRIM($A411)&lt;&gt;"Finalized",$BD411=""),"Next Review Date, ","")&amp;IF(AND(TRIM($A411)&lt;&gt;"Finalized",$BE411=""),"Next Step, ","")&amp;IF(AND(TRIM($A411)="Finalized",$AV411="",$AR411="",$AT411="",$AX411="",$AW411=""),"CPT outcome, ",""),LEN(IF($B411="","Notes, ","")&amp;IF($K411="","Latest Date Worked, ","")&amp;IF($AY411="","Last Action, ","")&amp;IF(AND(OR(TRIM($A411)="Denied",TRIM($A411)="Rejected"),$BA411=""),"Denial Reason, ","")&amp;IF(AND(TRIM($A411)="Denied",$BB411="",TRIM($BA411)&lt;&gt;"NO DENIAL"),"Denial Code, ","")&amp;IF(AND(TRIM($A411)&lt;&gt;"Finalized",$BD411=""),"Next Review Date, ","")&amp;IF(AND(TRIM($A411)&lt;&gt;"Finalized",$BE411=""),"Next Step, ","")&amp;IF(AND(TRIM($A411)="Finalized",$AV411="",$AR411="",$AT411="",$AX411="",$AW411=""),"CPT outcome, ",""))-2),"")</f>
        <v/>
      </c>
      <c r="BI411" s="15" t="str">
        <f aca="false">IF($BB411="","",IFERROR(INDEX('Denial Codes'!$C:$C,MATCH(LEFT($BB411,FIND(" - ",$BB411&amp;" - ")+2)&amp;"*",'Denial Codes'!$A:$A,0)),""))</f>
        <v>No authorization</v>
      </c>
      <c r="BJ411" s="15" t="str">
        <f aca="false">IF($BA411="","",IFERROR(INDEX(Lists!$B:$B,MATCH(TRIM($BA411),Lists!$A:$A,0))&amp;"",""))</f>
        <v>Check the portal for an auth; request a retro-auth or file an appeal with the auth number, then resubmit.</v>
      </c>
    </row>
    <row r="412" customFormat="false" ht="15" hidden="false" customHeight="false" outlineLevel="0" collapsed="false">
      <c r="A412" s="7" t="s">
        <v>16</v>
      </c>
      <c r="B412" s="7" t="s">
        <v>1638</v>
      </c>
      <c r="C412" s="8" t="n">
        <v>556804689</v>
      </c>
      <c r="D412" s="9" t="n">
        <v>46167</v>
      </c>
      <c r="E412" s="10" t="s">
        <v>1640</v>
      </c>
      <c r="F412" s="11" t="n">
        <v>46125</v>
      </c>
      <c r="G412" s="10" t="s">
        <v>369</v>
      </c>
      <c r="H412" s="10" t="s">
        <v>369</v>
      </c>
      <c r="I412" s="10" t="s">
        <v>129</v>
      </c>
      <c r="J412" s="10" t="s">
        <v>646</v>
      </c>
      <c r="K412" s="9" t="n">
        <v>46285</v>
      </c>
      <c r="L412" s="12" t="str">
        <f aca="true">IF($O412="","",$O412-TODAY())</f>
        <v/>
      </c>
      <c r="M412" s="12" t="str">
        <f aca="true">IF(AND(TRIM($A412)="Finalized",$K412&lt;&gt;""),"",IF($D412="","",$D412+365-TODAY()))</f>
        <v/>
      </c>
      <c r="N412" s="12" t="str">
        <f aca="true">IF(AND(TRIM($A412)="Finalized",$K412&lt;&gt;""),"",IF($D412="","",$D412+365-TODAY()))</f>
        <v/>
      </c>
      <c r="O412" s="11" t="str">
        <f aca="false">IF(AND(TRIM($A412)="Finalized",$K412&lt;&gt;""),"",DATE(2026,7,12))</f>
        <v/>
      </c>
      <c r="P412" s="10" t="s">
        <v>165</v>
      </c>
      <c r="Q412" s="10" t="s">
        <v>371</v>
      </c>
      <c r="R412" s="10" t="s">
        <v>114</v>
      </c>
      <c r="S412" s="10" t="s">
        <v>116</v>
      </c>
      <c r="T412" s="10" t="s">
        <v>114</v>
      </c>
      <c r="U412" s="10" t="s">
        <v>116</v>
      </c>
      <c r="V412" s="10" t="s">
        <v>221</v>
      </c>
      <c r="W412" s="10" t="s">
        <v>119</v>
      </c>
      <c r="X412" s="10" t="s">
        <v>229</v>
      </c>
      <c r="Y412" s="10"/>
      <c r="Z412" s="10"/>
      <c r="AA412" s="10" t="s">
        <v>230</v>
      </c>
      <c r="AB412" s="8" t="n">
        <f aca="true">IF($F412="","",TODAY()-$F412)</f>
        <v>186</v>
      </c>
      <c r="AC412" s="10" t="s">
        <v>273</v>
      </c>
      <c r="AD412" s="10"/>
      <c r="AE412" s="10"/>
      <c r="AF412" s="10"/>
      <c r="AG412" s="10"/>
      <c r="AH412" s="10"/>
      <c r="AI412" s="10"/>
      <c r="AJ412" s="10" t="s">
        <v>123</v>
      </c>
      <c r="AK412" s="10" t="s">
        <v>139</v>
      </c>
      <c r="AL412" s="10"/>
      <c r="AM412" s="10"/>
      <c r="AN412" s="8"/>
      <c r="AO412" s="10" t="s">
        <v>344</v>
      </c>
      <c r="AP412" s="10" t="s">
        <v>268</v>
      </c>
      <c r="AQ412" s="11" t="n">
        <v>46134</v>
      </c>
      <c r="AR412" s="13"/>
      <c r="AS412" s="13"/>
      <c r="AT412" s="13" t="s">
        <v>273</v>
      </c>
      <c r="AU412" s="13" t="s">
        <v>464</v>
      </c>
      <c r="AV412" s="13"/>
      <c r="AW412" s="13"/>
      <c r="AX412" s="13"/>
      <c r="AY412" s="7" t="s">
        <v>465</v>
      </c>
      <c r="AZ412" s="7"/>
      <c r="BA412" s="7" t="s">
        <v>34</v>
      </c>
      <c r="BB412" s="7" t="s">
        <v>464</v>
      </c>
      <c r="BC412" s="7"/>
      <c r="BD412" s="9"/>
      <c r="BE412" s="7"/>
      <c r="BF412" s="14" t="str">
        <f aca="true">IF(TRIM($A412)="Finalized","Closed",IF($BD412="","No review date set",IF($BD412&lt;TODAY(),"OVERDUE",IF($BD412-TODAY()&lt;=7,"Due within 7 days","Scheduled"))))</f>
        <v>Closed</v>
      </c>
      <c r="BG412" s="14" t="n">
        <f aca="true">IF($K412="","",TODAY()-$K412)</f>
        <v>26</v>
      </c>
      <c r="BH412" s="15" t="str">
        <f aca="false">IFERROR(LEFT(IF($B412="","Notes, ","")&amp;IF($K412="","Latest Date Worked, ","")&amp;IF($AY412="","Last Action, ","")&amp;IF(AND(OR(TRIM($A412)="Denied",TRIM($A412)="Rejected"),$BA412=""),"Denial Reason, ","")&amp;IF(AND(TRIM($A412)="Denied",$BB412="",TRIM($BA412)&lt;&gt;"NO DENIAL"),"Denial Code, ","")&amp;IF(AND(TRIM($A412)&lt;&gt;"Finalized",$BD412=""),"Next Review Date, ","")&amp;IF(AND(TRIM($A412)&lt;&gt;"Finalized",$BE412=""),"Next Step, ","")&amp;IF(AND(TRIM($A412)="Finalized",$AV412="",$AR412="",$AT412="",$AX412="",$AW412=""),"CPT outcome, ",""),LEN(IF($B412="","Notes, ","")&amp;IF($K412="","Latest Date Worked, ","")&amp;IF($AY412="","Last Action, ","")&amp;IF(AND(OR(TRIM($A412)="Denied",TRIM($A412)="Rejected"),$BA412=""),"Denial Reason, ","")&amp;IF(AND(TRIM($A412)="Denied",$BB412="",TRIM($BA412)&lt;&gt;"NO DENIAL"),"Denial Code, ","")&amp;IF(AND(TRIM($A412)&lt;&gt;"Finalized",$BD412=""),"Next Review Date, ","")&amp;IF(AND(TRIM($A412)&lt;&gt;"Finalized",$BE412=""),"Next Step, ","")&amp;IF(AND(TRIM($A412)="Finalized",$AV412="",$AR412="",$AT412="",$AX412="",$AW412=""),"CPT outcome, ",""))-2),"")</f>
        <v/>
      </c>
      <c r="BI412" s="15" t="str">
        <f aca="false">IF($BB412="","",IFERROR(INDEX('Denial Codes'!$C:$C,MATCH(LEFT($BB412,FIND(" - ",$BB412&amp;" - ")+2)&amp;"*",'Denial Codes'!$A:$A,0)),""))</f>
        <v>No authorization</v>
      </c>
      <c r="BJ412" s="15" t="str">
        <f aca="false">IF($BA412="","",IFERROR(INDEX(Lists!$B:$B,MATCH(TRIM($BA412),Lists!$A:$A,0))&amp;"",""))</f>
        <v>Check the portal for an auth; request a retro-auth or file an appeal with the auth number, then resubmit.</v>
      </c>
    </row>
    <row r="413" customFormat="false" ht="15" hidden="false" customHeight="false" outlineLevel="0" collapsed="false">
      <c r="A413" s="7" t="s">
        <v>16</v>
      </c>
      <c r="B413" s="7" t="s">
        <v>1638</v>
      </c>
      <c r="C413" s="8" t="n">
        <v>556801421</v>
      </c>
      <c r="D413" s="9" t="n">
        <v>46170</v>
      </c>
      <c r="E413" s="10" t="s">
        <v>1641</v>
      </c>
      <c r="F413" s="11" t="n">
        <v>46128</v>
      </c>
      <c r="G413" s="10" t="s">
        <v>369</v>
      </c>
      <c r="H413" s="10" t="s">
        <v>369</v>
      </c>
      <c r="I413" s="10" t="s">
        <v>129</v>
      </c>
      <c r="J413" s="10" t="s">
        <v>461</v>
      </c>
      <c r="K413" s="9" t="n">
        <v>46285</v>
      </c>
      <c r="L413" s="12" t="str">
        <f aca="true">IF($O413="","",$O413-TODAY())</f>
        <v/>
      </c>
      <c r="M413" s="12" t="str">
        <f aca="true">IF(AND(TRIM($A413)="Finalized",$K413&lt;&gt;""),"",IF($D413="","",$D413+365-TODAY()))</f>
        <v/>
      </c>
      <c r="N413" s="12" t="str">
        <f aca="true">IF(AND(TRIM($A413)="Finalized",$K413&lt;&gt;""),"",IF($D413="","",$D413+365-TODAY()))</f>
        <v/>
      </c>
      <c r="O413" s="11" t="str">
        <f aca="false">IF(AND(TRIM($A413)="Finalized",$K413&lt;&gt;""),"",DATE(2026,7,15))</f>
        <v/>
      </c>
      <c r="P413" s="10" t="s">
        <v>165</v>
      </c>
      <c r="Q413" s="10" t="s">
        <v>371</v>
      </c>
      <c r="R413" s="10" t="s">
        <v>114</v>
      </c>
      <c r="S413" s="10" t="s">
        <v>116</v>
      </c>
      <c r="T413" s="10" t="s">
        <v>114</v>
      </c>
      <c r="U413" s="10" t="s">
        <v>116</v>
      </c>
      <c r="V413" s="10" t="s">
        <v>221</v>
      </c>
      <c r="W413" s="10" t="s">
        <v>119</v>
      </c>
      <c r="X413" s="10" t="s">
        <v>120</v>
      </c>
      <c r="Y413" s="10"/>
      <c r="Z413" s="10"/>
      <c r="AA413" s="10" t="s">
        <v>230</v>
      </c>
      <c r="AB413" s="8" t="n">
        <f aca="true">IF($F413="","",TODAY()-$F413)</f>
        <v>183</v>
      </c>
      <c r="AC413" s="10" t="s">
        <v>273</v>
      </c>
      <c r="AD413" s="10"/>
      <c r="AE413" s="10"/>
      <c r="AF413" s="10"/>
      <c r="AG413" s="10"/>
      <c r="AH413" s="10"/>
      <c r="AI413" s="10"/>
      <c r="AJ413" s="10" t="s">
        <v>123</v>
      </c>
      <c r="AK413" s="10" t="s">
        <v>124</v>
      </c>
      <c r="AL413" s="10"/>
      <c r="AM413" s="10"/>
      <c r="AN413" s="8"/>
      <c r="AO413" s="10" t="s">
        <v>155</v>
      </c>
      <c r="AP413" s="10" t="s">
        <v>156</v>
      </c>
      <c r="AQ413" s="11" t="n">
        <v>46134</v>
      </c>
      <c r="AR413" s="13"/>
      <c r="AS413" s="13"/>
      <c r="AT413" s="13" t="s">
        <v>273</v>
      </c>
      <c r="AU413" s="13" t="s">
        <v>464</v>
      </c>
      <c r="AV413" s="13"/>
      <c r="AW413" s="13"/>
      <c r="AX413" s="13"/>
      <c r="AY413" s="7" t="s">
        <v>465</v>
      </c>
      <c r="AZ413" s="7"/>
      <c r="BA413" s="7" t="s">
        <v>34</v>
      </c>
      <c r="BB413" s="7" t="s">
        <v>464</v>
      </c>
      <c r="BC413" s="7"/>
      <c r="BD413" s="9"/>
      <c r="BE413" s="7"/>
      <c r="BF413" s="14" t="str">
        <f aca="true">IF(TRIM($A413)="Finalized","Closed",IF($BD413="","No review date set",IF($BD413&lt;TODAY(),"OVERDUE",IF($BD413-TODAY()&lt;=7,"Due within 7 days","Scheduled"))))</f>
        <v>Closed</v>
      </c>
      <c r="BG413" s="14" t="n">
        <f aca="true">IF($K413="","",TODAY()-$K413)</f>
        <v>26</v>
      </c>
      <c r="BH413" s="15" t="str">
        <f aca="false">IFERROR(LEFT(IF($B413="","Notes, ","")&amp;IF($K413="","Latest Date Worked, ","")&amp;IF($AY413="","Last Action, ","")&amp;IF(AND(OR(TRIM($A413)="Denied",TRIM($A413)="Rejected"),$BA413=""),"Denial Reason, ","")&amp;IF(AND(TRIM($A413)="Denied",$BB413="",TRIM($BA413)&lt;&gt;"NO DENIAL"),"Denial Code, ","")&amp;IF(AND(TRIM($A413)&lt;&gt;"Finalized",$BD413=""),"Next Review Date, ","")&amp;IF(AND(TRIM($A413)&lt;&gt;"Finalized",$BE413=""),"Next Step, ","")&amp;IF(AND(TRIM($A413)="Finalized",$AV413="",$AR413="",$AT413="",$AX413="",$AW413=""),"CPT outcome, ",""),LEN(IF($B413="","Notes, ","")&amp;IF($K413="","Latest Date Worked, ","")&amp;IF($AY413="","Last Action, ","")&amp;IF(AND(OR(TRIM($A413)="Denied",TRIM($A413)="Rejected"),$BA413=""),"Denial Reason, ","")&amp;IF(AND(TRIM($A413)="Denied",$BB413="",TRIM($BA413)&lt;&gt;"NO DENIAL"),"Denial Code, ","")&amp;IF(AND(TRIM($A413)&lt;&gt;"Finalized",$BD413=""),"Next Review Date, ","")&amp;IF(AND(TRIM($A413)&lt;&gt;"Finalized",$BE413=""),"Next Step, ","")&amp;IF(AND(TRIM($A413)="Finalized",$AV413="",$AR413="",$AT413="",$AX413="",$AW413=""),"CPT outcome, ",""))-2),"")</f>
        <v/>
      </c>
      <c r="BI413" s="15" t="str">
        <f aca="false">IF($BB413="","",IFERROR(INDEX('Denial Codes'!$C:$C,MATCH(LEFT($BB413,FIND(" - ",$BB413&amp;" - ")+2)&amp;"*",'Denial Codes'!$A:$A,0)),""))</f>
        <v>No authorization</v>
      </c>
      <c r="BJ413" s="15" t="str">
        <f aca="false">IF($BA413="","",IFERROR(INDEX(Lists!$B:$B,MATCH(TRIM($BA413),Lists!$A:$A,0))&amp;"",""))</f>
        <v>Check the portal for an auth; request a retro-auth or file an appeal with the auth number, then resubmit.</v>
      </c>
    </row>
    <row r="414" customFormat="false" ht="15" hidden="false" customHeight="false" outlineLevel="0" collapsed="false">
      <c r="A414" s="7" t="s">
        <v>16</v>
      </c>
      <c r="B414" s="7" t="s">
        <v>1642</v>
      </c>
      <c r="C414" s="8" t="n">
        <v>558964326</v>
      </c>
      <c r="D414" s="9" t="n">
        <v>46183</v>
      </c>
      <c r="E414" s="10" t="s">
        <v>1643</v>
      </c>
      <c r="F414" s="11" t="n">
        <v>46129</v>
      </c>
      <c r="G414" s="10" t="s">
        <v>460</v>
      </c>
      <c r="H414" s="10" t="s">
        <v>460</v>
      </c>
      <c r="I414" s="10" t="s">
        <v>129</v>
      </c>
      <c r="J414" s="10" t="s">
        <v>595</v>
      </c>
      <c r="K414" s="9" t="n">
        <v>46278</v>
      </c>
      <c r="L414" s="12" t="str">
        <f aca="true">IF($O414="","",$O414-TODAY())</f>
        <v/>
      </c>
      <c r="M414" s="12" t="str">
        <f aca="true">IF(AND(TRIM($A414)="Finalized",$K414&lt;&gt;""),"",IF($D414="","",$D414+180-TODAY()))</f>
        <v/>
      </c>
      <c r="N414" s="12" t="str">
        <f aca="true">IF(AND(TRIM($A414)="Finalized",$K414&lt;&gt;""),"",IF($D414="","",$D414+365-TODAY()))</f>
        <v/>
      </c>
      <c r="O414" s="11" t="str">
        <f aca="false">IF(AND(TRIM($A414)="Finalized",$K414&lt;&gt;""),"",DATE(2026,7,16))</f>
        <v/>
      </c>
      <c r="P414" s="10" t="s">
        <v>165</v>
      </c>
      <c r="Q414" s="10" t="s">
        <v>462</v>
      </c>
      <c r="R414" s="10" t="s">
        <v>147</v>
      </c>
      <c r="S414" s="10" t="s">
        <v>116</v>
      </c>
      <c r="T414" s="10" t="s">
        <v>114</v>
      </c>
      <c r="U414" s="10" t="s">
        <v>116</v>
      </c>
      <c r="V414" s="10" t="s">
        <v>221</v>
      </c>
      <c r="W414" s="10" t="s">
        <v>132</v>
      </c>
      <c r="X414" s="10"/>
      <c r="Y414" s="10"/>
      <c r="Z414" s="10"/>
      <c r="AA414" s="10" t="s">
        <v>197</v>
      </c>
      <c r="AB414" s="8" t="n">
        <f aca="true">IF($F414="","",TODAY()-$F414)</f>
        <v>182</v>
      </c>
      <c r="AC414" s="10" t="s">
        <v>246</v>
      </c>
      <c r="AD414" s="10" t="s">
        <v>169</v>
      </c>
      <c r="AE414" s="10"/>
      <c r="AF414" s="10"/>
      <c r="AG414" s="10"/>
      <c r="AH414" s="10"/>
      <c r="AI414" s="10"/>
      <c r="AJ414" s="10" t="s">
        <v>124</v>
      </c>
      <c r="AK414" s="10"/>
      <c r="AL414" s="10"/>
      <c r="AM414" s="10"/>
      <c r="AN414" s="8"/>
      <c r="AO414" s="10" t="s">
        <v>187</v>
      </c>
      <c r="AP414" s="10" t="s">
        <v>175</v>
      </c>
      <c r="AQ414" s="11" t="n">
        <v>46153</v>
      </c>
      <c r="AR414" s="13" t="s">
        <v>169</v>
      </c>
      <c r="AS414" s="13" t="s">
        <v>623</v>
      </c>
      <c r="AT414" s="13" t="s">
        <v>246</v>
      </c>
      <c r="AU414" s="13" t="s">
        <v>464</v>
      </c>
      <c r="AV414" s="13"/>
      <c r="AW414" s="13"/>
      <c r="AX414" s="13"/>
      <c r="AY414" s="7" t="s">
        <v>465</v>
      </c>
      <c r="AZ414" s="7"/>
      <c r="BA414" s="7" t="s">
        <v>34</v>
      </c>
      <c r="BB414" s="7" t="s">
        <v>624</v>
      </c>
      <c r="BC414" s="7"/>
      <c r="BD414" s="9"/>
      <c r="BE414" s="7"/>
      <c r="BF414" s="14" t="str">
        <f aca="true">IF(TRIM($A414)="Finalized","Closed",IF($BD414="","No review date set",IF($BD414&lt;TODAY(),"OVERDUE",IF($BD414-TODAY()&lt;=7,"Due within 7 days","Scheduled"))))</f>
        <v>Closed</v>
      </c>
      <c r="BG414" s="14" t="n">
        <f aca="true">IF($K414="","",TODAY()-$K414)</f>
        <v>33</v>
      </c>
      <c r="BH414" s="15" t="str">
        <f aca="false">IFERROR(LEFT(IF($B414="","Notes, ","")&amp;IF($K414="","Latest Date Worked, ","")&amp;IF($AY414="","Last Action, ","")&amp;IF(AND(OR(TRIM($A414)="Denied",TRIM($A414)="Rejected"),$BA414=""),"Denial Reason, ","")&amp;IF(AND(TRIM($A414)="Denied",$BB414="",TRIM($BA414)&lt;&gt;"NO DENIAL"),"Denial Code, ","")&amp;IF(AND(TRIM($A414)&lt;&gt;"Finalized",$BD414=""),"Next Review Date, ","")&amp;IF(AND(TRIM($A414)&lt;&gt;"Finalized",$BE414=""),"Next Step, ","")&amp;IF(AND(TRIM($A414)="Finalized",$AV414="",$AR414="",$AT414="",$AX414="",$AW414=""),"CPT outcome, ",""),LEN(IF($B414="","Notes, ","")&amp;IF($K414="","Latest Date Worked, ","")&amp;IF($AY414="","Last Action, ","")&amp;IF(AND(OR(TRIM($A414)="Denied",TRIM($A414)="Rejected"),$BA414=""),"Denial Reason, ","")&amp;IF(AND(TRIM($A414)="Denied",$BB414="",TRIM($BA414)&lt;&gt;"NO DENIAL"),"Denial Code, ","")&amp;IF(AND(TRIM($A414)&lt;&gt;"Finalized",$BD414=""),"Next Review Date, ","")&amp;IF(AND(TRIM($A414)&lt;&gt;"Finalized",$BE414=""),"Next Step, ","")&amp;IF(AND(TRIM($A414)="Finalized",$AV414="",$AR414="",$AT414="",$AX414="",$AW414=""),"CPT outcome, ",""))-2),"")</f>
        <v/>
      </c>
      <c r="BI414" s="15" t="str">
        <f aca="false">IF($BB414="","",IFERROR(INDEX('Denial Codes'!$C:$C,MATCH(LEFT($BB414,FIND(" - ",$BB414&amp;" - ")+2)&amp;"*",'Denial Codes'!$A:$A,0)),""))</f>
        <v>No authorization</v>
      </c>
      <c r="BJ414" s="15" t="str">
        <f aca="false">IF($BA414="","",IFERROR(INDEX(Lists!$B:$B,MATCH(TRIM($BA414),Lists!$A:$A,0))&amp;"",""))</f>
        <v>Check the portal for an auth; request a retro-auth or file an appeal with the auth number, then resubmit.</v>
      </c>
    </row>
    <row r="415" customFormat="false" ht="15" hidden="false" customHeight="false" outlineLevel="0" collapsed="false">
      <c r="A415" s="7" t="s">
        <v>16</v>
      </c>
      <c r="B415" s="7" t="s">
        <v>1644</v>
      </c>
      <c r="C415" s="8" t="n">
        <v>557054917</v>
      </c>
      <c r="D415" s="9" t="n">
        <v>46157</v>
      </c>
      <c r="E415" s="10" t="s">
        <v>1626</v>
      </c>
      <c r="F415" s="11" t="n">
        <v>46135</v>
      </c>
      <c r="G415" s="10" t="s">
        <v>1245</v>
      </c>
      <c r="H415" s="10" t="s">
        <v>347</v>
      </c>
      <c r="I415" s="10" t="s">
        <v>1245</v>
      </c>
      <c r="J415" s="10" t="s">
        <v>370</v>
      </c>
      <c r="K415" s="9" t="n">
        <v>46265</v>
      </c>
      <c r="L415" s="12" t="str">
        <f aca="true">IF($O415="","",$O415-TODAY())</f>
        <v/>
      </c>
      <c r="M415" s="12" t="str">
        <f aca="true">IF(AND(TRIM($A415)="Finalized",$K415&lt;&gt;""),"",IF($F415="","",$F415+90-TODAY()))</f>
        <v/>
      </c>
      <c r="N415" s="12" t="str">
        <f aca="true">IF(AND(TRIM($A415)="Finalized",$K415&lt;&gt;""),"",IF($D415="","",$D415+540-TODAY()))</f>
        <v/>
      </c>
      <c r="O415" s="11" t="str">
        <f aca="false">IF(AND(TRIM($A415)="Finalized",$K415&lt;&gt;""),"",DATE(2026,7,22))</f>
        <v/>
      </c>
      <c r="P415" s="10" t="s">
        <v>165</v>
      </c>
      <c r="Q415" s="10" t="s">
        <v>348</v>
      </c>
      <c r="R415" s="10" t="s">
        <v>165</v>
      </c>
      <c r="S415" s="10" t="s">
        <v>149</v>
      </c>
      <c r="T415" s="10" t="s">
        <v>349</v>
      </c>
      <c r="U415" s="10" t="s">
        <v>116</v>
      </c>
      <c r="V415" s="10" t="s">
        <v>221</v>
      </c>
      <c r="W415" s="10" t="s">
        <v>183</v>
      </c>
      <c r="X415" s="10"/>
      <c r="Y415" s="10"/>
      <c r="Z415" s="10"/>
      <c r="AA415" s="10" t="s">
        <v>197</v>
      </c>
      <c r="AB415" s="8" t="n">
        <f aca="true">IF($F415="","",TODAY()-$F415)</f>
        <v>176</v>
      </c>
      <c r="AC415" s="10" t="s">
        <v>211</v>
      </c>
      <c r="AD415" s="10"/>
      <c r="AE415" s="10"/>
      <c r="AF415" s="10"/>
      <c r="AG415" s="10"/>
      <c r="AH415" s="10"/>
      <c r="AI415" s="10"/>
      <c r="AJ415" s="10" t="s">
        <v>212</v>
      </c>
      <c r="AK415" s="10"/>
      <c r="AL415" s="10"/>
      <c r="AM415" s="10"/>
      <c r="AN415" s="8" t="n">
        <v>561534406</v>
      </c>
      <c r="AO415" s="10" t="s">
        <v>255</v>
      </c>
      <c r="AP415" s="10" t="s">
        <v>188</v>
      </c>
      <c r="AQ415" s="11" t="n">
        <v>46153</v>
      </c>
      <c r="AR415" s="13"/>
      <c r="AS415" s="13"/>
      <c r="AT415" s="13"/>
      <c r="AU415" s="13"/>
      <c r="AV415" s="13" t="s">
        <v>211</v>
      </c>
      <c r="AW415" s="13"/>
      <c r="AX415" s="13" t="s">
        <v>211</v>
      </c>
      <c r="AY415" s="7" t="s">
        <v>363</v>
      </c>
      <c r="AZ415" s="7"/>
      <c r="BA415" s="7" t="s">
        <v>41</v>
      </c>
      <c r="BB415" s="7" t="s">
        <v>1645</v>
      </c>
      <c r="BC415" s="7"/>
      <c r="BD415" s="9"/>
      <c r="BE415" s="7"/>
      <c r="BF415" s="14" t="str">
        <f aca="true">IF(TRIM($A415)="Finalized","Closed",IF($BD415="","No review date set",IF($BD415&lt;TODAY(),"OVERDUE",IF($BD415-TODAY()&lt;=7,"Due within 7 days","Scheduled"))))</f>
        <v>Closed</v>
      </c>
      <c r="BG415" s="14" t="n">
        <f aca="true">IF($K415="","",TODAY()-$K415)</f>
        <v>46</v>
      </c>
      <c r="BH415" s="15" t="str">
        <f aca="false">IFERROR(LEFT(IF($B415="","Notes, ","")&amp;IF($K415="","Latest Date Worked, ","")&amp;IF($AY415="","Last Action, ","")&amp;IF(AND(OR(TRIM($A415)="Denied",TRIM($A415)="Rejected"),$BA415=""),"Denial Reason, ","")&amp;IF(AND(TRIM($A415)="Denied",$BB415="",TRIM($BA415)&lt;&gt;"NO DENIAL"),"Denial Code, ","")&amp;IF(AND(TRIM($A415)&lt;&gt;"Finalized",$BD415=""),"Next Review Date, ","")&amp;IF(AND(TRIM($A415)&lt;&gt;"Finalized",$BE415=""),"Next Step, ","")&amp;IF(AND(TRIM($A415)="Finalized",$AV415="",$AR415="",$AT415="",$AX415="",$AW415=""),"CPT outcome, ",""),LEN(IF($B415="","Notes, ","")&amp;IF($K415="","Latest Date Worked, ","")&amp;IF($AY415="","Last Action, ","")&amp;IF(AND(OR(TRIM($A415)="Denied",TRIM($A415)="Rejected"),$BA415=""),"Denial Reason, ","")&amp;IF(AND(TRIM($A415)="Denied",$BB415="",TRIM($BA415)&lt;&gt;"NO DENIAL"),"Denial Code, ","")&amp;IF(AND(TRIM($A415)&lt;&gt;"Finalized",$BD415=""),"Next Review Date, ","")&amp;IF(AND(TRIM($A415)&lt;&gt;"Finalized",$BE415=""),"Next Step, ","")&amp;IF(AND(TRIM($A415)="Finalized",$AV415="",$AR415="",$AT415="",$AX415="",$AW415=""),"CPT outcome, ",""))-2),"")</f>
        <v/>
      </c>
      <c r="BI415" s="15" t="str">
        <f aca="false">IF($BB415="","",IFERROR(INDEX('Denial Codes'!$C:$C,MATCH(LEFT($BB415,FIND(" - ",$BB415&amp;" - ")+2)&amp;"*",'Denial Codes'!$A:$A,0)),""))</f>
        <v>Not covered by plan</v>
      </c>
      <c r="BJ415" s="15" t="str">
        <f aca="false">IF($BA415="","",IFERROR(INDEX(Lists!$B:$B,MATCH(TRIM($BA415),Lists!$A:$A,0))&amp;"",""))</f>
        <v>Confirm benefits; bill the patient if an ABN/waiver is on file, otherwise appeal or adjust.</v>
      </c>
    </row>
    <row r="416" customFormat="false" ht="15" hidden="false" customHeight="false" outlineLevel="0" collapsed="false">
      <c r="A416" s="7" t="s">
        <v>16</v>
      </c>
      <c r="B416" s="7" t="s">
        <v>1646</v>
      </c>
      <c r="C416" s="8" t="n">
        <v>558609820</v>
      </c>
      <c r="D416" s="9" t="n">
        <v>46154</v>
      </c>
      <c r="E416" s="10" t="s">
        <v>249</v>
      </c>
      <c r="F416" s="11" t="n">
        <v>46135</v>
      </c>
      <c r="G416" s="10" t="s">
        <v>180</v>
      </c>
      <c r="H416" s="10" t="s">
        <v>180</v>
      </c>
      <c r="I416" s="10" t="s">
        <v>129</v>
      </c>
      <c r="J416" s="10" t="s">
        <v>1647</v>
      </c>
      <c r="K416" s="9" t="n">
        <v>46285</v>
      </c>
      <c r="L416" s="12" t="str">
        <f aca="true">IF($O416="","",$O416-TODAY())</f>
        <v/>
      </c>
      <c r="M416" s="12" t="str">
        <f aca="true">IF(AND(TRIM($A416)="Finalized",$K416&lt;&gt;""),"",IF($D416="","",$D416+180-TODAY()))</f>
        <v/>
      </c>
      <c r="N416" s="12" t="str">
        <f aca="true">IF(AND(TRIM($A416)="Finalized",$K416&lt;&gt;""),"",IF($D416="","",$D416+365-TODAY()))</f>
        <v/>
      </c>
      <c r="O416" s="11" t="str">
        <f aca="false">IF(AND(TRIM($A416)="Finalized",$K416&lt;&gt;""),"",DATE(2026,7,22))</f>
        <v/>
      </c>
      <c r="P416" s="10" t="s">
        <v>165</v>
      </c>
      <c r="Q416" s="10" t="s">
        <v>182</v>
      </c>
      <c r="R416" s="10" t="s">
        <v>147</v>
      </c>
      <c r="S416" s="10" t="s">
        <v>116</v>
      </c>
      <c r="T416" s="10" t="s">
        <v>114</v>
      </c>
      <c r="U416" s="10" t="s">
        <v>116</v>
      </c>
      <c r="V416" s="10" t="s">
        <v>221</v>
      </c>
      <c r="W416" s="10" t="s">
        <v>119</v>
      </c>
      <c r="X416" s="10" t="s">
        <v>229</v>
      </c>
      <c r="Y416" s="10"/>
      <c r="Z416" s="10"/>
      <c r="AA416" s="10" t="s">
        <v>121</v>
      </c>
      <c r="AB416" s="8" t="n">
        <f aca="true">IF($F416="","",TODAY()-$F416)</f>
        <v>176</v>
      </c>
      <c r="AC416" s="10" t="s">
        <v>273</v>
      </c>
      <c r="AD416" s="10" t="s">
        <v>122</v>
      </c>
      <c r="AE416" s="10"/>
      <c r="AF416" s="10"/>
      <c r="AG416" s="10"/>
      <c r="AH416" s="10"/>
      <c r="AI416" s="10"/>
      <c r="AJ416" s="10" t="s">
        <v>123</v>
      </c>
      <c r="AK416" s="10"/>
      <c r="AL416" s="10"/>
      <c r="AM416" s="10"/>
      <c r="AN416" s="8"/>
      <c r="AO416" s="10" t="s">
        <v>569</v>
      </c>
      <c r="AP416" s="10" t="s">
        <v>188</v>
      </c>
      <c r="AQ416" s="11" t="n">
        <v>46150</v>
      </c>
      <c r="AR416" s="13"/>
      <c r="AS416" s="13"/>
      <c r="AT416" s="13"/>
      <c r="AU416" s="13"/>
      <c r="AV416" s="13"/>
      <c r="AW416" s="13"/>
      <c r="AX416" s="13"/>
      <c r="AY416" s="7" t="s">
        <v>411</v>
      </c>
      <c r="AZ416" s="7"/>
      <c r="BA416" s="7" t="s">
        <v>41</v>
      </c>
      <c r="BB416" s="7"/>
      <c r="BC416" s="7"/>
      <c r="BD416" s="9"/>
      <c r="BE416" s="7"/>
      <c r="BF416" s="14" t="str">
        <f aca="true">IF(TRIM($A416)="Finalized","Closed",IF($BD416="","No review date set",IF($BD416&lt;TODAY(),"OVERDUE",IF($BD416-TODAY()&lt;=7,"Due within 7 days","Scheduled"))))</f>
        <v>Closed</v>
      </c>
      <c r="BG416" s="14" t="n">
        <f aca="true">IF($K416="","",TODAY()-$K416)</f>
        <v>26</v>
      </c>
      <c r="BH416" s="15" t="str">
        <f aca="false">IFERROR(LEFT(IF($B416="","Notes, ","")&amp;IF($K416="","Latest Date Worked, ","")&amp;IF($AY416="","Last Action, ","")&amp;IF(AND(OR(TRIM($A416)="Denied",TRIM($A416)="Rejected"),$BA416=""),"Denial Reason, ","")&amp;IF(AND(TRIM($A416)="Denied",$BB416="",TRIM($BA416)&lt;&gt;"NO DENIAL"),"Denial Code, ","")&amp;IF(AND(TRIM($A416)&lt;&gt;"Finalized",$BD416=""),"Next Review Date, ","")&amp;IF(AND(TRIM($A416)&lt;&gt;"Finalized",$BE416=""),"Next Step, ","")&amp;IF(AND(TRIM($A416)="Finalized",$AV416="",$AR416="",$AT416="",$AX416="",$AW416=""),"CPT outcome, ",""),LEN(IF($B416="","Notes, ","")&amp;IF($K416="","Latest Date Worked, ","")&amp;IF($AY416="","Last Action, ","")&amp;IF(AND(OR(TRIM($A416)="Denied",TRIM($A416)="Rejected"),$BA416=""),"Denial Reason, ","")&amp;IF(AND(TRIM($A416)="Denied",$BB416="",TRIM($BA416)&lt;&gt;"NO DENIAL"),"Denial Code, ","")&amp;IF(AND(TRIM($A416)&lt;&gt;"Finalized",$BD416=""),"Next Review Date, ","")&amp;IF(AND(TRIM($A416)&lt;&gt;"Finalized",$BE416=""),"Next Step, ","")&amp;IF(AND(TRIM($A416)="Finalized",$AV416="",$AR416="",$AT416="",$AX416="",$AW416=""),"CPT outcome, ",""))-2),"")</f>
        <v>CPT outcome</v>
      </c>
      <c r="BI416" s="15" t="str">
        <f aca="false">IF($BB416="","",IFERROR(INDEX('Denial Codes'!$C:$C,MATCH(LEFT($BB416,FIND(" - ",$BB416&amp;" - ")+2)&amp;"*",'Denial Codes'!$A:$A,0)),""))</f>
        <v/>
      </c>
      <c r="BJ416" s="15" t="str">
        <f aca="false">IF($BA416="","",IFERROR(INDEX(Lists!$B:$B,MATCH(TRIM($BA416),Lists!$A:$A,0))&amp;"",""))</f>
        <v>Confirm benefits; bill the patient if an ABN/waiver is on file, otherwise appeal or adjust.</v>
      </c>
    </row>
    <row r="417" customFormat="false" ht="15" hidden="false" customHeight="false" outlineLevel="0" collapsed="false">
      <c r="A417" s="7" t="s">
        <v>16</v>
      </c>
      <c r="B417" s="7" t="s">
        <v>1646</v>
      </c>
      <c r="C417" s="8" t="n">
        <v>557507395</v>
      </c>
      <c r="D417" s="9" t="n">
        <v>46156</v>
      </c>
      <c r="E417" s="10" t="s">
        <v>1648</v>
      </c>
      <c r="F417" s="11" t="n">
        <v>46139</v>
      </c>
      <c r="G417" s="10" t="s">
        <v>180</v>
      </c>
      <c r="H417" s="10" t="s">
        <v>180</v>
      </c>
      <c r="I417" s="10" t="s">
        <v>180</v>
      </c>
      <c r="J417" s="10" t="s">
        <v>461</v>
      </c>
      <c r="K417" s="9" t="n">
        <v>46285</v>
      </c>
      <c r="L417" s="12" t="str">
        <f aca="true">IF($O417="","",$O417-TODAY())</f>
        <v/>
      </c>
      <c r="M417" s="12" t="str">
        <f aca="true">IF(AND(TRIM($A417)="Finalized",$K417&lt;&gt;""),"",IF($D417="","",$D417+180-TODAY()))</f>
        <v/>
      </c>
      <c r="N417" s="12" t="str">
        <f aca="true">IF(AND(TRIM($A417)="Finalized",$K417&lt;&gt;""),"",IF($D417="","",$D417+365-TODAY()))</f>
        <v/>
      </c>
      <c r="O417" s="11" t="str">
        <f aca="false">IF(AND(TRIM($A417)="Finalized",$K417&lt;&gt;""),"",DATE(2026,7,26))</f>
        <v/>
      </c>
      <c r="P417" s="10" t="s">
        <v>165</v>
      </c>
      <c r="Q417" s="10" t="s">
        <v>182</v>
      </c>
      <c r="R417" s="10" t="s">
        <v>147</v>
      </c>
      <c r="S417" s="10" t="s">
        <v>116</v>
      </c>
      <c r="T417" s="10" t="s">
        <v>114</v>
      </c>
      <c r="U417" s="10" t="s">
        <v>116</v>
      </c>
      <c r="V417" s="10" t="s">
        <v>221</v>
      </c>
      <c r="W417" s="10" t="s">
        <v>119</v>
      </c>
      <c r="X417" s="10" t="s">
        <v>120</v>
      </c>
      <c r="Y417" s="10"/>
      <c r="Z417" s="10"/>
      <c r="AA417" s="10" t="s">
        <v>230</v>
      </c>
      <c r="AB417" s="8" t="n">
        <f aca="true">IF($F417="","",TODAY()-$F417)</f>
        <v>172</v>
      </c>
      <c r="AC417" s="10" t="s">
        <v>273</v>
      </c>
      <c r="AD417" s="10"/>
      <c r="AE417" s="10"/>
      <c r="AF417" s="10"/>
      <c r="AG417" s="10"/>
      <c r="AH417" s="10"/>
      <c r="AI417" s="10"/>
      <c r="AJ417" s="10" t="s">
        <v>123</v>
      </c>
      <c r="AK417" s="10" t="s">
        <v>124</v>
      </c>
      <c r="AL417" s="10"/>
      <c r="AM417" s="10"/>
      <c r="AN417" s="8"/>
      <c r="AO417" s="10" t="s">
        <v>326</v>
      </c>
      <c r="AP417" s="10" t="s">
        <v>156</v>
      </c>
      <c r="AQ417" s="11" t="n">
        <v>46140</v>
      </c>
      <c r="AR417" s="13"/>
      <c r="AS417" s="13"/>
      <c r="AT417" s="13"/>
      <c r="AU417" s="13"/>
      <c r="AV417" s="13"/>
      <c r="AW417" s="13"/>
      <c r="AX417" s="13"/>
      <c r="AY417" s="7" t="s">
        <v>411</v>
      </c>
      <c r="AZ417" s="7"/>
      <c r="BA417" s="7" t="s">
        <v>41</v>
      </c>
      <c r="BB417" s="7"/>
      <c r="BC417" s="7"/>
      <c r="BD417" s="9"/>
      <c r="BE417" s="7"/>
      <c r="BF417" s="14" t="str">
        <f aca="true">IF(TRIM($A417)="Finalized","Closed",IF($BD417="","No review date set",IF($BD417&lt;TODAY(),"OVERDUE",IF($BD417-TODAY()&lt;=7,"Due within 7 days","Scheduled"))))</f>
        <v>Closed</v>
      </c>
      <c r="BG417" s="14" t="n">
        <f aca="true">IF($K417="","",TODAY()-$K417)</f>
        <v>26</v>
      </c>
      <c r="BH417" s="15" t="str">
        <f aca="false">IFERROR(LEFT(IF($B417="","Notes, ","")&amp;IF($K417="","Latest Date Worked, ","")&amp;IF($AY417="","Last Action, ","")&amp;IF(AND(OR(TRIM($A417)="Denied",TRIM($A417)="Rejected"),$BA417=""),"Denial Reason, ","")&amp;IF(AND(TRIM($A417)="Denied",$BB417="",TRIM($BA417)&lt;&gt;"NO DENIAL"),"Denial Code, ","")&amp;IF(AND(TRIM($A417)&lt;&gt;"Finalized",$BD417=""),"Next Review Date, ","")&amp;IF(AND(TRIM($A417)&lt;&gt;"Finalized",$BE417=""),"Next Step, ","")&amp;IF(AND(TRIM($A417)="Finalized",$AV417="",$AR417="",$AT417="",$AX417="",$AW417=""),"CPT outcome, ",""),LEN(IF($B417="","Notes, ","")&amp;IF($K417="","Latest Date Worked, ","")&amp;IF($AY417="","Last Action, ","")&amp;IF(AND(OR(TRIM($A417)="Denied",TRIM($A417)="Rejected"),$BA417=""),"Denial Reason, ","")&amp;IF(AND(TRIM($A417)="Denied",$BB417="",TRIM($BA417)&lt;&gt;"NO DENIAL"),"Denial Code, ","")&amp;IF(AND(TRIM($A417)&lt;&gt;"Finalized",$BD417=""),"Next Review Date, ","")&amp;IF(AND(TRIM($A417)&lt;&gt;"Finalized",$BE417=""),"Next Step, ","")&amp;IF(AND(TRIM($A417)="Finalized",$AV417="",$AR417="",$AT417="",$AX417="",$AW417=""),"CPT outcome, ",""))-2),"")</f>
        <v>CPT outcome</v>
      </c>
      <c r="BI417" s="15" t="str">
        <f aca="false">IF($BB417="","",IFERROR(INDEX('Denial Codes'!$C:$C,MATCH(LEFT($BB417,FIND(" - ",$BB417&amp;" - ")+2)&amp;"*",'Denial Codes'!$A:$A,0)),""))</f>
        <v/>
      </c>
      <c r="BJ417" s="15" t="str">
        <f aca="false">IF($BA417="","",IFERROR(INDEX(Lists!$B:$B,MATCH(TRIM($BA417),Lists!$A:$A,0))&amp;"",""))</f>
        <v>Confirm benefits; bill the patient if an ABN/waiver is on file, otherwise appeal or adjust.</v>
      </c>
    </row>
    <row r="418" customFormat="false" ht="15" hidden="false" customHeight="false" outlineLevel="0" collapsed="false">
      <c r="A418" s="7" t="s">
        <v>16</v>
      </c>
      <c r="B418" s="7" t="s">
        <v>465</v>
      </c>
      <c r="C418" s="8" t="n">
        <v>562510509</v>
      </c>
      <c r="D418" s="9" t="n">
        <v>46217</v>
      </c>
      <c r="E418" s="10" t="s">
        <v>1649</v>
      </c>
      <c r="F418" s="11" t="n">
        <v>46139</v>
      </c>
      <c r="G418" s="10" t="s">
        <v>369</v>
      </c>
      <c r="H418" s="10" t="s">
        <v>369</v>
      </c>
      <c r="I418" s="10" t="s">
        <v>129</v>
      </c>
      <c r="J418" s="10" t="s">
        <v>461</v>
      </c>
      <c r="K418" s="9" t="n">
        <v>46285</v>
      </c>
      <c r="L418" s="12" t="str">
        <f aca="true">IF($O418="","",$O418-TODAY())</f>
        <v/>
      </c>
      <c r="M418" s="12" t="str">
        <f aca="true">IF(AND(TRIM($A418)="Finalized",$K418&lt;&gt;""),"",IF($D418="","",$D418+365-TODAY()))</f>
        <v/>
      </c>
      <c r="N418" s="12" t="str">
        <f aca="true">IF(AND(TRIM($A418)="Finalized",$K418&lt;&gt;""),"",IF($D418="","",$D418+365-TODAY()))</f>
        <v/>
      </c>
      <c r="O418" s="11" t="str">
        <f aca="false">IF(AND(TRIM($A418)="Finalized",$K418&lt;&gt;""),"",DATE(2026,7,26))</f>
        <v/>
      </c>
      <c r="P418" s="10" t="s">
        <v>165</v>
      </c>
      <c r="Q418" s="10" t="s">
        <v>371</v>
      </c>
      <c r="R418" s="10" t="s">
        <v>114</v>
      </c>
      <c r="S418" s="10" t="s">
        <v>116</v>
      </c>
      <c r="T418" s="10" t="s">
        <v>114</v>
      </c>
      <c r="U418" s="10" t="s">
        <v>116</v>
      </c>
      <c r="V418" s="10" t="s">
        <v>221</v>
      </c>
      <c r="W418" s="10" t="s">
        <v>119</v>
      </c>
      <c r="X418" s="10" t="s">
        <v>120</v>
      </c>
      <c r="Y418" s="10"/>
      <c r="Z418" s="10"/>
      <c r="AA418" s="10" t="s">
        <v>230</v>
      </c>
      <c r="AB418" s="8" t="n">
        <f aca="true">IF($F418="","",TODAY()-$F418)</f>
        <v>172</v>
      </c>
      <c r="AC418" s="10" t="s">
        <v>273</v>
      </c>
      <c r="AD418" s="10"/>
      <c r="AE418" s="10"/>
      <c r="AF418" s="10"/>
      <c r="AG418" s="10"/>
      <c r="AH418" s="10"/>
      <c r="AI418" s="10"/>
      <c r="AJ418" s="10" t="s">
        <v>123</v>
      </c>
      <c r="AK418" s="10" t="s">
        <v>686</v>
      </c>
      <c r="AL418" s="10"/>
      <c r="AM418" s="10"/>
      <c r="AN418" s="8"/>
      <c r="AO418" s="10" t="s">
        <v>262</v>
      </c>
      <c r="AP418" s="10" t="s">
        <v>202</v>
      </c>
      <c r="AQ418" s="11" t="n">
        <v>46189</v>
      </c>
      <c r="AR418" s="13"/>
      <c r="AS418" s="13"/>
      <c r="AT418" s="13" t="s">
        <v>273</v>
      </c>
      <c r="AU418" s="13" t="s">
        <v>464</v>
      </c>
      <c r="AV418" s="13"/>
      <c r="AW418" s="13"/>
      <c r="AX418" s="13"/>
      <c r="AY418" s="7" t="s">
        <v>465</v>
      </c>
      <c r="AZ418" s="7"/>
      <c r="BA418" s="7" t="s">
        <v>34</v>
      </c>
      <c r="BB418" s="7" t="s">
        <v>464</v>
      </c>
      <c r="BC418" s="7"/>
      <c r="BD418" s="9"/>
      <c r="BE418" s="7"/>
      <c r="BF418" s="14" t="str">
        <f aca="true">IF(TRIM($A418)="Finalized","Closed",IF($BD418="","No review date set",IF($BD418&lt;TODAY(),"OVERDUE",IF($BD418-TODAY()&lt;=7,"Due within 7 days","Scheduled"))))</f>
        <v>Closed</v>
      </c>
      <c r="BG418" s="14" t="n">
        <f aca="true">IF($K418="","",TODAY()-$K418)</f>
        <v>26</v>
      </c>
      <c r="BH418" s="15" t="str">
        <f aca="false">IFERROR(LEFT(IF($B418="","Notes, ","")&amp;IF($K418="","Latest Date Worked, ","")&amp;IF($AY418="","Last Action, ","")&amp;IF(AND(OR(TRIM($A418)="Denied",TRIM($A418)="Rejected"),$BA418=""),"Denial Reason, ","")&amp;IF(AND(TRIM($A418)="Denied",$BB418="",TRIM($BA418)&lt;&gt;"NO DENIAL"),"Denial Code, ","")&amp;IF(AND(TRIM($A418)&lt;&gt;"Finalized",$BD418=""),"Next Review Date, ","")&amp;IF(AND(TRIM($A418)&lt;&gt;"Finalized",$BE418=""),"Next Step, ","")&amp;IF(AND(TRIM($A418)="Finalized",$AV418="",$AR418="",$AT418="",$AX418="",$AW418=""),"CPT outcome, ",""),LEN(IF($B418="","Notes, ","")&amp;IF($K418="","Latest Date Worked, ","")&amp;IF($AY418="","Last Action, ","")&amp;IF(AND(OR(TRIM($A418)="Denied",TRIM($A418)="Rejected"),$BA418=""),"Denial Reason, ","")&amp;IF(AND(TRIM($A418)="Denied",$BB418="",TRIM($BA418)&lt;&gt;"NO DENIAL"),"Denial Code, ","")&amp;IF(AND(TRIM($A418)&lt;&gt;"Finalized",$BD418=""),"Next Review Date, ","")&amp;IF(AND(TRIM($A418)&lt;&gt;"Finalized",$BE418=""),"Next Step, ","")&amp;IF(AND(TRIM($A418)="Finalized",$AV418="",$AR418="",$AT418="",$AX418="",$AW418=""),"CPT outcome, ",""))-2),"")</f>
        <v/>
      </c>
      <c r="BI418" s="15" t="str">
        <f aca="false">IF($BB418="","",IFERROR(INDEX('Denial Codes'!$C:$C,MATCH(LEFT($BB418,FIND(" - ",$BB418&amp;" - ")+2)&amp;"*",'Denial Codes'!$A:$A,0)),""))</f>
        <v>No authorization</v>
      </c>
      <c r="BJ418" s="15" t="str">
        <f aca="false">IF($BA418="","",IFERROR(INDEX(Lists!$B:$B,MATCH(TRIM($BA418),Lists!$A:$A,0))&amp;"",""))</f>
        <v>Check the portal for an auth; request a retro-auth or file an appeal with the auth number, then resubmit.</v>
      </c>
    </row>
    <row r="419" customFormat="false" ht="15" hidden="false" customHeight="false" outlineLevel="0" collapsed="false">
      <c r="A419" s="7" t="s">
        <v>16</v>
      </c>
      <c r="B419" s="7" t="s">
        <v>1632</v>
      </c>
      <c r="C419" s="8" t="n">
        <v>555438747</v>
      </c>
      <c r="D419" s="9" t="n">
        <v>46127</v>
      </c>
      <c r="E419" s="10" t="s">
        <v>1650</v>
      </c>
      <c r="F419" s="11" t="n">
        <v>46112</v>
      </c>
      <c r="G419" s="10" t="s">
        <v>607</v>
      </c>
      <c r="H419" s="10" t="s">
        <v>607</v>
      </c>
      <c r="I419" s="10" t="s">
        <v>129</v>
      </c>
      <c r="J419" s="10" t="s">
        <v>724</v>
      </c>
      <c r="K419" s="9" t="n">
        <v>46278</v>
      </c>
      <c r="L419" s="12" t="str">
        <f aca="true">IF($O419="","",$O419-TODAY())</f>
        <v/>
      </c>
      <c r="M419" s="12" t="str">
        <f aca="true">IF(AND(TRIM($A419)="Finalized",$K419&lt;&gt;""),"",IF($D419="","",$D419+180-TODAY()))</f>
        <v/>
      </c>
      <c r="N419" s="12" t="str">
        <f aca="true">IF(AND(TRIM($A419)="Finalized",$K419&lt;&gt;""),"",IF($D419="","",$D419+180-TODAY()))</f>
        <v/>
      </c>
      <c r="O419" s="11" t="str">
        <f aca="false">IF(AND(TRIM($A419)="Finalized",$K419&lt;&gt;""),"",DATE(2026,7,29))</f>
        <v/>
      </c>
      <c r="P419" s="10" t="s">
        <v>117</v>
      </c>
      <c r="Q419" s="10" t="s">
        <v>609</v>
      </c>
      <c r="R419" s="10" t="s">
        <v>147</v>
      </c>
      <c r="S419" s="10" t="s">
        <v>116</v>
      </c>
      <c r="T419" s="10" t="s">
        <v>147</v>
      </c>
      <c r="U419" s="10" t="s">
        <v>116</v>
      </c>
      <c r="V419" s="10" t="s">
        <v>167</v>
      </c>
      <c r="W419" s="10" t="s">
        <v>196</v>
      </c>
      <c r="X419" s="10"/>
      <c r="Y419" s="10"/>
      <c r="Z419" s="10"/>
      <c r="AA419" s="10" t="s">
        <v>197</v>
      </c>
      <c r="AB419" s="8" t="n">
        <f aca="true">IF($F419="","",TODAY()-$F419)</f>
        <v>199</v>
      </c>
      <c r="AC419" s="10" t="s">
        <v>487</v>
      </c>
      <c r="AD419" s="10"/>
      <c r="AE419" s="10"/>
      <c r="AF419" s="10"/>
      <c r="AG419" s="10"/>
      <c r="AH419" s="10"/>
      <c r="AI419" s="10"/>
      <c r="AJ419" s="10" t="s">
        <v>350</v>
      </c>
      <c r="AK419" s="10" t="s">
        <v>267</v>
      </c>
      <c r="AL419" s="10"/>
      <c r="AM419" s="10"/>
      <c r="AN419" s="8"/>
      <c r="AO419" s="10" t="s">
        <v>201</v>
      </c>
      <c r="AP419" s="10" t="s">
        <v>202</v>
      </c>
      <c r="AQ419" s="11" t="n">
        <v>46121</v>
      </c>
      <c r="AR419" s="13" t="s">
        <v>487</v>
      </c>
      <c r="AS419" s="13" t="s">
        <v>1634</v>
      </c>
      <c r="AT419" s="13"/>
      <c r="AU419" s="13"/>
      <c r="AV419" s="13"/>
      <c r="AW419" s="13"/>
      <c r="AX419" s="13"/>
      <c r="AY419" s="7" t="s">
        <v>465</v>
      </c>
      <c r="AZ419" s="7"/>
      <c r="BA419" s="7" t="s">
        <v>37</v>
      </c>
      <c r="BB419" s="7" t="s">
        <v>1634</v>
      </c>
      <c r="BC419" s="7"/>
      <c r="BD419" s="9"/>
      <c r="BE419" s="7"/>
      <c r="BF419" s="14" t="str">
        <f aca="true">IF(TRIM($A419)="Finalized","Closed",IF($BD419="","No review date set",IF($BD419&lt;TODAY(),"OVERDUE",IF($BD419-TODAY()&lt;=7,"Due within 7 days","Scheduled"))))</f>
        <v>Closed</v>
      </c>
      <c r="BG419" s="14" t="n">
        <f aca="true">IF($K419="","",TODAY()-$K419)</f>
        <v>33</v>
      </c>
      <c r="BH419" s="15" t="str">
        <f aca="false">IFERROR(LEFT(IF($B419="","Notes, ","")&amp;IF($K419="","Latest Date Worked, ","")&amp;IF($AY419="","Last Action, ","")&amp;IF(AND(OR(TRIM($A419)="Denied",TRIM($A419)="Rejected"),$BA419=""),"Denial Reason, ","")&amp;IF(AND(TRIM($A419)="Denied",$BB419="",TRIM($BA419)&lt;&gt;"NO DENIAL"),"Denial Code, ","")&amp;IF(AND(TRIM($A419)&lt;&gt;"Finalized",$BD419=""),"Next Review Date, ","")&amp;IF(AND(TRIM($A419)&lt;&gt;"Finalized",$BE419=""),"Next Step, ","")&amp;IF(AND(TRIM($A419)="Finalized",$AV419="",$AR419="",$AT419="",$AX419="",$AW419=""),"CPT outcome, ",""),LEN(IF($B419="","Notes, ","")&amp;IF($K419="","Latest Date Worked, ","")&amp;IF($AY419="","Last Action, ","")&amp;IF(AND(OR(TRIM($A419)="Denied",TRIM($A419)="Rejected"),$BA419=""),"Denial Reason, ","")&amp;IF(AND(TRIM($A419)="Denied",$BB419="",TRIM($BA419)&lt;&gt;"NO DENIAL"),"Denial Code, ","")&amp;IF(AND(TRIM($A419)&lt;&gt;"Finalized",$BD419=""),"Next Review Date, ","")&amp;IF(AND(TRIM($A419)&lt;&gt;"Finalized",$BE419=""),"Next Step, ","")&amp;IF(AND(TRIM($A419)="Finalized",$AV419="",$AR419="",$AT419="",$AX419="",$AW419=""),"CPT outcome, ",""))-2),"")</f>
        <v/>
      </c>
      <c r="BI419" s="15" t="str">
        <f aca="false">IF($BB419="","",IFERROR(INDEX('Denial Codes'!$C:$C,MATCH(LEFT($BB419,FIND(" - ",$BB419&amp;" - ")+2)&amp;"*",'Denial Codes'!$A:$A,0)),""))</f>
        <v>Bundled / NCCI edit</v>
      </c>
      <c r="BJ419" s="15" t="str">
        <f aca="false">IF($BA419="","",IFERROR(INDEX(Lists!$B:$B,MATCH(TRIM($BA419),Lists!$A:$A,0))&amp;"",""))</f>
        <v>Check the NCCI pair; if the service was distinct, add 59/XU (or XS) and resubmit; otherwise adjust.</v>
      </c>
    </row>
    <row r="420" customFormat="false" ht="15" hidden="false" customHeight="false" outlineLevel="0" collapsed="false">
      <c r="A420" s="7" t="s">
        <v>16</v>
      </c>
      <c r="B420" s="7" t="s">
        <v>1651</v>
      </c>
      <c r="C420" s="8" t="n">
        <v>559761030</v>
      </c>
      <c r="D420" s="9" t="n">
        <v>46170</v>
      </c>
      <c r="E420" s="10" t="s">
        <v>1652</v>
      </c>
      <c r="F420" s="11" t="n">
        <v>46143</v>
      </c>
      <c r="G420" s="10" t="s">
        <v>208</v>
      </c>
      <c r="H420" s="10" t="s">
        <v>208</v>
      </c>
      <c r="I420" s="10" t="s">
        <v>129</v>
      </c>
      <c r="J420" s="10" t="s">
        <v>228</v>
      </c>
      <c r="K420" s="9" t="n">
        <v>46253</v>
      </c>
      <c r="L420" s="12" t="str">
        <f aca="true">IF($O420="","",$O420-TODAY())</f>
        <v/>
      </c>
      <c r="M420" s="12" t="str">
        <f aca="true">IF(AND(TRIM($A420)="Finalized",$K420&lt;&gt;""),"",IF($D420="","",$D420+180-TODAY()))</f>
        <v/>
      </c>
      <c r="N420" s="12" t="str">
        <f aca="true">IF(AND(TRIM($A420)="Finalized",$K420&lt;&gt;""),"",IF($D420="","",$D420+365-TODAY()))</f>
        <v/>
      </c>
      <c r="O420" s="11" t="str">
        <f aca="false">IF(AND(TRIM($A420)="Finalized",$K420&lt;&gt;""),"",DATE(2026,7,30))</f>
        <v/>
      </c>
      <c r="P420" s="10" t="s">
        <v>165</v>
      </c>
      <c r="Q420" s="10" t="s">
        <v>210</v>
      </c>
      <c r="R420" s="10" t="s">
        <v>147</v>
      </c>
      <c r="S420" s="10" t="s">
        <v>116</v>
      </c>
      <c r="T420" s="10" t="s">
        <v>114</v>
      </c>
      <c r="U420" s="10" t="s">
        <v>116</v>
      </c>
      <c r="V420" s="10" t="s">
        <v>266</v>
      </c>
      <c r="W420" s="10" t="s">
        <v>119</v>
      </c>
      <c r="X420" s="10" t="s">
        <v>229</v>
      </c>
      <c r="Y420" s="10"/>
      <c r="Z420" s="10"/>
      <c r="AA420" s="10" t="s">
        <v>230</v>
      </c>
      <c r="AB420" s="8" t="n">
        <f aca="true">IF($F420="","",TODAY()-$F420)</f>
        <v>168</v>
      </c>
      <c r="AC420" s="10" t="s">
        <v>122</v>
      </c>
      <c r="AD420" s="10"/>
      <c r="AE420" s="10"/>
      <c r="AF420" s="10"/>
      <c r="AG420" s="10"/>
      <c r="AH420" s="10"/>
      <c r="AI420" s="10"/>
      <c r="AJ420" s="10" t="s">
        <v>123</v>
      </c>
      <c r="AK420" s="10"/>
      <c r="AL420" s="10"/>
      <c r="AM420" s="10"/>
      <c r="AN420" s="8"/>
      <c r="AO420" s="10" t="s">
        <v>569</v>
      </c>
      <c r="AP420" s="10" t="s">
        <v>188</v>
      </c>
      <c r="AQ420" s="11" t="n">
        <v>46162</v>
      </c>
      <c r="AR420" s="13"/>
      <c r="AS420" s="13"/>
      <c r="AT420" s="13"/>
      <c r="AU420" s="13"/>
      <c r="AV420" s="13"/>
      <c r="AW420" s="13"/>
      <c r="AX420" s="13"/>
      <c r="AY420" s="7" t="s">
        <v>411</v>
      </c>
      <c r="AZ420" s="7"/>
      <c r="BA420" s="7" t="s">
        <v>44</v>
      </c>
      <c r="BB420" s="7"/>
      <c r="BC420" s="7"/>
      <c r="BD420" s="9"/>
      <c r="BE420" s="7"/>
      <c r="BF420" s="14" t="str">
        <f aca="true">IF(TRIM($A420)="Finalized","Closed",IF($BD420="","No review date set",IF($BD420&lt;TODAY(),"OVERDUE",IF($BD420-TODAY()&lt;=7,"Due within 7 days","Scheduled"))))</f>
        <v>Closed</v>
      </c>
      <c r="BG420" s="14" t="n">
        <f aca="true">IF($K420="","",TODAY()-$K420)</f>
        <v>58</v>
      </c>
      <c r="BH420" s="15" t="str">
        <f aca="false">IFERROR(LEFT(IF($B420="","Notes, ","")&amp;IF($K420="","Latest Date Worked, ","")&amp;IF($AY420="","Last Action, ","")&amp;IF(AND(OR(TRIM($A420)="Denied",TRIM($A420)="Rejected"),$BA420=""),"Denial Reason, ","")&amp;IF(AND(TRIM($A420)="Denied",$BB420="",TRIM($BA420)&lt;&gt;"NO DENIAL"),"Denial Code, ","")&amp;IF(AND(TRIM($A420)&lt;&gt;"Finalized",$BD420=""),"Next Review Date, ","")&amp;IF(AND(TRIM($A420)&lt;&gt;"Finalized",$BE420=""),"Next Step, ","")&amp;IF(AND(TRIM($A420)="Finalized",$AV420="",$AR420="",$AT420="",$AX420="",$AW420=""),"CPT outcome, ",""),LEN(IF($B420="","Notes, ","")&amp;IF($K420="","Latest Date Worked, ","")&amp;IF($AY420="","Last Action, ","")&amp;IF(AND(OR(TRIM($A420)="Denied",TRIM($A420)="Rejected"),$BA420=""),"Denial Reason, ","")&amp;IF(AND(TRIM($A420)="Denied",$BB420="",TRIM($BA420)&lt;&gt;"NO DENIAL"),"Denial Code, ","")&amp;IF(AND(TRIM($A420)&lt;&gt;"Finalized",$BD420=""),"Next Review Date, ","")&amp;IF(AND(TRIM($A420)&lt;&gt;"Finalized",$BE420=""),"Next Step, ","")&amp;IF(AND(TRIM($A420)="Finalized",$AV420="",$AR420="",$AT420="",$AX420="",$AW420=""),"CPT outcome, ",""))-2),"")</f>
        <v>CPT outcome</v>
      </c>
      <c r="BI420" s="15" t="str">
        <f aca="false">IF($BB420="","",IFERROR(INDEX('Denial Codes'!$C:$C,MATCH(LEFT($BB420,FIND(" - ",$BB420&amp;" - ")+2)&amp;"*",'Denial Codes'!$A:$A,0)),""))</f>
        <v/>
      </c>
      <c r="BJ420" s="15" t="str">
        <f aca="false">IF($BA420="","",IFERROR(INDEX(Lists!$B:$B,MATCH(TRIM($BA420),Lists!$A:$A,0))&amp;"",""))</f>
        <v>Bill the correct payer, delegated vendor or capitated group/IPA (e.g. Optum Behavioral, Preferred Homecare).</v>
      </c>
    </row>
    <row r="421" customFormat="false" ht="15" hidden="false" customHeight="false" outlineLevel="0" collapsed="false">
      <c r="A421" s="7" t="s">
        <v>16</v>
      </c>
      <c r="B421" s="7" t="s">
        <v>1653</v>
      </c>
      <c r="C421" s="8" t="n">
        <v>559737254</v>
      </c>
      <c r="D421" s="9" t="n">
        <v>46195</v>
      </c>
      <c r="E421" s="10" t="s">
        <v>1654</v>
      </c>
      <c r="F421" s="11" t="n">
        <v>46150</v>
      </c>
      <c r="G421" s="10" t="s">
        <v>208</v>
      </c>
      <c r="H421" s="10" t="s">
        <v>208</v>
      </c>
      <c r="I421" s="10" t="s">
        <v>145</v>
      </c>
      <c r="J421" s="10" t="s">
        <v>792</v>
      </c>
      <c r="K421" s="9" t="n">
        <v>46253</v>
      </c>
      <c r="L421" s="12" t="str">
        <f aca="true">IF($O421="","",$O421-TODAY())</f>
        <v/>
      </c>
      <c r="M421" s="12" t="str">
        <f aca="true">IF(AND(TRIM($A421)="Finalized",$K421&lt;&gt;""),"",IF($D421="","",$D421+180-TODAY()))</f>
        <v/>
      </c>
      <c r="N421" s="12" t="str">
        <f aca="true">IF(AND(TRIM($A421)="Finalized",$K421&lt;&gt;""),"",IF($D421="","",$D421+365-TODAY()))</f>
        <v/>
      </c>
      <c r="O421" s="11" t="str">
        <f aca="false">IF(AND(TRIM($A421)="Finalized",$K421&lt;&gt;""),"",DATE(2026,8,6))</f>
        <v/>
      </c>
      <c r="P421" s="10" t="s">
        <v>165</v>
      </c>
      <c r="Q421" s="10" t="s">
        <v>210</v>
      </c>
      <c r="R421" s="10" t="s">
        <v>147</v>
      </c>
      <c r="S421" s="10" t="s">
        <v>116</v>
      </c>
      <c r="T421" s="10" t="s">
        <v>114</v>
      </c>
      <c r="U421" s="10" t="s">
        <v>116</v>
      </c>
      <c r="V421" s="10" t="s">
        <v>266</v>
      </c>
      <c r="W421" s="10" t="s">
        <v>119</v>
      </c>
      <c r="X421" s="10" t="s">
        <v>229</v>
      </c>
      <c r="Y421" s="10"/>
      <c r="Z421" s="10"/>
      <c r="AA421" s="10" t="s">
        <v>793</v>
      </c>
      <c r="AB421" s="8" t="n">
        <f aca="true">IF($F421="","",TODAY()-$F421)</f>
        <v>161</v>
      </c>
      <c r="AC421" s="10" t="s">
        <v>273</v>
      </c>
      <c r="AD421" s="10"/>
      <c r="AE421" s="10"/>
      <c r="AF421" s="10"/>
      <c r="AG421" s="10"/>
      <c r="AH421" s="10"/>
      <c r="AI421" s="10"/>
      <c r="AJ421" s="10" t="s">
        <v>123</v>
      </c>
      <c r="AK421" s="10" t="s">
        <v>1655</v>
      </c>
      <c r="AL421" s="10" t="s">
        <v>1375</v>
      </c>
      <c r="AM421" s="10" t="s">
        <v>1656</v>
      </c>
      <c r="AN421" s="8"/>
      <c r="AO421" s="10" t="s">
        <v>962</v>
      </c>
      <c r="AP421" s="10" t="s">
        <v>308</v>
      </c>
      <c r="AQ421" s="11" t="n">
        <v>46183</v>
      </c>
      <c r="AR421" s="13"/>
      <c r="AS421" s="13"/>
      <c r="AT421" s="13" t="s">
        <v>273</v>
      </c>
      <c r="AU421" s="13" t="s">
        <v>1429</v>
      </c>
      <c r="AV421" s="13"/>
      <c r="AW421" s="13"/>
      <c r="AX421" s="13"/>
      <c r="AY421" s="7" t="s">
        <v>465</v>
      </c>
      <c r="AZ421" s="7"/>
      <c r="BA421" s="7" t="s">
        <v>44</v>
      </c>
      <c r="BB421" s="7" t="s">
        <v>1429</v>
      </c>
      <c r="BC421" s="7"/>
      <c r="BD421" s="9"/>
      <c r="BE421" s="7"/>
      <c r="BF421" s="14" t="str">
        <f aca="true">IF(TRIM($A421)="Finalized","Closed",IF($BD421="","No review date set",IF($BD421&lt;TODAY(),"OVERDUE",IF($BD421-TODAY()&lt;=7,"Due within 7 days","Scheduled"))))</f>
        <v>Closed</v>
      </c>
      <c r="BG421" s="14" t="n">
        <f aca="true">IF($K421="","",TODAY()-$K421)</f>
        <v>58</v>
      </c>
      <c r="BH421" s="15" t="str">
        <f aca="false">IFERROR(LEFT(IF($B421="","Notes, ","")&amp;IF($K421="","Latest Date Worked, ","")&amp;IF($AY421="","Last Action, ","")&amp;IF(AND(OR(TRIM($A421)="Denied",TRIM($A421)="Rejected"),$BA421=""),"Denial Reason, ","")&amp;IF(AND(TRIM($A421)="Denied",$BB421="",TRIM($BA421)&lt;&gt;"NO DENIAL"),"Denial Code, ","")&amp;IF(AND(TRIM($A421)&lt;&gt;"Finalized",$BD421=""),"Next Review Date, ","")&amp;IF(AND(TRIM($A421)&lt;&gt;"Finalized",$BE421=""),"Next Step, ","")&amp;IF(AND(TRIM($A421)="Finalized",$AV421="",$AR421="",$AT421="",$AX421="",$AW421=""),"CPT outcome, ",""),LEN(IF($B421="","Notes, ","")&amp;IF($K421="","Latest Date Worked, ","")&amp;IF($AY421="","Last Action, ","")&amp;IF(AND(OR(TRIM($A421)="Denied",TRIM($A421)="Rejected"),$BA421=""),"Denial Reason, ","")&amp;IF(AND(TRIM($A421)="Denied",$BB421="",TRIM($BA421)&lt;&gt;"NO DENIAL"),"Denial Code, ","")&amp;IF(AND(TRIM($A421)&lt;&gt;"Finalized",$BD421=""),"Next Review Date, ","")&amp;IF(AND(TRIM($A421)&lt;&gt;"Finalized",$BE421=""),"Next Step, ","")&amp;IF(AND(TRIM($A421)="Finalized",$AV421="",$AR421="",$AT421="",$AX421="",$AW421=""),"CPT outcome, ",""))-2),"")</f>
        <v/>
      </c>
      <c r="BI421" s="15" t="str">
        <f aca="false">IF($BB421="","",IFERROR(INDEX('Denial Codes'!$C:$C,MATCH(LEFT($BB421,FIND(" - ",$BB421&amp;" - ")+2)&amp;"*",'Denial Codes'!$A:$A,0)),""))</f>
        <v>Wrong payer / vendor</v>
      </c>
      <c r="BJ421" s="15" t="str">
        <f aca="false">IF($BA421="","",IFERROR(INDEX(Lists!$B:$B,MATCH(TRIM($BA421),Lists!$A:$A,0))&amp;"",""))</f>
        <v>Bill the correct payer, delegated vendor or capitated group/IPA (e.g. Optum Behavioral, Preferred Homecare).</v>
      </c>
    </row>
    <row r="422" customFormat="false" ht="15" hidden="false" customHeight="false" outlineLevel="0" collapsed="false">
      <c r="A422" s="7" t="s">
        <v>16</v>
      </c>
      <c r="B422" s="7" t="s">
        <v>1657</v>
      </c>
      <c r="C422" s="8" t="n">
        <v>559775347</v>
      </c>
      <c r="D422" s="9" t="n">
        <v>46198</v>
      </c>
      <c r="E422" s="10" t="s">
        <v>1658</v>
      </c>
      <c r="F422" s="11" t="n">
        <v>46153</v>
      </c>
      <c r="G422" s="10" t="s">
        <v>369</v>
      </c>
      <c r="H422" s="10" t="s">
        <v>369</v>
      </c>
      <c r="I422" s="10" t="s">
        <v>129</v>
      </c>
      <c r="J422" s="10" t="s">
        <v>646</v>
      </c>
      <c r="K422" s="9" t="n">
        <v>46253</v>
      </c>
      <c r="L422" s="12" t="str">
        <f aca="true">IF($O422="","",$O422-TODAY())</f>
        <v/>
      </c>
      <c r="M422" s="12" t="str">
        <f aca="true">IF(AND(TRIM($A422)="Finalized",$K422&lt;&gt;""),"",IF($D422="","",$D422+365-TODAY()))</f>
        <v/>
      </c>
      <c r="N422" s="12" t="str">
        <f aca="true">IF(AND(TRIM($A422)="Finalized",$K422&lt;&gt;""),"",IF($D422="","",$D422+365-TODAY()))</f>
        <v/>
      </c>
      <c r="O422" s="11" t="str">
        <f aca="false">IF(AND(TRIM($A422)="Finalized",$K422&lt;&gt;""),"",DATE(2026,8,9))</f>
        <v/>
      </c>
      <c r="P422" s="10" t="s">
        <v>165</v>
      </c>
      <c r="Q422" s="10" t="s">
        <v>371</v>
      </c>
      <c r="R422" s="10" t="s">
        <v>114</v>
      </c>
      <c r="S422" s="10" t="s">
        <v>116</v>
      </c>
      <c r="T422" s="10" t="s">
        <v>114</v>
      </c>
      <c r="U422" s="10" t="s">
        <v>116</v>
      </c>
      <c r="V422" s="10" t="s">
        <v>266</v>
      </c>
      <c r="W422" s="10" t="s">
        <v>119</v>
      </c>
      <c r="X422" s="10" t="s">
        <v>229</v>
      </c>
      <c r="Y422" s="10"/>
      <c r="Z422" s="10"/>
      <c r="AA422" s="10" t="s">
        <v>230</v>
      </c>
      <c r="AB422" s="8" t="n">
        <f aca="true">IF($F422="","",TODAY()-$F422)</f>
        <v>158</v>
      </c>
      <c r="AC422" s="10" t="s">
        <v>273</v>
      </c>
      <c r="AD422" s="10"/>
      <c r="AE422" s="10"/>
      <c r="AF422" s="10"/>
      <c r="AG422" s="10"/>
      <c r="AH422" s="10"/>
      <c r="AI422" s="10"/>
      <c r="AJ422" s="10" t="s">
        <v>123</v>
      </c>
      <c r="AK422" s="10" t="s">
        <v>362</v>
      </c>
      <c r="AL422" s="10"/>
      <c r="AM422" s="10"/>
      <c r="AN422" s="8"/>
      <c r="AO422" s="10" t="s">
        <v>669</v>
      </c>
      <c r="AP422" s="10" t="s">
        <v>188</v>
      </c>
      <c r="AQ422" s="11" t="n">
        <v>46162</v>
      </c>
      <c r="AR422" s="13"/>
      <c r="AS422" s="13"/>
      <c r="AT422" s="13" t="s">
        <v>273</v>
      </c>
      <c r="AU422" s="13" t="s">
        <v>464</v>
      </c>
      <c r="AV422" s="13"/>
      <c r="AW422" s="13"/>
      <c r="AX422" s="13"/>
      <c r="AY422" s="7" t="s">
        <v>411</v>
      </c>
      <c r="AZ422" s="7"/>
      <c r="BA422" s="7" t="s">
        <v>34</v>
      </c>
      <c r="BB422" s="7" t="s">
        <v>464</v>
      </c>
      <c r="BC422" s="7"/>
      <c r="BD422" s="9"/>
      <c r="BE422" s="7"/>
      <c r="BF422" s="14" t="str">
        <f aca="true">IF(TRIM($A422)="Finalized","Closed",IF($BD422="","No review date set",IF($BD422&lt;TODAY(),"OVERDUE",IF($BD422-TODAY()&lt;=7,"Due within 7 days","Scheduled"))))</f>
        <v>Closed</v>
      </c>
      <c r="BG422" s="14" t="n">
        <f aca="true">IF($K422="","",TODAY()-$K422)</f>
        <v>58</v>
      </c>
      <c r="BH422" s="15" t="str">
        <f aca="false">IFERROR(LEFT(IF($B422="","Notes, ","")&amp;IF($K422="","Latest Date Worked, ","")&amp;IF($AY422="","Last Action, ","")&amp;IF(AND(OR(TRIM($A422)="Denied",TRIM($A422)="Rejected"),$BA422=""),"Denial Reason, ","")&amp;IF(AND(TRIM($A422)="Denied",$BB422="",TRIM($BA422)&lt;&gt;"NO DENIAL"),"Denial Code, ","")&amp;IF(AND(TRIM($A422)&lt;&gt;"Finalized",$BD422=""),"Next Review Date, ","")&amp;IF(AND(TRIM($A422)&lt;&gt;"Finalized",$BE422=""),"Next Step, ","")&amp;IF(AND(TRIM($A422)="Finalized",$AV422="",$AR422="",$AT422="",$AX422="",$AW422=""),"CPT outcome, ",""),LEN(IF($B422="","Notes, ","")&amp;IF($K422="","Latest Date Worked, ","")&amp;IF($AY422="","Last Action, ","")&amp;IF(AND(OR(TRIM($A422)="Denied",TRIM($A422)="Rejected"),$BA422=""),"Denial Reason, ","")&amp;IF(AND(TRIM($A422)="Denied",$BB422="",TRIM($BA422)&lt;&gt;"NO DENIAL"),"Denial Code, ","")&amp;IF(AND(TRIM($A422)&lt;&gt;"Finalized",$BD422=""),"Next Review Date, ","")&amp;IF(AND(TRIM($A422)&lt;&gt;"Finalized",$BE422=""),"Next Step, ","")&amp;IF(AND(TRIM($A422)="Finalized",$AV422="",$AR422="",$AT422="",$AX422="",$AW422=""),"CPT outcome, ",""))-2),"")</f>
        <v/>
      </c>
      <c r="BI422" s="15" t="str">
        <f aca="false">IF($BB422="","",IFERROR(INDEX('Denial Codes'!$C:$C,MATCH(LEFT($BB422,FIND(" - ",$BB422&amp;" - ")+2)&amp;"*",'Denial Codes'!$A:$A,0)),""))</f>
        <v>No authorization</v>
      </c>
      <c r="BJ422" s="15" t="str">
        <f aca="false">IF($BA422="","",IFERROR(INDEX(Lists!$B:$B,MATCH(TRIM($BA422),Lists!$A:$A,0))&amp;"",""))</f>
        <v>Check the portal for an auth; request a retro-auth or file an appeal with the auth number, then resubmit.</v>
      </c>
    </row>
    <row r="423" customFormat="false" ht="15" hidden="false" customHeight="false" outlineLevel="0" collapsed="false">
      <c r="A423" s="7" t="s">
        <v>16</v>
      </c>
      <c r="B423" s="7" t="s">
        <v>1659</v>
      </c>
      <c r="C423" s="8" t="n">
        <v>561728234</v>
      </c>
      <c r="D423" s="9" t="n">
        <v>46187</v>
      </c>
      <c r="E423" s="10" t="s">
        <v>1660</v>
      </c>
      <c r="F423" s="11" t="n">
        <v>46153</v>
      </c>
      <c r="G423" s="10" t="s">
        <v>333</v>
      </c>
      <c r="H423" s="10" t="s">
        <v>333</v>
      </c>
      <c r="I423" s="10" t="s">
        <v>129</v>
      </c>
      <c r="J423" s="10" t="s">
        <v>1661</v>
      </c>
      <c r="K423" s="9" t="n">
        <v>46255</v>
      </c>
      <c r="L423" s="12" t="str">
        <f aca="true">IF($O423="","",$O423-TODAY())</f>
        <v/>
      </c>
      <c r="M423" s="12" t="str">
        <f aca="true">IF(AND(TRIM($A423)="Finalized",$K423&lt;&gt;""),"",IF($F423="","",$F423+90-TODAY()))</f>
        <v/>
      </c>
      <c r="N423" s="12" t="str">
        <f aca="true">IF(AND(TRIM($A423)="Finalized",$K423&lt;&gt;""),"",IF($D423="","",$D423+60-TODAY()))</f>
        <v/>
      </c>
      <c r="O423" s="11" t="str">
        <f aca="false">IF(AND(TRIM($A423)="Finalized",$K423&lt;&gt;""),"",DATE(2026,8,9))</f>
        <v/>
      </c>
      <c r="P423" s="10" t="s">
        <v>165</v>
      </c>
      <c r="Q423" s="10" t="s">
        <v>334</v>
      </c>
      <c r="R423" s="10" t="s">
        <v>165</v>
      </c>
      <c r="S423" s="10" t="s">
        <v>149</v>
      </c>
      <c r="T423" s="10" t="s">
        <v>324</v>
      </c>
      <c r="U423" s="10" t="s">
        <v>116</v>
      </c>
      <c r="V423" s="10" t="s">
        <v>266</v>
      </c>
      <c r="W423" s="10" t="s">
        <v>434</v>
      </c>
      <c r="X423" s="10" t="s">
        <v>134</v>
      </c>
      <c r="Y423" s="10" t="s">
        <v>621</v>
      </c>
      <c r="Z423" s="10"/>
      <c r="AA423" s="10" t="s">
        <v>683</v>
      </c>
      <c r="AB423" s="8" t="n">
        <f aca="true">IF($F423="","",TODAY()-$F423)</f>
        <v>158</v>
      </c>
      <c r="AC423" s="10" t="s">
        <v>442</v>
      </c>
      <c r="AD423" s="10" t="s">
        <v>1083</v>
      </c>
      <c r="AE423" s="10"/>
      <c r="AF423" s="10"/>
      <c r="AG423" s="10"/>
      <c r="AH423" s="10"/>
      <c r="AI423" s="10"/>
      <c r="AJ423" s="10" t="s">
        <v>1084</v>
      </c>
      <c r="AK423" s="10" t="s">
        <v>445</v>
      </c>
      <c r="AL423" s="10" t="s">
        <v>1181</v>
      </c>
      <c r="AM423" s="10"/>
      <c r="AN423" s="8"/>
      <c r="AO423" s="10" t="s">
        <v>447</v>
      </c>
      <c r="AP423" s="10" t="s">
        <v>175</v>
      </c>
      <c r="AQ423" s="11" t="n">
        <v>46182</v>
      </c>
      <c r="AR423" s="13" t="s">
        <v>442</v>
      </c>
      <c r="AS423" s="13" t="s">
        <v>623</v>
      </c>
      <c r="AT423" s="13" t="s">
        <v>1083</v>
      </c>
      <c r="AU423" s="13" t="s">
        <v>464</v>
      </c>
      <c r="AV423" s="13"/>
      <c r="AW423" s="13"/>
      <c r="AX423" s="13"/>
      <c r="AY423" s="7" t="s">
        <v>465</v>
      </c>
      <c r="AZ423" s="7"/>
      <c r="BA423" s="7" t="s">
        <v>34</v>
      </c>
      <c r="BB423" s="7" t="s">
        <v>624</v>
      </c>
      <c r="BC423" s="7"/>
      <c r="BD423" s="9"/>
      <c r="BE423" s="7"/>
      <c r="BF423" s="14" t="str">
        <f aca="true">IF(TRIM($A423)="Finalized","Closed",IF($BD423="","No review date set",IF($BD423&lt;TODAY(),"OVERDUE",IF($BD423-TODAY()&lt;=7,"Due within 7 days","Scheduled"))))</f>
        <v>Closed</v>
      </c>
      <c r="BG423" s="14" t="n">
        <f aca="true">IF($K423="","",TODAY()-$K423)</f>
        <v>56</v>
      </c>
      <c r="BH423" s="15" t="str">
        <f aca="false">IFERROR(LEFT(IF($B423="","Notes, ","")&amp;IF($K423="","Latest Date Worked, ","")&amp;IF($AY423="","Last Action, ","")&amp;IF(AND(OR(TRIM($A423)="Denied",TRIM($A423)="Rejected"),$BA423=""),"Denial Reason, ","")&amp;IF(AND(TRIM($A423)="Denied",$BB423="",TRIM($BA423)&lt;&gt;"NO DENIAL"),"Denial Code, ","")&amp;IF(AND(TRIM($A423)&lt;&gt;"Finalized",$BD423=""),"Next Review Date, ","")&amp;IF(AND(TRIM($A423)&lt;&gt;"Finalized",$BE423=""),"Next Step, ","")&amp;IF(AND(TRIM($A423)="Finalized",$AV423="",$AR423="",$AT423="",$AX423="",$AW423=""),"CPT outcome, ",""),LEN(IF($B423="","Notes, ","")&amp;IF($K423="","Latest Date Worked, ","")&amp;IF($AY423="","Last Action, ","")&amp;IF(AND(OR(TRIM($A423)="Denied",TRIM($A423)="Rejected"),$BA423=""),"Denial Reason, ","")&amp;IF(AND(TRIM($A423)="Denied",$BB423="",TRIM($BA423)&lt;&gt;"NO DENIAL"),"Denial Code, ","")&amp;IF(AND(TRIM($A423)&lt;&gt;"Finalized",$BD423=""),"Next Review Date, ","")&amp;IF(AND(TRIM($A423)&lt;&gt;"Finalized",$BE423=""),"Next Step, ","")&amp;IF(AND(TRIM($A423)="Finalized",$AV423="",$AR423="",$AT423="",$AX423="",$AW423=""),"CPT outcome, ",""))-2),"")</f>
        <v/>
      </c>
      <c r="BI423" s="15" t="str">
        <f aca="false">IF($BB423="","",IFERROR(INDEX('Denial Codes'!$C:$C,MATCH(LEFT($BB423,FIND(" - ",$BB423&amp;" - ")+2)&amp;"*",'Denial Codes'!$A:$A,0)),""))</f>
        <v>No authorization</v>
      </c>
      <c r="BJ423" s="15" t="str">
        <f aca="false">IF($BA423="","",IFERROR(INDEX(Lists!$B:$B,MATCH(TRIM($BA423),Lists!$A:$A,0))&amp;"",""))</f>
        <v>Check the portal for an auth; request a retro-auth or file an appeal with the auth number, then resubmit.</v>
      </c>
    </row>
    <row r="424" customFormat="false" ht="15" hidden="false" customHeight="false" outlineLevel="0" collapsed="false">
      <c r="A424" s="7" t="s">
        <v>16</v>
      </c>
      <c r="B424" s="7" t="s">
        <v>1662</v>
      </c>
      <c r="C424" s="8" t="n">
        <v>559340053</v>
      </c>
      <c r="D424" s="9" t="n">
        <v>46216</v>
      </c>
      <c r="E424" s="10" t="s">
        <v>1663</v>
      </c>
      <c r="F424" s="11" t="n">
        <v>46154</v>
      </c>
      <c r="G424" s="10" t="s">
        <v>163</v>
      </c>
      <c r="H424" s="10" t="s">
        <v>163</v>
      </c>
      <c r="I424" s="10" t="s">
        <v>129</v>
      </c>
      <c r="J424" s="10" t="s">
        <v>181</v>
      </c>
      <c r="K424" s="9" t="n">
        <v>46245</v>
      </c>
      <c r="L424" s="12" t="str">
        <f aca="true">IF($O424="","",$O424-TODAY())</f>
        <v/>
      </c>
      <c r="M424" s="12" t="str">
        <f aca="true">IF(AND(TRIM($A424)="Finalized",$K424&lt;&gt;""),"",IF($F424="","",$F424+90-TODAY()))</f>
        <v/>
      </c>
      <c r="N424" s="12" t="str">
        <f aca="true">IF(AND(TRIM($A424)="Finalized",$K424&lt;&gt;""),"",IF($D424="","",$D424+365-TODAY()))</f>
        <v/>
      </c>
      <c r="O424" s="11" t="str">
        <f aca="false">IF(AND(TRIM($A424)="Finalized",$K424&lt;&gt;""),"",DATE(2026,8,10))</f>
        <v/>
      </c>
      <c r="P424" s="10" t="s">
        <v>165</v>
      </c>
      <c r="Q424" s="10" t="s">
        <v>166</v>
      </c>
      <c r="R424" s="10" t="s">
        <v>165</v>
      </c>
      <c r="S424" s="10" t="s">
        <v>149</v>
      </c>
      <c r="T424" s="10" t="s">
        <v>114</v>
      </c>
      <c r="U424" s="10" t="s">
        <v>116</v>
      </c>
      <c r="V424" s="10" t="s">
        <v>266</v>
      </c>
      <c r="W424" s="10" t="s">
        <v>183</v>
      </c>
      <c r="X424" s="10"/>
      <c r="Y424" s="10"/>
      <c r="Z424" s="10"/>
      <c r="AA424" s="10" t="s">
        <v>197</v>
      </c>
      <c r="AB424" s="8" t="n">
        <f aca="true">IF($F424="","",TODAY()-$F424)</f>
        <v>157</v>
      </c>
      <c r="AC424" s="10" t="s">
        <v>184</v>
      </c>
      <c r="AD424" s="10" t="s">
        <v>185</v>
      </c>
      <c r="AE424" s="10"/>
      <c r="AF424" s="10"/>
      <c r="AG424" s="10"/>
      <c r="AH424" s="10"/>
      <c r="AI424" s="10"/>
      <c r="AJ424" s="10" t="s">
        <v>340</v>
      </c>
      <c r="AK424" s="10"/>
      <c r="AL424" s="10"/>
      <c r="AM424" s="10"/>
      <c r="AN424" s="8"/>
      <c r="AO424" s="10" t="s">
        <v>344</v>
      </c>
      <c r="AP424" s="10" t="s">
        <v>308</v>
      </c>
      <c r="AQ424" s="11" t="n">
        <v>46180</v>
      </c>
      <c r="AR424" s="13"/>
      <c r="AS424" s="13"/>
      <c r="AT424" s="13"/>
      <c r="AU424" s="13"/>
      <c r="AV424" s="13"/>
      <c r="AW424" s="13" t="s">
        <v>507</v>
      </c>
      <c r="AX424" s="13" t="s">
        <v>507</v>
      </c>
      <c r="AY424" s="7" t="s">
        <v>465</v>
      </c>
      <c r="AZ424" s="7"/>
      <c r="BA424" s="7" t="s">
        <v>47</v>
      </c>
      <c r="BB424" s="7" t="s">
        <v>386</v>
      </c>
      <c r="BC424" s="7" t="s">
        <v>1664</v>
      </c>
      <c r="BD424" s="9"/>
      <c r="BE424" s="7"/>
      <c r="BF424" s="14" t="str">
        <f aca="true">IF(TRIM($A424)="Finalized","Closed",IF($BD424="","No review date set",IF($BD424&lt;TODAY(),"OVERDUE",IF($BD424-TODAY()&lt;=7,"Due within 7 days","Scheduled"))))</f>
        <v>Closed</v>
      </c>
      <c r="BG424" s="14" t="n">
        <f aca="true">IF($K424="","",TODAY()-$K424)</f>
        <v>66</v>
      </c>
      <c r="BH424" s="15" t="str">
        <f aca="false">IFERROR(LEFT(IF($B424="","Notes, ","")&amp;IF($K424="","Latest Date Worked, ","")&amp;IF($AY424="","Last Action, ","")&amp;IF(AND(OR(TRIM($A424)="Denied",TRIM($A424)="Rejected"),$BA424=""),"Denial Reason, ","")&amp;IF(AND(TRIM($A424)="Denied",$BB424="",TRIM($BA424)&lt;&gt;"NO DENIAL"),"Denial Code, ","")&amp;IF(AND(TRIM($A424)&lt;&gt;"Finalized",$BD424=""),"Next Review Date, ","")&amp;IF(AND(TRIM($A424)&lt;&gt;"Finalized",$BE424=""),"Next Step, ","")&amp;IF(AND(TRIM($A424)="Finalized",$AV424="",$AR424="",$AT424="",$AX424="",$AW424=""),"CPT outcome, ",""),LEN(IF($B424="","Notes, ","")&amp;IF($K424="","Latest Date Worked, ","")&amp;IF($AY424="","Last Action, ","")&amp;IF(AND(OR(TRIM($A424)="Denied",TRIM($A424)="Rejected"),$BA424=""),"Denial Reason, ","")&amp;IF(AND(TRIM($A424)="Denied",$BB424="",TRIM($BA424)&lt;&gt;"NO DENIAL"),"Denial Code, ","")&amp;IF(AND(TRIM($A424)&lt;&gt;"Finalized",$BD424=""),"Next Review Date, ","")&amp;IF(AND(TRIM($A424)&lt;&gt;"Finalized",$BE424=""),"Next Step, ","")&amp;IF(AND(TRIM($A424)="Finalized",$AV424="",$AR424="",$AT424="",$AX424="",$AW424=""),"CPT outcome, ",""))-2),"")</f>
        <v/>
      </c>
      <c r="BI424" s="15" t="str">
        <f aca="false">IF($BB424="","",IFERROR(INDEX('Denial Codes'!$C:$C,MATCH(LEFT($BB424,FIND(" - ",$BB424&amp;" - ")+2)&amp;"*",'Denial Codes'!$A:$A,0)),""))</f>
        <v>Other</v>
      </c>
      <c r="BJ424" s="15" t="str">
        <f aca="false">IF($BA424="","",IFERROR(INDEX(Lists!$B:$B,MATCH(TRIM($BA424),Lists!$A:$A,0))&amp;"",""))</f>
        <v>Check provider enrollment, NPI/TIN and network status; appeal once credentialing is confirmed.</v>
      </c>
    </row>
    <row r="425" customFormat="false" ht="15" hidden="false" customHeight="false" outlineLevel="0" collapsed="false">
      <c r="A425" s="7" t="s">
        <v>16</v>
      </c>
      <c r="B425" s="7" t="s">
        <v>1665</v>
      </c>
      <c r="C425" s="8" t="n">
        <v>568262814</v>
      </c>
      <c r="D425" s="9" t="n">
        <v>46198</v>
      </c>
      <c r="E425" s="10" t="s">
        <v>1666</v>
      </c>
      <c r="F425" s="11" t="n">
        <v>46184</v>
      </c>
      <c r="G425" s="10" t="s">
        <v>627</v>
      </c>
      <c r="H425" s="10" t="s">
        <v>627</v>
      </c>
      <c r="I425" s="10" t="s">
        <v>129</v>
      </c>
      <c r="J425" s="10" t="s">
        <v>1088</v>
      </c>
      <c r="K425" s="9" t="n">
        <v>46261</v>
      </c>
      <c r="L425" s="12" t="str">
        <f aca="true">IF($O425="","",$O425-TODAY())</f>
        <v/>
      </c>
      <c r="M425" s="12" t="str">
        <f aca="true">IF(AND(TRIM($A425)="Finalized",$K425&lt;&gt;""),"",IF($D425="","",$D425+365-TODAY()))</f>
        <v/>
      </c>
      <c r="N425" s="12" t="str">
        <f aca="true">IF(AND(TRIM($A425)="Finalized",$K425&lt;&gt;""),"",IF($D425="","",$D425+90-TODAY()))</f>
        <v/>
      </c>
      <c r="O425" s="11" t="str">
        <f aca="false">IF(AND(TRIM($A425)="Finalized",$K425&lt;&gt;""),"",DATE(2026,8,10))</f>
        <v/>
      </c>
      <c r="P425" s="10" t="s">
        <v>324</v>
      </c>
      <c r="Q425" s="10" t="s">
        <v>628</v>
      </c>
      <c r="R425" s="10" t="s">
        <v>114</v>
      </c>
      <c r="S425" s="10" t="s">
        <v>116</v>
      </c>
      <c r="T425" s="10" t="s">
        <v>165</v>
      </c>
      <c r="U425" s="10" t="s">
        <v>116</v>
      </c>
      <c r="V425" s="10" t="s">
        <v>303</v>
      </c>
      <c r="W425" s="10" t="s">
        <v>196</v>
      </c>
      <c r="X425" s="10"/>
      <c r="Y425" s="10"/>
      <c r="Z425" s="10"/>
      <c r="AA425" s="10" t="s">
        <v>197</v>
      </c>
      <c r="AB425" s="8" t="n">
        <f aca="true">IF($F425="","",TODAY()-$F425)</f>
        <v>127</v>
      </c>
      <c r="AC425" s="10" t="s">
        <v>487</v>
      </c>
      <c r="AD425" s="10" t="s">
        <v>222</v>
      </c>
      <c r="AE425" s="10" t="s">
        <v>198</v>
      </c>
      <c r="AF425" s="10"/>
      <c r="AG425" s="10"/>
      <c r="AH425" s="10"/>
      <c r="AI425" s="10"/>
      <c r="AJ425" s="10" t="s">
        <v>1667</v>
      </c>
      <c r="AK425" s="10" t="s">
        <v>883</v>
      </c>
      <c r="AL425" s="10" t="s">
        <v>290</v>
      </c>
      <c r="AM425" s="10" t="s">
        <v>1668</v>
      </c>
      <c r="AN425" s="8"/>
      <c r="AO425" s="10" t="s">
        <v>213</v>
      </c>
      <c r="AP425" s="10" t="s">
        <v>224</v>
      </c>
      <c r="AQ425" s="11" t="n">
        <v>46195</v>
      </c>
      <c r="AR425" s="13"/>
      <c r="AS425" s="13"/>
      <c r="AT425" s="13"/>
      <c r="AU425" s="13"/>
      <c r="AV425" s="13" t="s">
        <v>1090</v>
      </c>
      <c r="AW425" s="13"/>
      <c r="AX425" s="13" t="s">
        <v>1090</v>
      </c>
      <c r="AY425" s="7" t="s">
        <v>363</v>
      </c>
      <c r="AZ425" s="7" t="s">
        <v>159</v>
      </c>
      <c r="BA425" s="7" t="s">
        <v>37</v>
      </c>
      <c r="BB425" s="7" t="s">
        <v>1669</v>
      </c>
      <c r="BC425" s="7"/>
      <c r="BD425" s="9"/>
      <c r="BE425" s="7"/>
      <c r="BF425" s="14" t="str">
        <f aca="true">IF(TRIM($A425)="Finalized","Closed",IF($BD425="","No review date set",IF($BD425&lt;TODAY(),"OVERDUE",IF($BD425-TODAY()&lt;=7,"Due within 7 days","Scheduled"))))</f>
        <v>Closed</v>
      </c>
      <c r="BG425" s="14" t="n">
        <f aca="true">IF($K425="","",TODAY()-$K425)</f>
        <v>50</v>
      </c>
      <c r="BH425" s="15" t="str">
        <f aca="false">IFERROR(LEFT(IF($B425="","Notes, ","")&amp;IF($K425="","Latest Date Worked, ","")&amp;IF($AY425="","Last Action, ","")&amp;IF(AND(OR(TRIM($A425)="Denied",TRIM($A425)="Rejected"),$BA425=""),"Denial Reason, ","")&amp;IF(AND(TRIM($A425)="Denied",$BB425="",TRIM($BA425)&lt;&gt;"NO DENIAL"),"Denial Code, ","")&amp;IF(AND(TRIM($A425)&lt;&gt;"Finalized",$BD425=""),"Next Review Date, ","")&amp;IF(AND(TRIM($A425)&lt;&gt;"Finalized",$BE425=""),"Next Step, ","")&amp;IF(AND(TRIM($A425)="Finalized",$AV425="",$AR425="",$AT425="",$AX425="",$AW425=""),"CPT outcome, ",""),LEN(IF($B425="","Notes, ","")&amp;IF($K425="","Latest Date Worked, ","")&amp;IF($AY425="","Last Action, ","")&amp;IF(AND(OR(TRIM($A425)="Denied",TRIM($A425)="Rejected"),$BA425=""),"Denial Reason, ","")&amp;IF(AND(TRIM($A425)="Denied",$BB425="",TRIM($BA425)&lt;&gt;"NO DENIAL"),"Denial Code, ","")&amp;IF(AND(TRIM($A425)&lt;&gt;"Finalized",$BD425=""),"Next Review Date, ","")&amp;IF(AND(TRIM($A425)&lt;&gt;"Finalized",$BE425=""),"Next Step, ","")&amp;IF(AND(TRIM($A425)="Finalized",$AV425="",$AR425="",$AT425="",$AX425="",$AW425=""),"CPT outcome, ",""))-2),"")</f>
        <v/>
      </c>
      <c r="BI425" s="15" t="str">
        <f aca="false">IF($BB425="","",IFERROR(INDEX('Denial Codes'!$C:$C,MATCH(LEFT($BB425,FIND(" - ",$BB425&amp;" - ")+2)&amp;"*",'Denial Codes'!$A:$A,0)),""))</f>
        <v>Bundled / NCCI edit</v>
      </c>
      <c r="BJ425" s="15" t="str">
        <f aca="false">IF($BA425="","",IFERROR(INDEX(Lists!$B:$B,MATCH(TRIM($BA425),Lists!$A:$A,0))&amp;"",""))</f>
        <v>Check the NCCI pair; if the service was distinct, add 59/XU (or XS) and resubmit; otherwise adjust.</v>
      </c>
    </row>
    <row r="426" customFormat="false" ht="15" hidden="false" customHeight="false" outlineLevel="0" collapsed="false">
      <c r="A426" s="7" t="s">
        <v>16</v>
      </c>
      <c r="B426" s="7" t="s">
        <v>1670</v>
      </c>
      <c r="C426" s="8" t="n">
        <v>568254615</v>
      </c>
      <c r="D426" s="9" t="n">
        <v>46255</v>
      </c>
      <c r="E426" s="10" t="s">
        <v>1671</v>
      </c>
      <c r="F426" s="11" t="n">
        <v>46126</v>
      </c>
      <c r="G426" s="10" t="s">
        <v>738</v>
      </c>
      <c r="H426" s="10" t="s">
        <v>738</v>
      </c>
      <c r="I426" s="10" t="s">
        <v>129</v>
      </c>
      <c r="J426" s="10" t="s">
        <v>724</v>
      </c>
      <c r="K426" s="9" t="n">
        <v>46245</v>
      </c>
      <c r="L426" s="12" t="str">
        <f aca="true">IF($O426="","",$O426-TODAY())</f>
        <v/>
      </c>
      <c r="M426" s="12" t="str">
        <f aca="true">IF(AND(TRIM($A426)="Finalized",$K426&lt;&gt;""),"",IF($D426="","",$D426+180-TODAY()))</f>
        <v/>
      </c>
      <c r="N426" s="12" t="str">
        <f aca="true">IF(AND(TRIM($A426)="Finalized",$K426&lt;&gt;""),"",IF($D426="","",$D426+180-TODAY()))</f>
        <v/>
      </c>
      <c r="O426" s="11" t="str">
        <f aca="false">IF(AND(TRIM($A426)="Finalized",$K426&lt;&gt;""),"",DATE(2026,8,12))</f>
        <v/>
      </c>
      <c r="P426" s="10" t="s">
        <v>117</v>
      </c>
      <c r="Q426" s="10" t="s">
        <v>740</v>
      </c>
      <c r="R426" s="10" t="s">
        <v>147</v>
      </c>
      <c r="S426" s="10" t="s">
        <v>116</v>
      </c>
      <c r="T426" s="10" t="s">
        <v>147</v>
      </c>
      <c r="U426" s="10" t="s">
        <v>116</v>
      </c>
      <c r="V426" s="10" t="s">
        <v>221</v>
      </c>
      <c r="W426" s="10" t="s">
        <v>196</v>
      </c>
      <c r="X426" s="10"/>
      <c r="Y426" s="10"/>
      <c r="Z426" s="10"/>
      <c r="AA426" s="10" t="s">
        <v>197</v>
      </c>
      <c r="AB426" s="8" t="n">
        <f aca="true">IF($F426="","",TODAY()-$F426)</f>
        <v>185</v>
      </c>
      <c r="AC426" s="10" t="s">
        <v>487</v>
      </c>
      <c r="AD426" s="10"/>
      <c r="AE426" s="10"/>
      <c r="AF426" s="10"/>
      <c r="AG426" s="10"/>
      <c r="AH426" s="10"/>
      <c r="AI426" s="10"/>
      <c r="AJ426" s="10" t="s">
        <v>579</v>
      </c>
      <c r="AK426" s="10" t="s">
        <v>622</v>
      </c>
      <c r="AL426" s="10" t="s">
        <v>267</v>
      </c>
      <c r="AM426" s="10"/>
      <c r="AN426" s="8"/>
      <c r="AO426" s="10" t="s">
        <v>201</v>
      </c>
      <c r="AP426" s="10" t="s">
        <v>202</v>
      </c>
      <c r="AQ426" s="11" t="n">
        <v>46245</v>
      </c>
      <c r="AR426" s="13" t="s">
        <v>487</v>
      </c>
      <c r="AS426" s="13" t="s">
        <v>1634</v>
      </c>
      <c r="AT426" s="13"/>
      <c r="AU426" s="13"/>
      <c r="AV426" s="13"/>
      <c r="AW426" s="13"/>
      <c r="AX426" s="13"/>
      <c r="AY426" s="7" t="s">
        <v>465</v>
      </c>
      <c r="AZ426" s="7"/>
      <c r="BA426" s="7" t="s">
        <v>37</v>
      </c>
      <c r="BB426" s="7" t="s">
        <v>1634</v>
      </c>
      <c r="BC426" s="7"/>
      <c r="BD426" s="9"/>
      <c r="BE426" s="7"/>
      <c r="BF426" s="14" t="str">
        <f aca="true">IF(TRIM($A426)="Finalized","Closed",IF($BD426="","No review date set",IF($BD426&lt;TODAY(),"OVERDUE",IF($BD426-TODAY()&lt;=7,"Due within 7 days","Scheduled"))))</f>
        <v>Closed</v>
      </c>
      <c r="BG426" s="14" t="n">
        <f aca="true">IF($K426="","",TODAY()-$K426)</f>
        <v>66</v>
      </c>
      <c r="BH426" s="15" t="str">
        <f aca="false">IFERROR(LEFT(IF($B426="","Notes, ","")&amp;IF($K426="","Latest Date Worked, ","")&amp;IF($AY426="","Last Action, ","")&amp;IF(AND(OR(TRIM($A426)="Denied",TRIM($A426)="Rejected"),$BA426=""),"Denial Reason, ","")&amp;IF(AND(TRIM($A426)="Denied",$BB426="",TRIM($BA426)&lt;&gt;"NO DENIAL"),"Denial Code, ","")&amp;IF(AND(TRIM($A426)&lt;&gt;"Finalized",$BD426=""),"Next Review Date, ","")&amp;IF(AND(TRIM($A426)&lt;&gt;"Finalized",$BE426=""),"Next Step, ","")&amp;IF(AND(TRIM($A426)="Finalized",$AV426="",$AR426="",$AT426="",$AX426="",$AW426=""),"CPT outcome, ",""),LEN(IF($B426="","Notes, ","")&amp;IF($K426="","Latest Date Worked, ","")&amp;IF($AY426="","Last Action, ","")&amp;IF(AND(OR(TRIM($A426)="Denied",TRIM($A426)="Rejected"),$BA426=""),"Denial Reason, ","")&amp;IF(AND(TRIM($A426)="Denied",$BB426="",TRIM($BA426)&lt;&gt;"NO DENIAL"),"Denial Code, ","")&amp;IF(AND(TRIM($A426)&lt;&gt;"Finalized",$BD426=""),"Next Review Date, ","")&amp;IF(AND(TRIM($A426)&lt;&gt;"Finalized",$BE426=""),"Next Step, ","")&amp;IF(AND(TRIM($A426)="Finalized",$AV426="",$AR426="",$AT426="",$AX426="",$AW426=""),"CPT outcome, ",""))-2),"")</f>
        <v/>
      </c>
      <c r="BI426" s="15" t="str">
        <f aca="false">IF($BB426="","",IFERROR(INDEX('Denial Codes'!$C:$C,MATCH(LEFT($BB426,FIND(" - ",$BB426&amp;" - ")+2)&amp;"*",'Denial Codes'!$A:$A,0)),""))</f>
        <v>Bundled / NCCI edit</v>
      </c>
      <c r="BJ426" s="15" t="str">
        <f aca="false">IF($BA426="","",IFERROR(INDEX(Lists!$B:$B,MATCH(TRIM($BA426),Lists!$A:$A,0))&amp;"",""))</f>
        <v>Check the NCCI pair; if the service was distinct, add 59/XU (or XS) and resubmit; otherwise adjust.</v>
      </c>
    </row>
    <row r="427" customFormat="false" ht="15" hidden="false" customHeight="false" outlineLevel="0" collapsed="false">
      <c r="A427" s="7" t="s">
        <v>16</v>
      </c>
      <c r="B427" s="7" t="s">
        <v>1672</v>
      </c>
      <c r="C427" s="8" t="n">
        <v>565931559</v>
      </c>
      <c r="D427" s="9" t="n">
        <v>46232</v>
      </c>
      <c r="E427" s="10" t="s">
        <v>1673</v>
      </c>
      <c r="F427" s="11" t="n">
        <v>46190</v>
      </c>
      <c r="G427" s="10" t="s">
        <v>627</v>
      </c>
      <c r="H427" s="10" t="s">
        <v>627</v>
      </c>
      <c r="I427" s="10" t="s">
        <v>129</v>
      </c>
      <c r="J427" s="10" t="s">
        <v>595</v>
      </c>
      <c r="K427" s="9" t="n">
        <v>46246</v>
      </c>
      <c r="L427" s="12" t="str">
        <f aca="true">IF($O427="","",$O427-TODAY())</f>
        <v/>
      </c>
      <c r="M427" s="12" t="str">
        <f aca="true">IF(AND(TRIM($A427)="Finalized",$K427&lt;&gt;""),"",IF($D427="","",$D427+365-TODAY()))</f>
        <v/>
      </c>
      <c r="N427" s="12" t="str">
        <f aca="true">IF(AND(TRIM($A427)="Finalized",$K427&lt;&gt;""),"",IF($D427="","",$D427+90-TODAY()))</f>
        <v/>
      </c>
      <c r="O427" s="11" t="str">
        <f aca="false">IF(AND(TRIM($A427)="Finalized",$K427&lt;&gt;""),"",DATE(2026,8,16))</f>
        <v/>
      </c>
      <c r="P427" s="10" t="s">
        <v>324</v>
      </c>
      <c r="Q427" s="10" t="s">
        <v>628</v>
      </c>
      <c r="R427" s="10" t="s">
        <v>114</v>
      </c>
      <c r="S427" s="10" t="s">
        <v>116</v>
      </c>
      <c r="T427" s="10" t="s">
        <v>165</v>
      </c>
      <c r="U427" s="10" t="s">
        <v>116</v>
      </c>
      <c r="V427" s="10" t="s">
        <v>303</v>
      </c>
      <c r="W427" s="10" t="s">
        <v>132</v>
      </c>
      <c r="X427" s="10"/>
      <c r="Y427" s="10"/>
      <c r="Z427" s="10"/>
      <c r="AA427" s="10" t="s">
        <v>197</v>
      </c>
      <c r="AB427" s="8" t="n">
        <f aca="true">IF($F427="","",TODAY()-$F427)</f>
        <v>121</v>
      </c>
      <c r="AC427" s="10" t="s">
        <v>246</v>
      </c>
      <c r="AD427" s="10" t="s">
        <v>169</v>
      </c>
      <c r="AE427" s="10"/>
      <c r="AF427" s="10"/>
      <c r="AG427" s="10"/>
      <c r="AH427" s="10"/>
      <c r="AI427" s="10"/>
      <c r="AJ427" s="10" t="s">
        <v>124</v>
      </c>
      <c r="AK427" s="10"/>
      <c r="AL427" s="10"/>
      <c r="AM427" s="10"/>
      <c r="AN427" s="8"/>
      <c r="AO427" s="10" t="s">
        <v>140</v>
      </c>
      <c r="AP427" s="10" t="s">
        <v>175</v>
      </c>
      <c r="AQ427" s="11" t="n">
        <v>46210</v>
      </c>
      <c r="AR427" s="13"/>
      <c r="AS427" s="13"/>
      <c r="AT427" s="13"/>
      <c r="AU427" s="13"/>
      <c r="AV427" s="13" t="s">
        <v>911</v>
      </c>
      <c r="AW427" s="13"/>
      <c r="AX427" s="13"/>
      <c r="AY427" s="7" t="s">
        <v>363</v>
      </c>
      <c r="AZ427" s="7"/>
      <c r="BA427" s="7"/>
      <c r="BB427" s="7"/>
      <c r="BC427" s="7"/>
      <c r="BD427" s="9"/>
      <c r="BE427" s="7"/>
      <c r="BF427" s="14" t="str">
        <f aca="true">IF(TRIM($A427)="Finalized","Closed",IF($BD427="","No review date set",IF($BD427&lt;TODAY(),"OVERDUE",IF($BD427-TODAY()&lt;=7,"Due within 7 days","Scheduled"))))</f>
        <v>Closed</v>
      </c>
      <c r="BG427" s="14" t="n">
        <f aca="true">IF($K427="","",TODAY()-$K427)</f>
        <v>65</v>
      </c>
      <c r="BH427" s="15" t="str">
        <f aca="false">IFERROR(LEFT(IF($B427="","Notes, ","")&amp;IF($K427="","Latest Date Worked, ","")&amp;IF($AY427="","Last Action, ","")&amp;IF(AND(OR(TRIM($A427)="Denied",TRIM($A427)="Rejected"),$BA427=""),"Denial Reason, ","")&amp;IF(AND(TRIM($A427)="Denied",$BB427="",TRIM($BA427)&lt;&gt;"NO DENIAL"),"Denial Code, ","")&amp;IF(AND(TRIM($A427)&lt;&gt;"Finalized",$BD427=""),"Next Review Date, ","")&amp;IF(AND(TRIM($A427)&lt;&gt;"Finalized",$BE427=""),"Next Step, ","")&amp;IF(AND(TRIM($A427)="Finalized",$AV427="",$AR427="",$AT427="",$AX427="",$AW427=""),"CPT outcome, ",""),LEN(IF($B427="","Notes, ","")&amp;IF($K427="","Latest Date Worked, ","")&amp;IF($AY427="","Last Action, ","")&amp;IF(AND(OR(TRIM($A427)="Denied",TRIM($A427)="Rejected"),$BA427=""),"Denial Reason, ","")&amp;IF(AND(TRIM($A427)="Denied",$BB427="",TRIM($BA427)&lt;&gt;"NO DENIAL"),"Denial Code, ","")&amp;IF(AND(TRIM($A427)&lt;&gt;"Finalized",$BD427=""),"Next Review Date, ","")&amp;IF(AND(TRIM($A427)&lt;&gt;"Finalized",$BE427=""),"Next Step, ","")&amp;IF(AND(TRIM($A427)="Finalized",$AV427="",$AR427="",$AT427="",$AX427="",$AW427=""),"CPT outcome, ",""))-2),"")</f>
        <v/>
      </c>
      <c r="BI427" s="15" t="str">
        <f aca="false">IF($BB427="","",IFERROR(INDEX('Denial Codes'!$C:$C,MATCH(LEFT($BB427,FIND(" - ",$BB427&amp;" - ")+2)&amp;"*",'Denial Codes'!$A:$A,0)),""))</f>
        <v/>
      </c>
      <c r="BJ427" s="15" t="str">
        <f aca="false">IF($BA427="","",IFERROR(INDEX(Lists!$B:$B,MATCH(TRIM($BA427),Lists!$A:$A,0))&amp;"",""))</f>
        <v/>
      </c>
    </row>
    <row r="428" customFormat="false" ht="15" hidden="false" customHeight="false" outlineLevel="0" collapsed="false">
      <c r="A428" s="7" t="s">
        <v>16</v>
      </c>
      <c r="B428" s="7" t="s">
        <v>1674</v>
      </c>
      <c r="C428" s="8" t="n">
        <v>559340087</v>
      </c>
      <c r="D428" s="9" t="n">
        <v>46170</v>
      </c>
      <c r="E428" s="10" t="s">
        <v>1675</v>
      </c>
      <c r="F428" s="11" t="n">
        <v>46157</v>
      </c>
      <c r="G428" s="10" t="s">
        <v>393</v>
      </c>
      <c r="H428" s="10" t="s">
        <v>393</v>
      </c>
      <c r="I428" s="10" t="s">
        <v>129</v>
      </c>
      <c r="J428" s="10" t="s">
        <v>250</v>
      </c>
      <c r="K428" s="9" t="n">
        <v>46245</v>
      </c>
      <c r="L428" s="12" t="str">
        <f aca="true">IF($O428="","",$O428-TODAY())</f>
        <v/>
      </c>
      <c r="M428" s="12" t="str">
        <f aca="true">IF(AND(TRIM($A428)="Finalized",$K428&lt;&gt;""),"",IF($D428="","",$D428+90-TODAY()))</f>
        <v/>
      </c>
      <c r="N428" s="12" t="str">
        <f aca="true">IF(AND(TRIM($A428)="Finalized",$K428&lt;&gt;""),"",IF($D428="","",$D428+90-TODAY()))</f>
        <v/>
      </c>
      <c r="O428" s="11" t="str">
        <f aca="false">IF(AND(TRIM($A428)="Finalized",$K428&lt;&gt;""),"",DATE(2026,8,18))</f>
        <v/>
      </c>
      <c r="P428" s="10" t="s">
        <v>395</v>
      </c>
      <c r="Q428" s="10" t="s">
        <v>396</v>
      </c>
      <c r="R428" s="10" t="s">
        <v>165</v>
      </c>
      <c r="S428" s="10" t="s">
        <v>116</v>
      </c>
      <c r="T428" s="10" t="s">
        <v>165</v>
      </c>
      <c r="U428" s="10" t="s">
        <v>116</v>
      </c>
      <c r="V428" s="10" t="s">
        <v>266</v>
      </c>
      <c r="W428" s="10" t="s">
        <v>132</v>
      </c>
      <c r="X428" s="10"/>
      <c r="Y428" s="10"/>
      <c r="Z428" s="10"/>
      <c r="AA428" s="10" t="s">
        <v>197</v>
      </c>
      <c r="AB428" s="8" t="n">
        <f aca="true">IF($F428="","",TODAY()-$F428)</f>
        <v>154</v>
      </c>
      <c r="AC428" s="10" t="s">
        <v>251</v>
      </c>
      <c r="AD428" s="10"/>
      <c r="AE428" s="10"/>
      <c r="AF428" s="10"/>
      <c r="AG428" s="10"/>
      <c r="AH428" s="10"/>
      <c r="AI428" s="10"/>
      <c r="AJ428" s="10" t="s">
        <v>254</v>
      </c>
      <c r="AK428" s="10" t="s">
        <v>139</v>
      </c>
      <c r="AL428" s="10" t="s">
        <v>123</v>
      </c>
      <c r="AM428" s="10"/>
      <c r="AN428" s="8"/>
      <c r="AO428" s="10" t="s">
        <v>359</v>
      </c>
      <c r="AP428" s="10" t="s">
        <v>175</v>
      </c>
      <c r="AQ428" s="11" t="n">
        <v>46160</v>
      </c>
      <c r="AR428" s="13"/>
      <c r="AS428" s="13"/>
      <c r="AT428" s="13" t="s">
        <v>251</v>
      </c>
      <c r="AU428" s="13" t="s">
        <v>464</v>
      </c>
      <c r="AV428" s="13"/>
      <c r="AW428" s="13"/>
      <c r="AX428" s="13"/>
      <c r="AY428" s="7" t="s">
        <v>465</v>
      </c>
      <c r="AZ428" s="7"/>
      <c r="BA428" s="7" t="s">
        <v>34</v>
      </c>
      <c r="BB428" s="7" t="s">
        <v>464</v>
      </c>
      <c r="BC428" s="7"/>
      <c r="BD428" s="9"/>
      <c r="BE428" s="7"/>
      <c r="BF428" s="14" t="str">
        <f aca="true">IF(TRIM($A428)="Finalized","Closed",IF($BD428="","No review date set",IF($BD428&lt;TODAY(),"OVERDUE",IF($BD428-TODAY()&lt;=7,"Due within 7 days","Scheduled"))))</f>
        <v>Closed</v>
      </c>
      <c r="BG428" s="14" t="n">
        <f aca="true">IF($K428="","",TODAY()-$K428)</f>
        <v>66</v>
      </c>
      <c r="BH428" s="15" t="str">
        <f aca="false">IFERROR(LEFT(IF($B428="","Notes, ","")&amp;IF($K428="","Latest Date Worked, ","")&amp;IF($AY428="","Last Action, ","")&amp;IF(AND(OR(TRIM($A428)="Denied",TRIM($A428)="Rejected"),$BA428=""),"Denial Reason, ","")&amp;IF(AND(TRIM($A428)="Denied",$BB428="",TRIM($BA428)&lt;&gt;"NO DENIAL"),"Denial Code, ","")&amp;IF(AND(TRIM($A428)&lt;&gt;"Finalized",$BD428=""),"Next Review Date, ","")&amp;IF(AND(TRIM($A428)&lt;&gt;"Finalized",$BE428=""),"Next Step, ","")&amp;IF(AND(TRIM($A428)="Finalized",$AV428="",$AR428="",$AT428="",$AX428="",$AW428=""),"CPT outcome, ",""),LEN(IF($B428="","Notes, ","")&amp;IF($K428="","Latest Date Worked, ","")&amp;IF($AY428="","Last Action, ","")&amp;IF(AND(OR(TRIM($A428)="Denied",TRIM($A428)="Rejected"),$BA428=""),"Denial Reason, ","")&amp;IF(AND(TRIM($A428)="Denied",$BB428="",TRIM($BA428)&lt;&gt;"NO DENIAL"),"Denial Code, ","")&amp;IF(AND(TRIM($A428)&lt;&gt;"Finalized",$BD428=""),"Next Review Date, ","")&amp;IF(AND(TRIM($A428)&lt;&gt;"Finalized",$BE428=""),"Next Step, ","")&amp;IF(AND(TRIM($A428)="Finalized",$AV428="",$AR428="",$AT428="",$AX428="",$AW428=""),"CPT outcome, ",""))-2),"")</f>
        <v/>
      </c>
      <c r="BI428" s="15" t="str">
        <f aca="false">IF($BB428="","",IFERROR(INDEX('Denial Codes'!$C:$C,MATCH(LEFT($BB428,FIND(" - ",$BB428&amp;" - ")+2)&amp;"*",'Denial Codes'!$A:$A,0)),""))</f>
        <v>No authorization</v>
      </c>
      <c r="BJ428" s="15" t="str">
        <f aca="false">IF($BA428="","",IFERROR(INDEX(Lists!$B:$B,MATCH(TRIM($BA428),Lists!$A:$A,0))&amp;"",""))</f>
        <v>Check the portal for an auth; request a retro-auth or file an appeal with the auth number, then resubmit.</v>
      </c>
    </row>
    <row r="429" customFormat="false" ht="15" hidden="false" customHeight="false" outlineLevel="0" collapsed="false">
      <c r="A429" s="7" t="s">
        <v>16</v>
      </c>
      <c r="B429" s="7" t="s">
        <v>1676</v>
      </c>
      <c r="C429" s="8" t="n">
        <v>561237046</v>
      </c>
      <c r="D429" s="9" t="n">
        <v>46183</v>
      </c>
      <c r="E429" s="10" t="s">
        <v>1677</v>
      </c>
      <c r="F429" s="11" t="n">
        <v>46163</v>
      </c>
      <c r="G429" s="10" t="s">
        <v>208</v>
      </c>
      <c r="H429" s="10" t="s">
        <v>208</v>
      </c>
      <c r="I429" s="10" t="s">
        <v>1678</v>
      </c>
      <c r="J429" s="10" t="s">
        <v>272</v>
      </c>
      <c r="K429" s="9" t="n">
        <v>46245</v>
      </c>
      <c r="L429" s="12" t="str">
        <f aca="true">IF($O429="","",$O429-TODAY())</f>
        <v/>
      </c>
      <c r="M429" s="12" t="str">
        <f aca="true">IF(AND(TRIM($A429)="Finalized",$K429&lt;&gt;""),"",IF($D429="","",$D429+180-TODAY()))</f>
        <v/>
      </c>
      <c r="N429" s="12" t="str">
        <f aca="true">IF(AND(TRIM($A429)="Finalized",$K429&lt;&gt;""),"",IF($D429="","",$D429+365-TODAY()))</f>
        <v/>
      </c>
      <c r="O429" s="11" t="str">
        <f aca="false">IF(AND(TRIM($A429)="Finalized",$K429&lt;&gt;""),"",DATE(2026,8,19))</f>
        <v/>
      </c>
      <c r="P429" s="10" t="s">
        <v>165</v>
      </c>
      <c r="Q429" s="10" t="s">
        <v>210</v>
      </c>
      <c r="R429" s="10" t="s">
        <v>147</v>
      </c>
      <c r="S429" s="10" t="s">
        <v>116</v>
      </c>
      <c r="T429" s="10" t="s">
        <v>114</v>
      </c>
      <c r="U429" s="10" t="s">
        <v>116</v>
      </c>
      <c r="V429" s="10" t="s">
        <v>266</v>
      </c>
      <c r="W429" s="10" t="s">
        <v>119</v>
      </c>
      <c r="X429" s="10" t="s">
        <v>120</v>
      </c>
      <c r="Y429" s="10"/>
      <c r="Z429" s="10"/>
      <c r="AA429" s="10" t="s">
        <v>121</v>
      </c>
      <c r="AB429" s="8" t="n">
        <f aca="true">IF($F429="","",TODAY()-$F429)</f>
        <v>148</v>
      </c>
      <c r="AC429" s="10" t="s">
        <v>273</v>
      </c>
      <c r="AD429" s="10"/>
      <c r="AE429" s="10"/>
      <c r="AF429" s="10"/>
      <c r="AG429" s="10"/>
      <c r="AH429" s="10"/>
      <c r="AI429" s="10"/>
      <c r="AJ429" s="10" t="s">
        <v>717</v>
      </c>
      <c r="AK429" s="10" t="s">
        <v>170</v>
      </c>
      <c r="AL429" s="10"/>
      <c r="AM429" s="10"/>
      <c r="AN429" s="8"/>
      <c r="AO429" s="10" t="s">
        <v>546</v>
      </c>
      <c r="AP429" s="10" t="s">
        <v>188</v>
      </c>
      <c r="AQ429" s="11" t="n">
        <v>46177</v>
      </c>
      <c r="AR429" s="13"/>
      <c r="AS429" s="13"/>
      <c r="AT429" s="13"/>
      <c r="AU429" s="13"/>
      <c r="AV429" s="13"/>
      <c r="AW429" s="13"/>
      <c r="AX429" s="13"/>
      <c r="AY429" s="7" t="s">
        <v>411</v>
      </c>
      <c r="AZ429" s="7"/>
      <c r="BA429" s="7" t="s">
        <v>41</v>
      </c>
      <c r="BB429" s="7"/>
      <c r="BC429" s="7"/>
      <c r="BD429" s="9"/>
      <c r="BE429" s="7"/>
      <c r="BF429" s="14" t="str">
        <f aca="true">IF(TRIM($A429)="Finalized","Closed",IF($BD429="","No review date set",IF($BD429&lt;TODAY(),"OVERDUE",IF($BD429-TODAY()&lt;=7,"Due within 7 days","Scheduled"))))</f>
        <v>Closed</v>
      </c>
      <c r="BG429" s="14" t="n">
        <f aca="true">IF($K429="","",TODAY()-$K429)</f>
        <v>66</v>
      </c>
      <c r="BH429" s="15" t="str">
        <f aca="false">IFERROR(LEFT(IF($B429="","Notes, ","")&amp;IF($K429="","Latest Date Worked, ","")&amp;IF($AY429="","Last Action, ","")&amp;IF(AND(OR(TRIM($A429)="Denied",TRIM($A429)="Rejected"),$BA429=""),"Denial Reason, ","")&amp;IF(AND(TRIM($A429)="Denied",$BB429="",TRIM($BA429)&lt;&gt;"NO DENIAL"),"Denial Code, ","")&amp;IF(AND(TRIM($A429)&lt;&gt;"Finalized",$BD429=""),"Next Review Date, ","")&amp;IF(AND(TRIM($A429)&lt;&gt;"Finalized",$BE429=""),"Next Step, ","")&amp;IF(AND(TRIM($A429)="Finalized",$AV429="",$AR429="",$AT429="",$AX429="",$AW429=""),"CPT outcome, ",""),LEN(IF($B429="","Notes, ","")&amp;IF($K429="","Latest Date Worked, ","")&amp;IF($AY429="","Last Action, ","")&amp;IF(AND(OR(TRIM($A429)="Denied",TRIM($A429)="Rejected"),$BA429=""),"Denial Reason, ","")&amp;IF(AND(TRIM($A429)="Denied",$BB429="",TRIM($BA429)&lt;&gt;"NO DENIAL"),"Denial Code, ","")&amp;IF(AND(TRIM($A429)&lt;&gt;"Finalized",$BD429=""),"Next Review Date, ","")&amp;IF(AND(TRIM($A429)&lt;&gt;"Finalized",$BE429=""),"Next Step, ","")&amp;IF(AND(TRIM($A429)="Finalized",$AV429="",$AR429="",$AT429="",$AX429="",$AW429=""),"CPT outcome, ",""))-2),"")</f>
        <v>CPT outcome</v>
      </c>
      <c r="BI429" s="15" t="str">
        <f aca="false">IF($BB429="","",IFERROR(INDEX('Denial Codes'!$C:$C,MATCH(LEFT($BB429,FIND(" - ",$BB429&amp;" - ")+2)&amp;"*",'Denial Codes'!$A:$A,0)),""))</f>
        <v/>
      </c>
      <c r="BJ429" s="15" t="str">
        <f aca="false">IF($BA429="","",IFERROR(INDEX(Lists!$B:$B,MATCH(TRIM($BA429),Lists!$A:$A,0))&amp;"",""))</f>
        <v>Confirm benefits; bill the patient if an ABN/waiver is on file, otherwise appeal or adjust.</v>
      </c>
    </row>
    <row r="430" customFormat="false" ht="15" hidden="false" customHeight="false" outlineLevel="0" collapsed="false">
      <c r="A430" s="7" t="s">
        <v>16</v>
      </c>
      <c r="B430" s="7" t="s">
        <v>1679</v>
      </c>
      <c r="C430" s="8" t="n">
        <v>560709048</v>
      </c>
      <c r="D430" s="9" t="n">
        <v>46182</v>
      </c>
      <c r="E430" s="10" t="s">
        <v>1680</v>
      </c>
      <c r="F430" s="11" t="n">
        <v>46163</v>
      </c>
      <c r="G430" s="10" t="s">
        <v>218</v>
      </c>
      <c r="H430" s="10" t="s">
        <v>218</v>
      </c>
      <c r="I430" s="10" t="s">
        <v>129</v>
      </c>
      <c r="J430" s="10" t="s">
        <v>803</v>
      </c>
      <c r="K430" s="9" t="n">
        <v>46246</v>
      </c>
      <c r="L430" s="12" t="str">
        <f aca="true">IF($O430="","",$O430-TODAY())</f>
        <v/>
      </c>
      <c r="M430" s="12" t="str">
        <f aca="true">IF(AND(TRIM($A430)="Finalized",$K430&lt;&gt;""),"",IF($F430="","",$F430+90-TODAY()))</f>
        <v/>
      </c>
      <c r="N430" s="12" t="str">
        <f aca="true">IF(AND(TRIM($A430)="Finalized",$K430&lt;&gt;""),"",IF($D430="","",$D430+180-TODAY()))</f>
        <v/>
      </c>
      <c r="O430" s="11" t="str">
        <f aca="false">IF(AND(TRIM($A430)="Finalized",$K430&lt;&gt;""),"",DATE(2026,8,19))</f>
        <v/>
      </c>
      <c r="P430" s="10" t="s">
        <v>165</v>
      </c>
      <c r="Q430" s="10" t="s">
        <v>220</v>
      </c>
      <c r="R430" s="10" t="s">
        <v>165</v>
      </c>
      <c r="S430" s="10" t="s">
        <v>149</v>
      </c>
      <c r="T430" s="10" t="s">
        <v>147</v>
      </c>
      <c r="U430" s="10" t="s">
        <v>116</v>
      </c>
      <c r="V430" s="10" t="s">
        <v>266</v>
      </c>
      <c r="W430" s="10" t="s">
        <v>196</v>
      </c>
      <c r="X430" s="10"/>
      <c r="Y430" s="10"/>
      <c r="Z430" s="10"/>
      <c r="AA430" s="10" t="s">
        <v>197</v>
      </c>
      <c r="AB430" s="8" t="n">
        <f aca="true">IF($F430="","",TODAY()-$F430)</f>
        <v>148</v>
      </c>
      <c r="AC430" s="10" t="s">
        <v>487</v>
      </c>
      <c r="AD430" s="10" t="s">
        <v>222</v>
      </c>
      <c r="AE430" s="10"/>
      <c r="AF430" s="10"/>
      <c r="AG430" s="10"/>
      <c r="AH430" s="10"/>
      <c r="AI430" s="10"/>
      <c r="AJ430" s="10" t="s">
        <v>200</v>
      </c>
      <c r="AK430" s="10"/>
      <c r="AL430" s="10"/>
      <c r="AM430" s="10"/>
      <c r="AN430" s="8"/>
      <c r="AO430" s="10" t="s">
        <v>213</v>
      </c>
      <c r="AP430" s="10" t="s">
        <v>224</v>
      </c>
      <c r="AQ430" s="11" t="n">
        <v>46171</v>
      </c>
      <c r="AR430" s="13"/>
      <c r="AS430" s="13"/>
      <c r="AT430" s="13"/>
      <c r="AU430" s="13"/>
      <c r="AV430" s="13"/>
      <c r="AW430" s="13" t="s">
        <v>805</v>
      </c>
      <c r="AX430" s="13" t="s">
        <v>805</v>
      </c>
      <c r="AY430" s="7" t="s">
        <v>465</v>
      </c>
      <c r="AZ430" s="7"/>
      <c r="BA430" s="7" t="s">
        <v>39</v>
      </c>
      <c r="BB430" s="7" t="s">
        <v>806</v>
      </c>
      <c r="BC430" s="7"/>
      <c r="BD430" s="9"/>
      <c r="BE430" s="7"/>
      <c r="BF430" s="14" t="str">
        <f aca="true">IF(TRIM($A430)="Finalized","Closed",IF($BD430="","No review date set",IF($BD430&lt;TODAY(),"OVERDUE",IF($BD430-TODAY()&lt;=7,"Due within 7 days","Scheduled"))))</f>
        <v>Closed</v>
      </c>
      <c r="BG430" s="14" t="n">
        <f aca="true">IF($K430="","",TODAY()-$K430)</f>
        <v>65</v>
      </c>
      <c r="BH430" s="15" t="str">
        <f aca="false">IFERROR(LEFT(IF($B430="","Notes, ","")&amp;IF($K430="","Latest Date Worked, ","")&amp;IF($AY430="","Last Action, ","")&amp;IF(AND(OR(TRIM($A430)="Denied",TRIM($A430)="Rejected"),$BA430=""),"Denial Reason, ","")&amp;IF(AND(TRIM($A430)="Denied",$BB430="",TRIM($BA430)&lt;&gt;"NO DENIAL"),"Denial Code, ","")&amp;IF(AND(TRIM($A430)&lt;&gt;"Finalized",$BD430=""),"Next Review Date, ","")&amp;IF(AND(TRIM($A430)&lt;&gt;"Finalized",$BE430=""),"Next Step, ","")&amp;IF(AND(TRIM($A430)="Finalized",$AV430="",$AR430="",$AT430="",$AX430="",$AW430=""),"CPT outcome, ",""),LEN(IF($B430="","Notes, ","")&amp;IF($K430="","Latest Date Worked, ","")&amp;IF($AY430="","Last Action, ","")&amp;IF(AND(OR(TRIM($A430)="Denied",TRIM($A430)="Rejected"),$BA430=""),"Denial Reason, ","")&amp;IF(AND(TRIM($A430)="Denied",$BB430="",TRIM($BA430)&lt;&gt;"NO DENIAL"),"Denial Code, ","")&amp;IF(AND(TRIM($A430)&lt;&gt;"Finalized",$BD430=""),"Next Review Date, ","")&amp;IF(AND(TRIM($A430)&lt;&gt;"Finalized",$BE430=""),"Next Step, ","")&amp;IF(AND(TRIM($A430)="Finalized",$AV430="",$AR430="",$AT430="",$AX430="",$AW430=""),"CPT outcome, ",""))-2),"")</f>
        <v/>
      </c>
      <c r="BI430" s="15" t="str">
        <f aca="false">IF($BB430="","",IFERROR(INDEX('Denial Codes'!$C:$C,MATCH(LEFT($BB430,FIND(" - ",$BB430&amp;" - ")+2)&amp;"*",'Denial Codes'!$A:$A,0)),""))</f>
        <v>Diagnosis issue</v>
      </c>
      <c r="BJ430" s="15" t="str">
        <f aca="false">IF($BA430="","",IFERROR(INDEX(Lists!$B:$B,MATCH(TRIM($BA430),Lists!$A:$A,0))&amp;"",""))</f>
        <v>Review the diagnosis codes and pointers with the chart; correct and resubmit.</v>
      </c>
    </row>
    <row r="431" customFormat="false" ht="15" hidden="false" customHeight="false" outlineLevel="0" collapsed="false">
      <c r="A431" s="7" t="s">
        <v>16</v>
      </c>
      <c r="B431" s="7" t="s">
        <v>1681</v>
      </c>
      <c r="C431" s="8" t="n">
        <v>561851402</v>
      </c>
      <c r="D431" s="9" t="n">
        <v>46194</v>
      </c>
      <c r="E431" s="10" t="s">
        <v>1682</v>
      </c>
      <c r="F431" s="11" t="n">
        <v>46164</v>
      </c>
      <c r="G431" s="10" t="s">
        <v>369</v>
      </c>
      <c r="H431" s="10" t="s">
        <v>369</v>
      </c>
      <c r="I431" s="10" t="s">
        <v>129</v>
      </c>
      <c r="J431" s="10" t="s">
        <v>461</v>
      </c>
      <c r="K431" s="9" t="n">
        <v>46245</v>
      </c>
      <c r="L431" s="12" t="str">
        <f aca="true">IF($O431="","",$O431-TODAY())</f>
        <v/>
      </c>
      <c r="M431" s="12" t="str">
        <f aca="true">IF(AND(TRIM($A431)="Finalized",$K431&lt;&gt;""),"",IF($D431="","",$D431+365-TODAY()))</f>
        <v/>
      </c>
      <c r="N431" s="12" t="str">
        <f aca="true">IF(AND(TRIM($A431)="Finalized",$K431&lt;&gt;""),"",IF($D431="","",$D431+365-TODAY()))</f>
        <v/>
      </c>
      <c r="O431" s="11" t="str">
        <f aca="false">IF(AND(TRIM($A431)="Finalized",$K431&lt;&gt;""),"",DATE(2026,8,20))</f>
        <v/>
      </c>
      <c r="P431" s="10" t="s">
        <v>165</v>
      </c>
      <c r="Q431" s="10" t="s">
        <v>371</v>
      </c>
      <c r="R431" s="10" t="s">
        <v>114</v>
      </c>
      <c r="S431" s="10" t="s">
        <v>116</v>
      </c>
      <c r="T431" s="10" t="s">
        <v>114</v>
      </c>
      <c r="U431" s="10" t="s">
        <v>116</v>
      </c>
      <c r="V431" s="10" t="s">
        <v>266</v>
      </c>
      <c r="W431" s="10" t="s">
        <v>119</v>
      </c>
      <c r="X431" s="10" t="s">
        <v>120</v>
      </c>
      <c r="Y431" s="10"/>
      <c r="Z431" s="10"/>
      <c r="AA431" s="10" t="s">
        <v>230</v>
      </c>
      <c r="AB431" s="8" t="n">
        <f aca="true">IF($F431="","",TODAY()-$F431)</f>
        <v>147</v>
      </c>
      <c r="AC431" s="10" t="s">
        <v>273</v>
      </c>
      <c r="AD431" s="10"/>
      <c r="AE431" s="10"/>
      <c r="AF431" s="10"/>
      <c r="AG431" s="10"/>
      <c r="AH431" s="10"/>
      <c r="AI431" s="10"/>
      <c r="AJ431" s="10" t="s">
        <v>123</v>
      </c>
      <c r="AK431" s="10" t="s">
        <v>686</v>
      </c>
      <c r="AL431" s="10"/>
      <c r="AM431" s="10"/>
      <c r="AN431" s="8"/>
      <c r="AO431" s="10" t="s">
        <v>1049</v>
      </c>
      <c r="AP431" s="10" t="s">
        <v>202</v>
      </c>
      <c r="AQ431" s="11" t="n">
        <v>46183</v>
      </c>
      <c r="AR431" s="13"/>
      <c r="AS431" s="13"/>
      <c r="AT431" s="13" t="s">
        <v>273</v>
      </c>
      <c r="AU431" s="13" t="s">
        <v>464</v>
      </c>
      <c r="AV431" s="13"/>
      <c r="AW431" s="13"/>
      <c r="AX431" s="13"/>
      <c r="AY431" s="7" t="s">
        <v>465</v>
      </c>
      <c r="AZ431" s="7"/>
      <c r="BA431" s="7" t="s">
        <v>34</v>
      </c>
      <c r="BB431" s="7" t="s">
        <v>464</v>
      </c>
      <c r="BC431" s="7"/>
      <c r="BD431" s="9"/>
      <c r="BE431" s="7"/>
      <c r="BF431" s="14" t="str">
        <f aca="true">IF(TRIM($A431)="Finalized","Closed",IF($BD431="","No review date set",IF($BD431&lt;TODAY(),"OVERDUE",IF($BD431-TODAY()&lt;=7,"Due within 7 days","Scheduled"))))</f>
        <v>Closed</v>
      </c>
      <c r="BG431" s="14" t="n">
        <f aca="true">IF($K431="","",TODAY()-$K431)</f>
        <v>66</v>
      </c>
      <c r="BH431" s="15" t="str">
        <f aca="false">IFERROR(LEFT(IF($B431="","Notes, ","")&amp;IF($K431="","Latest Date Worked, ","")&amp;IF($AY431="","Last Action, ","")&amp;IF(AND(OR(TRIM($A431)="Denied",TRIM($A431)="Rejected"),$BA431=""),"Denial Reason, ","")&amp;IF(AND(TRIM($A431)="Denied",$BB431="",TRIM($BA431)&lt;&gt;"NO DENIAL"),"Denial Code, ","")&amp;IF(AND(TRIM($A431)&lt;&gt;"Finalized",$BD431=""),"Next Review Date, ","")&amp;IF(AND(TRIM($A431)&lt;&gt;"Finalized",$BE431=""),"Next Step, ","")&amp;IF(AND(TRIM($A431)="Finalized",$AV431="",$AR431="",$AT431="",$AX431="",$AW431=""),"CPT outcome, ",""),LEN(IF($B431="","Notes, ","")&amp;IF($K431="","Latest Date Worked, ","")&amp;IF($AY431="","Last Action, ","")&amp;IF(AND(OR(TRIM($A431)="Denied",TRIM($A431)="Rejected"),$BA431=""),"Denial Reason, ","")&amp;IF(AND(TRIM($A431)="Denied",$BB431="",TRIM($BA431)&lt;&gt;"NO DENIAL"),"Denial Code, ","")&amp;IF(AND(TRIM($A431)&lt;&gt;"Finalized",$BD431=""),"Next Review Date, ","")&amp;IF(AND(TRIM($A431)&lt;&gt;"Finalized",$BE431=""),"Next Step, ","")&amp;IF(AND(TRIM($A431)="Finalized",$AV431="",$AR431="",$AT431="",$AX431="",$AW431=""),"CPT outcome, ",""))-2),"")</f>
        <v/>
      </c>
      <c r="BI431" s="15" t="str">
        <f aca="false">IF($BB431="","",IFERROR(INDEX('Denial Codes'!$C:$C,MATCH(LEFT($BB431,FIND(" - ",$BB431&amp;" - ")+2)&amp;"*",'Denial Codes'!$A:$A,0)),""))</f>
        <v>No authorization</v>
      </c>
      <c r="BJ431" s="15" t="str">
        <f aca="false">IF($BA431="","",IFERROR(INDEX(Lists!$B:$B,MATCH(TRIM($BA431),Lists!$A:$A,0))&amp;"",""))</f>
        <v>Check the portal for an auth; request a retro-auth or file an appeal with the auth number, then resubmit.</v>
      </c>
    </row>
    <row r="432" customFormat="false" ht="15" hidden="false" customHeight="false" outlineLevel="0" collapsed="false">
      <c r="A432" s="7" t="s">
        <v>16</v>
      </c>
      <c r="B432" s="7" t="s">
        <v>1683</v>
      </c>
      <c r="C432" s="8" t="n">
        <v>565698268</v>
      </c>
      <c r="D432" s="9" t="n">
        <v>46231</v>
      </c>
      <c r="E432" s="10" t="s">
        <v>1684</v>
      </c>
      <c r="F432" s="11" t="n">
        <v>46168</v>
      </c>
      <c r="G432" s="10" t="s">
        <v>218</v>
      </c>
      <c r="H432" s="10" t="s">
        <v>218</v>
      </c>
      <c r="I432" s="10" t="s">
        <v>129</v>
      </c>
      <c r="J432" s="10" t="s">
        <v>250</v>
      </c>
      <c r="K432" s="9" t="n">
        <v>46245</v>
      </c>
      <c r="L432" s="12" t="str">
        <f aca="true">IF($O432="","",$O432-TODAY())</f>
        <v/>
      </c>
      <c r="M432" s="12" t="str">
        <f aca="true">IF(AND(TRIM($A432)="Finalized",$K432&lt;&gt;""),"",IF($F432="","",$F432+90-TODAY()))</f>
        <v/>
      </c>
      <c r="N432" s="12" t="str">
        <f aca="true">IF(AND(TRIM($A432)="Finalized",$K432&lt;&gt;""),"",IF($D432="","",$D432+180-TODAY()))</f>
        <v/>
      </c>
      <c r="O432" s="11" t="str">
        <f aca="false">IF(AND(TRIM($A432)="Finalized",$K432&lt;&gt;""),"",DATE(2026,8,24))</f>
        <v/>
      </c>
      <c r="P432" s="10" t="s">
        <v>165</v>
      </c>
      <c r="Q432" s="10" t="s">
        <v>220</v>
      </c>
      <c r="R432" s="10" t="s">
        <v>165</v>
      </c>
      <c r="S432" s="10" t="s">
        <v>149</v>
      </c>
      <c r="T432" s="10" t="s">
        <v>147</v>
      </c>
      <c r="U432" s="10" t="s">
        <v>116</v>
      </c>
      <c r="V432" s="10" t="s">
        <v>266</v>
      </c>
      <c r="W432" s="10" t="s">
        <v>132</v>
      </c>
      <c r="X432" s="10"/>
      <c r="Y432" s="10"/>
      <c r="Z432" s="10"/>
      <c r="AA432" s="10" t="s">
        <v>197</v>
      </c>
      <c r="AB432" s="8" t="n">
        <f aca="true">IF($F432="","",TODAY()-$F432)</f>
        <v>143</v>
      </c>
      <c r="AC432" s="10" t="s">
        <v>251</v>
      </c>
      <c r="AD432" s="10"/>
      <c r="AE432" s="10"/>
      <c r="AF432" s="10"/>
      <c r="AG432" s="10"/>
      <c r="AH432" s="10"/>
      <c r="AI432" s="10"/>
      <c r="AJ432" s="10" t="s">
        <v>1685</v>
      </c>
      <c r="AK432" s="10" t="s">
        <v>1686</v>
      </c>
      <c r="AL432" s="10"/>
      <c r="AM432" s="10"/>
      <c r="AN432" s="8"/>
      <c r="AO432" s="10" t="s">
        <v>201</v>
      </c>
      <c r="AP432" s="10" t="s">
        <v>327</v>
      </c>
      <c r="AQ432" s="11" t="n">
        <v>46170</v>
      </c>
      <c r="AR432" s="13"/>
      <c r="AS432" s="13"/>
      <c r="AT432" s="13"/>
      <c r="AU432" s="13"/>
      <c r="AV432" s="13" t="s">
        <v>251</v>
      </c>
      <c r="AW432" s="13"/>
      <c r="AX432" s="13" t="s">
        <v>251</v>
      </c>
      <c r="AY432" s="7" t="s">
        <v>363</v>
      </c>
      <c r="AZ432" s="7" t="s">
        <v>159</v>
      </c>
      <c r="BA432" s="7" t="s">
        <v>46</v>
      </c>
      <c r="BB432" s="7"/>
      <c r="BC432" s="7"/>
      <c r="BD432" s="9"/>
      <c r="BE432" s="7"/>
      <c r="BF432" s="14" t="str">
        <f aca="true">IF(TRIM($A432)="Finalized","Closed",IF($BD432="","No review date set",IF($BD432&lt;TODAY(),"OVERDUE",IF($BD432-TODAY()&lt;=7,"Due within 7 days","Scheduled"))))</f>
        <v>Closed</v>
      </c>
      <c r="BG432" s="14" t="n">
        <f aca="true">IF($K432="","",TODAY()-$K432)</f>
        <v>66</v>
      </c>
      <c r="BH432" s="15" t="str">
        <f aca="false">IFERROR(LEFT(IF($B432="","Notes, ","")&amp;IF($K432="","Latest Date Worked, ","")&amp;IF($AY432="","Last Action, ","")&amp;IF(AND(OR(TRIM($A432)="Denied",TRIM($A432)="Rejected"),$BA432=""),"Denial Reason, ","")&amp;IF(AND(TRIM($A432)="Denied",$BB432="",TRIM($BA432)&lt;&gt;"NO DENIAL"),"Denial Code, ","")&amp;IF(AND(TRIM($A432)&lt;&gt;"Finalized",$BD432=""),"Next Review Date, ","")&amp;IF(AND(TRIM($A432)&lt;&gt;"Finalized",$BE432=""),"Next Step, ","")&amp;IF(AND(TRIM($A432)="Finalized",$AV432="",$AR432="",$AT432="",$AX432="",$AW432=""),"CPT outcome, ",""),LEN(IF($B432="","Notes, ","")&amp;IF($K432="","Latest Date Worked, ","")&amp;IF($AY432="","Last Action, ","")&amp;IF(AND(OR(TRIM($A432)="Denied",TRIM($A432)="Rejected"),$BA432=""),"Denial Reason, ","")&amp;IF(AND(TRIM($A432)="Denied",$BB432="",TRIM($BA432)&lt;&gt;"NO DENIAL"),"Denial Code, ","")&amp;IF(AND(TRIM($A432)&lt;&gt;"Finalized",$BD432=""),"Next Review Date, ","")&amp;IF(AND(TRIM($A432)&lt;&gt;"Finalized",$BE432=""),"Next Step, ","")&amp;IF(AND(TRIM($A432)="Finalized",$AV432="",$AR432="",$AT432="",$AX432="",$AW432=""),"CPT outcome, ",""))-2),"")</f>
        <v/>
      </c>
      <c r="BI432" s="15" t="str">
        <f aca="false">IF($BB432="","",IFERROR(INDEX('Denial Codes'!$C:$C,MATCH(LEFT($BB432,FIND(" - ",$BB432&amp;" - ")+2)&amp;"*",'Denial Codes'!$A:$A,0)),""))</f>
        <v/>
      </c>
      <c r="BJ432" s="15" t="str">
        <f aca="false">IF($BA432="","",IFERROR(INDEX(Lists!$B:$B,MATCH(TRIM($BA432),Lists!$A:$A,0))&amp;"",""))</f>
        <v>Verify eligibility; correct the member ID/MBI, name or DOB and resubmit.</v>
      </c>
    </row>
    <row r="433" customFormat="false" ht="15" hidden="false" customHeight="false" outlineLevel="0" collapsed="false">
      <c r="A433" s="7" t="s">
        <v>16</v>
      </c>
      <c r="B433" s="7" t="s">
        <v>1687</v>
      </c>
      <c r="C433" s="8" t="n">
        <v>561860576</v>
      </c>
      <c r="D433" s="9" t="n">
        <v>46191</v>
      </c>
      <c r="E433" s="10" t="s">
        <v>353</v>
      </c>
      <c r="F433" s="11" t="n">
        <v>46168</v>
      </c>
      <c r="G433" s="10" t="s">
        <v>180</v>
      </c>
      <c r="H433" s="10" t="s">
        <v>180</v>
      </c>
      <c r="I433" s="10" t="s">
        <v>129</v>
      </c>
      <c r="J433" s="10" t="s">
        <v>1022</v>
      </c>
      <c r="K433" s="9" t="n">
        <v>46248</v>
      </c>
      <c r="L433" s="12" t="str">
        <f aca="true">IF($O433="","",$O433-TODAY())</f>
        <v/>
      </c>
      <c r="M433" s="12" t="str">
        <f aca="true">IF(AND(TRIM($A433)="Finalized",$K433&lt;&gt;""),"",IF($D433="","",$D433+180-TODAY()))</f>
        <v/>
      </c>
      <c r="N433" s="12" t="str">
        <f aca="true">IF(AND(TRIM($A433)="Finalized",$K433&lt;&gt;""),"",IF($D433="","",$D433+365-TODAY()))</f>
        <v/>
      </c>
      <c r="O433" s="11" t="str">
        <f aca="false">IF(AND(TRIM($A433)="Finalized",$K433&lt;&gt;""),"",DATE(2026,8,24))</f>
        <v/>
      </c>
      <c r="P433" s="10" t="s">
        <v>165</v>
      </c>
      <c r="Q433" s="10" t="s">
        <v>182</v>
      </c>
      <c r="R433" s="10" t="s">
        <v>147</v>
      </c>
      <c r="S433" s="10" t="s">
        <v>116</v>
      </c>
      <c r="T433" s="10" t="s">
        <v>114</v>
      </c>
      <c r="U433" s="10" t="s">
        <v>116</v>
      </c>
      <c r="V433" s="10" t="s">
        <v>266</v>
      </c>
      <c r="W433" s="10" t="s">
        <v>119</v>
      </c>
      <c r="X433" s="10" t="s">
        <v>229</v>
      </c>
      <c r="Y433" s="10"/>
      <c r="Z433" s="10"/>
      <c r="AA433" s="10" t="s">
        <v>121</v>
      </c>
      <c r="AB433" s="8" t="n">
        <f aca="true">IF($F433="","",TODAY()-$F433)</f>
        <v>143</v>
      </c>
      <c r="AC433" s="10" t="s">
        <v>273</v>
      </c>
      <c r="AD433" s="10"/>
      <c r="AE433" s="10"/>
      <c r="AF433" s="10"/>
      <c r="AG433" s="10"/>
      <c r="AH433" s="10"/>
      <c r="AI433" s="10"/>
      <c r="AJ433" s="10" t="s">
        <v>123</v>
      </c>
      <c r="AK433" s="10" t="s">
        <v>139</v>
      </c>
      <c r="AL433" s="10" t="s">
        <v>444</v>
      </c>
      <c r="AM433" s="10"/>
      <c r="AN433" s="8"/>
      <c r="AO433" s="10" t="s">
        <v>569</v>
      </c>
      <c r="AP433" s="10" t="s">
        <v>1072</v>
      </c>
      <c r="AQ433" s="11" t="n">
        <v>46183</v>
      </c>
      <c r="AR433" s="13"/>
      <c r="AS433" s="13"/>
      <c r="AT433" s="13"/>
      <c r="AU433" s="13"/>
      <c r="AV433" s="13"/>
      <c r="AW433" s="13"/>
      <c r="AX433" s="13"/>
      <c r="AY433" s="7" t="s">
        <v>411</v>
      </c>
      <c r="AZ433" s="7"/>
      <c r="BA433" s="7" t="s">
        <v>41</v>
      </c>
      <c r="BB433" s="7"/>
      <c r="BC433" s="7"/>
      <c r="BD433" s="9"/>
      <c r="BE433" s="7"/>
      <c r="BF433" s="14" t="str">
        <f aca="true">IF(TRIM($A433)="Finalized","Closed",IF($BD433="","No review date set",IF($BD433&lt;TODAY(),"OVERDUE",IF($BD433-TODAY()&lt;=7,"Due within 7 days","Scheduled"))))</f>
        <v>Closed</v>
      </c>
      <c r="BG433" s="14" t="n">
        <f aca="true">IF($K433="","",TODAY()-$K433)</f>
        <v>63</v>
      </c>
      <c r="BH433" s="15" t="str">
        <f aca="false">IFERROR(LEFT(IF($B433="","Notes, ","")&amp;IF($K433="","Latest Date Worked, ","")&amp;IF($AY433="","Last Action, ","")&amp;IF(AND(OR(TRIM($A433)="Denied",TRIM($A433)="Rejected"),$BA433=""),"Denial Reason, ","")&amp;IF(AND(TRIM($A433)="Denied",$BB433="",TRIM($BA433)&lt;&gt;"NO DENIAL"),"Denial Code, ","")&amp;IF(AND(TRIM($A433)&lt;&gt;"Finalized",$BD433=""),"Next Review Date, ","")&amp;IF(AND(TRIM($A433)&lt;&gt;"Finalized",$BE433=""),"Next Step, ","")&amp;IF(AND(TRIM($A433)="Finalized",$AV433="",$AR433="",$AT433="",$AX433="",$AW433=""),"CPT outcome, ",""),LEN(IF($B433="","Notes, ","")&amp;IF($K433="","Latest Date Worked, ","")&amp;IF($AY433="","Last Action, ","")&amp;IF(AND(OR(TRIM($A433)="Denied",TRIM($A433)="Rejected"),$BA433=""),"Denial Reason, ","")&amp;IF(AND(TRIM($A433)="Denied",$BB433="",TRIM($BA433)&lt;&gt;"NO DENIAL"),"Denial Code, ","")&amp;IF(AND(TRIM($A433)&lt;&gt;"Finalized",$BD433=""),"Next Review Date, ","")&amp;IF(AND(TRIM($A433)&lt;&gt;"Finalized",$BE433=""),"Next Step, ","")&amp;IF(AND(TRIM($A433)="Finalized",$AV433="",$AR433="",$AT433="",$AX433="",$AW433=""),"CPT outcome, ",""))-2),"")</f>
        <v>CPT outcome</v>
      </c>
      <c r="BI433" s="15" t="str">
        <f aca="false">IF($BB433="","",IFERROR(INDEX('Denial Codes'!$C:$C,MATCH(LEFT($BB433,FIND(" - ",$BB433&amp;" - ")+2)&amp;"*",'Denial Codes'!$A:$A,0)),""))</f>
        <v/>
      </c>
      <c r="BJ433" s="15" t="str">
        <f aca="false">IF($BA433="","",IFERROR(INDEX(Lists!$B:$B,MATCH(TRIM($BA433),Lists!$A:$A,0))&amp;"",""))</f>
        <v>Confirm benefits; bill the patient if an ABN/waiver is on file, otherwise appeal or adjust.</v>
      </c>
    </row>
    <row r="434" customFormat="false" ht="15" hidden="false" customHeight="false" outlineLevel="0" collapsed="false">
      <c r="A434" s="7" t="s">
        <v>16</v>
      </c>
      <c r="B434" s="7" t="s">
        <v>1688</v>
      </c>
      <c r="C434" s="8" t="n">
        <v>560711027</v>
      </c>
      <c r="D434" s="9" t="n">
        <v>46175</v>
      </c>
      <c r="E434" s="10" t="s">
        <v>1689</v>
      </c>
      <c r="F434" s="11" t="n">
        <v>46168</v>
      </c>
      <c r="G434" s="10" t="s">
        <v>333</v>
      </c>
      <c r="H434" s="10" t="s">
        <v>333</v>
      </c>
      <c r="I434" s="10" t="s">
        <v>129</v>
      </c>
      <c r="J434" s="10" t="s">
        <v>194</v>
      </c>
      <c r="K434" s="9" t="n">
        <v>46251</v>
      </c>
      <c r="L434" s="12" t="str">
        <f aca="true">IF($O434="","",$O434-TODAY())</f>
        <v/>
      </c>
      <c r="M434" s="12" t="str">
        <f aca="true">IF(AND(TRIM($A434)="Finalized",$K434&lt;&gt;""),"",IF($F434="","",$F434+90-TODAY()))</f>
        <v/>
      </c>
      <c r="N434" s="12" t="str">
        <f aca="true">IF(AND(TRIM($A434)="Finalized",$K434&lt;&gt;""),"",IF($D434="","",$D434+60-TODAY()))</f>
        <v/>
      </c>
      <c r="O434" s="11" t="str">
        <f aca="false">IF(AND(TRIM($A434)="Finalized",$K434&lt;&gt;""),"",DATE(2026,8,24))</f>
        <v/>
      </c>
      <c r="P434" s="10" t="s">
        <v>165</v>
      </c>
      <c r="Q434" s="10" t="s">
        <v>334</v>
      </c>
      <c r="R434" s="10" t="s">
        <v>165</v>
      </c>
      <c r="S434" s="10" t="s">
        <v>149</v>
      </c>
      <c r="T434" s="10" t="s">
        <v>324</v>
      </c>
      <c r="U434" s="10" t="s">
        <v>116</v>
      </c>
      <c r="V434" s="10" t="s">
        <v>266</v>
      </c>
      <c r="W434" s="10" t="s">
        <v>196</v>
      </c>
      <c r="X434" s="10"/>
      <c r="Y434" s="10"/>
      <c r="Z434" s="10"/>
      <c r="AA434" s="10" t="s">
        <v>197</v>
      </c>
      <c r="AB434" s="8" t="n">
        <f aca="true">IF($F434="","",TODAY()-$F434)</f>
        <v>143</v>
      </c>
      <c r="AC434" s="10" t="s">
        <v>198</v>
      </c>
      <c r="AD434" s="10"/>
      <c r="AE434" s="10"/>
      <c r="AF434" s="10"/>
      <c r="AG434" s="10"/>
      <c r="AH434" s="10"/>
      <c r="AI434" s="10"/>
      <c r="AJ434" s="10" t="s">
        <v>1690</v>
      </c>
      <c r="AK434" s="10" t="s">
        <v>267</v>
      </c>
      <c r="AL434" s="10" t="s">
        <v>444</v>
      </c>
      <c r="AM434" s="10"/>
      <c r="AN434" s="8"/>
      <c r="AO434" s="10" t="s">
        <v>201</v>
      </c>
      <c r="AP434" s="10" t="s">
        <v>202</v>
      </c>
      <c r="AQ434" s="11" t="n">
        <v>46171</v>
      </c>
      <c r="AR434" s="13"/>
      <c r="AS434" s="13"/>
      <c r="AT434" s="13"/>
      <c r="AU434" s="13"/>
      <c r="AV434" s="13" t="s">
        <v>198</v>
      </c>
      <c r="AW434" s="13"/>
      <c r="AX434" s="13" t="s">
        <v>198</v>
      </c>
      <c r="AY434" s="7" t="s">
        <v>363</v>
      </c>
      <c r="AZ434" s="7"/>
      <c r="BA434" s="7"/>
      <c r="BB434" s="7"/>
      <c r="BC434" s="7"/>
      <c r="BD434" s="9"/>
      <c r="BE434" s="7"/>
      <c r="BF434" s="14" t="str">
        <f aca="true">IF(TRIM($A434)="Finalized","Closed",IF($BD434="","No review date set",IF($BD434&lt;TODAY(),"OVERDUE",IF($BD434-TODAY()&lt;=7,"Due within 7 days","Scheduled"))))</f>
        <v>Closed</v>
      </c>
      <c r="BG434" s="14" t="n">
        <f aca="true">IF($K434="","",TODAY()-$K434)</f>
        <v>60</v>
      </c>
      <c r="BH434" s="15" t="str">
        <f aca="false">IFERROR(LEFT(IF($B434="","Notes, ","")&amp;IF($K434="","Latest Date Worked, ","")&amp;IF($AY434="","Last Action, ","")&amp;IF(AND(OR(TRIM($A434)="Denied",TRIM($A434)="Rejected"),$BA434=""),"Denial Reason, ","")&amp;IF(AND(TRIM($A434)="Denied",$BB434="",TRIM($BA434)&lt;&gt;"NO DENIAL"),"Denial Code, ","")&amp;IF(AND(TRIM($A434)&lt;&gt;"Finalized",$BD434=""),"Next Review Date, ","")&amp;IF(AND(TRIM($A434)&lt;&gt;"Finalized",$BE434=""),"Next Step, ","")&amp;IF(AND(TRIM($A434)="Finalized",$AV434="",$AR434="",$AT434="",$AX434="",$AW434=""),"CPT outcome, ",""),LEN(IF($B434="","Notes, ","")&amp;IF($K434="","Latest Date Worked, ","")&amp;IF($AY434="","Last Action, ","")&amp;IF(AND(OR(TRIM($A434)="Denied",TRIM($A434)="Rejected"),$BA434=""),"Denial Reason, ","")&amp;IF(AND(TRIM($A434)="Denied",$BB434="",TRIM($BA434)&lt;&gt;"NO DENIAL"),"Denial Code, ","")&amp;IF(AND(TRIM($A434)&lt;&gt;"Finalized",$BD434=""),"Next Review Date, ","")&amp;IF(AND(TRIM($A434)&lt;&gt;"Finalized",$BE434=""),"Next Step, ","")&amp;IF(AND(TRIM($A434)="Finalized",$AV434="",$AR434="",$AT434="",$AX434="",$AW434=""),"CPT outcome, ",""))-2),"")</f>
        <v/>
      </c>
      <c r="BI434" s="15" t="str">
        <f aca="false">IF($BB434="","",IFERROR(INDEX('Denial Codes'!$C:$C,MATCH(LEFT($BB434,FIND(" - ",$BB434&amp;" - ")+2)&amp;"*",'Denial Codes'!$A:$A,0)),""))</f>
        <v/>
      </c>
      <c r="BJ434" s="15" t="str">
        <f aca="false">IF($BA434="","",IFERROR(INDEX(Lists!$B:$B,MATCH(TRIM($BA434),Lists!$A:$A,0))&amp;"",""))</f>
        <v/>
      </c>
    </row>
    <row r="435" customFormat="false" ht="15" hidden="false" customHeight="false" outlineLevel="0" collapsed="false">
      <c r="A435" s="7" t="s">
        <v>16</v>
      </c>
      <c r="B435" s="7" t="s">
        <v>1691</v>
      </c>
      <c r="C435" s="8" t="n">
        <v>558742342</v>
      </c>
      <c r="D435" s="9" t="n">
        <v>46170</v>
      </c>
      <c r="E435" s="10" t="s">
        <v>1692</v>
      </c>
      <c r="F435" s="11" t="n">
        <v>46140</v>
      </c>
      <c r="G435" s="10" t="s">
        <v>427</v>
      </c>
      <c r="H435" s="10" t="s">
        <v>427</v>
      </c>
      <c r="I435" s="10" t="s">
        <v>129</v>
      </c>
      <c r="J435" s="10" t="s">
        <v>792</v>
      </c>
      <c r="K435" s="9" t="n">
        <v>46245</v>
      </c>
      <c r="L435" s="12" t="str">
        <f aca="true">IF($O435="","",$O435-TODAY())</f>
        <v/>
      </c>
      <c r="M435" s="12" t="str">
        <f aca="true">IF(AND(TRIM($A435)="Finalized",$K435&lt;&gt;""),"",IF($D435="","",$D435+365-TODAY()))</f>
        <v/>
      </c>
      <c r="N435" s="12" t="str">
        <f aca="true">IF(AND(TRIM($A435)="Finalized",$K435&lt;&gt;""),"",IF($D435="","",$D435+90-TODAY()))</f>
        <v/>
      </c>
      <c r="O435" s="11" t="str">
        <f aca="false">IF(AND(TRIM($A435)="Finalized",$K435&lt;&gt;""),"",DATE(2026,8,26))</f>
        <v/>
      </c>
      <c r="P435" s="10" t="s">
        <v>117</v>
      </c>
      <c r="Q435" s="10" t="s">
        <v>429</v>
      </c>
      <c r="R435" s="10" t="s">
        <v>114</v>
      </c>
      <c r="S435" s="10" t="s">
        <v>116</v>
      </c>
      <c r="T435" s="10" t="s">
        <v>165</v>
      </c>
      <c r="U435" s="10" t="s">
        <v>116</v>
      </c>
      <c r="V435" s="10" t="s">
        <v>221</v>
      </c>
      <c r="W435" s="10" t="s">
        <v>119</v>
      </c>
      <c r="X435" s="10" t="s">
        <v>229</v>
      </c>
      <c r="Y435" s="10"/>
      <c r="Z435" s="10"/>
      <c r="AA435" s="10" t="s">
        <v>793</v>
      </c>
      <c r="AB435" s="8" t="n">
        <f aca="true">IF($F435="","",TODAY()-$F435)</f>
        <v>171</v>
      </c>
      <c r="AC435" s="10" t="s">
        <v>273</v>
      </c>
      <c r="AD435" s="10"/>
      <c r="AE435" s="10"/>
      <c r="AF435" s="10"/>
      <c r="AG435" s="10"/>
      <c r="AH435" s="10"/>
      <c r="AI435" s="10"/>
      <c r="AJ435" s="10" t="s">
        <v>123</v>
      </c>
      <c r="AK435" s="10" t="s">
        <v>1693</v>
      </c>
      <c r="AL435" s="10" t="s">
        <v>1686</v>
      </c>
      <c r="AM435" s="10"/>
      <c r="AN435" s="8"/>
      <c r="AO435" s="10" t="s">
        <v>201</v>
      </c>
      <c r="AP435" s="10" t="s">
        <v>202</v>
      </c>
      <c r="AQ435" s="11" t="n">
        <v>46153</v>
      </c>
      <c r="AR435" s="13"/>
      <c r="AS435" s="13"/>
      <c r="AT435" s="13" t="s">
        <v>273</v>
      </c>
      <c r="AU435" s="13" t="s">
        <v>464</v>
      </c>
      <c r="AV435" s="13"/>
      <c r="AW435" s="13"/>
      <c r="AX435" s="13"/>
      <c r="AY435" s="7" t="s">
        <v>465</v>
      </c>
      <c r="AZ435" s="7"/>
      <c r="BA435" s="7" t="s">
        <v>34</v>
      </c>
      <c r="BB435" s="7" t="s">
        <v>464</v>
      </c>
      <c r="BC435" s="7"/>
      <c r="BD435" s="9"/>
      <c r="BE435" s="7"/>
      <c r="BF435" s="14" t="str">
        <f aca="true">IF(TRIM($A435)="Finalized","Closed",IF($BD435="","No review date set",IF($BD435&lt;TODAY(),"OVERDUE",IF($BD435-TODAY()&lt;=7,"Due within 7 days","Scheduled"))))</f>
        <v>Closed</v>
      </c>
      <c r="BG435" s="14" t="n">
        <f aca="true">IF($K435="","",TODAY()-$K435)</f>
        <v>66</v>
      </c>
      <c r="BH435" s="15" t="str">
        <f aca="false">IFERROR(LEFT(IF($B435="","Notes, ","")&amp;IF($K435="","Latest Date Worked, ","")&amp;IF($AY435="","Last Action, ","")&amp;IF(AND(OR(TRIM($A435)="Denied",TRIM($A435)="Rejected"),$BA435=""),"Denial Reason, ","")&amp;IF(AND(TRIM($A435)="Denied",$BB435="",TRIM($BA435)&lt;&gt;"NO DENIAL"),"Denial Code, ","")&amp;IF(AND(TRIM($A435)&lt;&gt;"Finalized",$BD435=""),"Next Review Date, ","")&amp;IF(AND(TRIM($A435)&lt;&gt;"Finalized",$BE435=""),"Next Step, ","")&amp;IF(AND(TRIM($A435)="Finalized",$AV435="",$AR435="",$AT435="",$AX435="",$AW435=""),"CPT outcome, ",""),LEN(IF($B435="","Notes, ","")&amp;IF($K435="","Latest Date Worked, ","")&amp;IF($AY435="","Last Action, ","")&amp;IF(AND(OR(TRIM($A435)="Denied",TRIM($A435)="Rejected"),$BA435=""),"Denial Reason, ","")&amp;IF(AND(TRIM($A435)="Denied",$BB435="",TRIM($BA435)&lt;&gt;"NO DENIAL"),"Denial Code, ","")&amp;IF(AND(TRIM($A435)&lt;&gt;"Finalized",$BD435=""),"Next Review Date, ","")&amp;IF(AND(TRIM($A435)&lt;&gt;"Finalized",$BE435=""),"Next Step, ","")&amp;IF(AND(TRIM($A435)="Finalized",$AV435="",$AR435="",$AT435="",$AX435="",$AW435=""),"CPT outcome, ",""))-2),"")</f>
        <v/>
      </c>
      <c r="BI435" s="15" t="str">
        <f aca="false">IF($BB435="","",IFERROR(INDEX('Denial Codes'!$C:$C,MATCH(LEFT($BB435,FIND(" - ",$BB435&amp;" - ")+2)&amp;"*",'Denial Codes'!$A:$A,0)),""))</f>
        <v>No authorization</v>
      </c>
      <c r="BJ435" s="15" t="str">
        <f aca="false">IF($BA435="","",IFERROR(INDEX(Lists!$B:$B,MATCH(TRIM($BA435),Lists!$A:$A,0))&amp;"",""))</f>
        <v>Check the portal for an auth; request a retro-auth or file an appeal with the auth number, then resubmit.</v>
      </c>
    </row>
    <row r="436" customFormat="false" ht="15" hidden="false" customHeight="false" outlineLevel="0" collapsed="false">
      <c r="A436" s="7" t="s">
        <v>16</v>
      </c>
      <c r="B436" s="7" t="s">
        <v>1694</v>
      </c>
      <c r="C436" s="8" t="n">
        <v>562162337</v>
      </c>
      <c r="D436" s="9" t="n">
        <v>46212</v>
      </c>
      <c r="E436" s="10" t="s">
        <v>1695</v>
      </c>
      <c r="F436" s="11" t="n">
        <v>46174</v>
      </c>
      <c r="G436" s="10" t="s">
        <v>180</v>
      </c>
      <c r="H436" s="10" t="s">
        <v>180</v>
      </c>
      <c r="I436" s="10" t="s">
        <v>129</v>
      </c>
      <c r="J436" s="10" t="s">
        <v>461</v>
      </c>
      <c r="K436" s="9" t="n">
        <v>46272</v>
      </c>
      <c r="L436" s="12" t="str">
        <f aca="true">IF($O436="","",$O436-TODAY())</f>
        <v/>
      </c>
      <c r="M436" s="12" t="str">
        <f aca="true">IF(AND(TRIM($A436)="Finalized",$K436&lt;&gt;""),"",IF($D436="","",$D436+180-TODAY()))</f>
        <v/>
      </c>
      <c r="N436" s="12" t="str">
        <f aca="true">IF(AND(TRIM($A436)="Finalized",$K436&lt;&gt;""),"",IF($D436="","",$D436+365-TODAY()))</f>
        <v/>
      </c>
      <c r="O436" s="11" t="str">
        <f aca="false">IF(AND(TRIM($A436)="Finalized",$K436&lt;&gt;""),"",DATE(2026,8,30))</f>
        <v/>
      </c>
      <c r="P436" s="10" t="s">
        <v>165</v>
      </c>
      <c r="Q436" s="10" t="s">
        <v>182</v>
      </c>
      <c r="R436" s="10" t="s">
        <v>147</v>
      </c>
      <c r="S436" s="10" t="s">
        <v>116</v>
      </c>
      <c r="T436" s="10" t="s">
        <v>114</v>
      </c>
      <c r="U436" s="10" t="s">
        <v>116</v>
      </c>
      <c r="V436" s="10" t="s">
        <v>303</v>
      </c>
      <c r="W436" s="10" t="s">
        <v>119</v>
      </c>
      <c r="X436" s="10" t="s">
        <v>120</v>
      </c>
      <c r="Y436" s="10"/>
      <c r="Z436" s="10"/>
      <c r="AA436" s="10" t="s">
        <v>230</v>
      </c>
      <c r="AB436" s="8" t="n">
        <f aca="true">IF($F436="","",TODAY()-$F436)</f>
        <v>137</v>
      </c>
      <c r="AC436" s="10" t="s">
        <v>273</v>
      </c>
      <c r="AD436" s="10"/>
      <c r="AE436" s="10"/>
      <c r="AF436" s="10"/>
      <c r="AG436" s="10"/>
      <c r="AH436" s="10"/>
      <c r="AI436" s="10"/>
      <c r="AJ436" s="10" t="s">
        <v>123</v>
      </c>
      <c r="AK436" s="10"/>
      <c r="AL436" s="10"/>
      <c r="AM436" s="10"/>
      <c r="AN436" s="8"/>
      <c r="AO436" s="10" t="s">
        <v>962</v>
      </c>
      <c r="AP436" s="10" t="s">
        <v>188</v>
      </c>
      <c r="AQ436" s="11" t="n">
        <v>46185</v>
      </c>
      <c r="AR436" s="13" t="s">
        <v>273</v>
      </c>
      <c r="AS436" s="13" t="s">
        <v>1696</v>
      </c>
      <c r="AT436" s="13"/>
      <c r="AU436" s="13"/>
      <c r="AV436" s="13"/>
      <c r="AW436" s="13"/>
      <c r="AX436" s="13"/>
      <c r="AY436" s="7" t="s">
        <v>465</v>
      </c>
      <c r="AZ436" s="7"/>
      <c r="BA436" s="7" t="s">
        <v>41</v>
      </c>
      <c r="BB436" s="7" t="s">
        <v>1696</v>
      </c>
      <c r="BC436" s="7"/>
      <c r="BD436" s="9"/>
      <c r="BE436" s="7"/>
      <c r="BF436" s="14" t="str">
        <f aca="true">IF(TRIM($A436)="Finalized","Closed",IF($BD436="","No review date set",IF($BD436&lt;TODAY(),"OVERDUE",IF($BD436-TODAY()&lt;=7,"Due within 7 days","Scheduled"))))</f>
        <v>Closed</v>
      </c>
      <c r="BG436" s="14" t="n">
        <f aca="true">IF($K436="","",TODAY()-$K436)</f>
        <v>39</v>
      </c>
      <c r="BH436" s="15" t="str">
        <f aca="false">IFERROR(LEFT(IF($B436="","Notes, ","")&amp;IF($K436="","Latest Date Worked, ","")&amp;IF($AY436="","Last Action, ","")&amp;IF(AND(OR(TRIM($A436)="Denied",TRIM($A436)="Rejected"),$BA436=""),"Denial Reason, ","")&amp;IF(AND(TRIM($A436)="Denied",$BB436="",TRIM($BA436)&lt;&gt;"NO DENIAL"),"Denial Code, ","")&amp;IF(AND(TRIM($A436)&lt;&gt;"Finalized",$BD436=""),"Next Review Date, ","")&amp;IF(AND(TRIM($A436)&lt;&gt;"Finalized",$BE436=""),"Next Step, ","")&amp;IF(AND(TRIM($A436)="Finalized",$AV436="",$AR436="",$AT436="",$AX436="",$AW436=""),"CPT outcome, ",""),LEN(IF($B436="","Notes, ","")&amp;IF($K436="","Latest Date Worked, ","")&amp;IF($AY436="","Last Action, ","")&amp;IF(AND(OR(TRIM($A436)="Denied",TRIM($A436)="Rejected"),$BA436=""),"Denial Reason, ","")&amp;IF(AND(TRIM($A436)="Denied",$BB436="",TRIM($BA436)&lt;&gt;"NO DENIAL"),"Denial Code, ","")&amp;IF(AND(TRIM($A436)&lt;&gt;"Finalized",$BD436=""),"Next Review Date, ","")&amp;IF(AND(TRIM($A436)&lt;&gt;"Finalized",$BE436=""),"Next Step, ","")&amp;IF(AND(TRIM($A436)="Finalized",$AV436="",$AR436="",$AT436="",$AX436="",$AW436=""),"CPT outcome, ",""))-2),"")</f>
        <v/>
      </c>
      <c r="BI436" s="15" t="str">
        <f aca="false">IF($BB436="","",IFERROR(INDEX('Denial Codes'!$C:$C,MATCH(LEFT($BB436,FIND(" - ",$BB436&amp;" - ")+2)&amp;"*",'Denial Codes'!$A:$A,0)),""))</f>
        <v>Not covered by plan</v>
      </c>
      <c r="BJ436" s="15" t="str">
        <f aca="false">IF($BA436="","",IFERROR(INDEX(Lists!$B:$B,MATCH(TRIM($BA436),Lists!$A:$A,0))&amp;"",""))</f>
        <v>Confirm benefits; bill the patient if an ABN/waiver is on file, otherwise appeal or adjust.</v>
      </c>
    </row>
    <row r="437" customFormat="false" ht="15" hidden="false" customHeight="false" outlineLevel="0" collapsed="false">
      <c r="A437" s="7" t="s">
        <v>16</v>
      </c>
      <c r="B437" s="7" t="s">
        <v>1697</v>
      </c>
      <c r="C437" s="8" t="n">
        <v>563985783</v>
      </c>
      <c r="D437" s="9" t="n">
        <v>46224</v>
      </c>
      <c r="E437" s="10" t="s">
        <v>1698</v>
      </c>
      <c r="F437" s="11" t="n">
        <v>46174</v>
      </c>
      <c r="G437" s="10" t="s">
        <v>369</v>
      </c>
      <c r="H437" s="10" t="s">
        <v>369</v>
      </c>
      <c r="I437" s="10" t="s">
        <v>129</v>
      </c>
      <c r="J437" s="10" t="s">
        <v>461</v>
      </c>
      <c r="K437" s="9" t="n">
        <v>46276</v>
      </c>
      <c r="L437" s="12" t="str">
        <f aca="true">IF($O437="","",$O437-TODAY())</f>
        <v/>
      </c>
      <c r="M437" s="12" t="str">
        <f aca="true">IF(AND(TRIM($A437)="Finalized",$K437&lt;&gt;""),"",IF($D437="","",$D437+365-TODAY()))</f>
        <v/>
      </c>
      <c r="N437" s="12" t="str">
        <f aca="true">IF(AND(TRIM($A437)="Finalized",$K437&lt;&gt;""),"",IF($D437="","",$D437+365-TODAY()))</f>
        <v/>
      </c>
      <c r="O437" s="11" t="str">
        <f aca="false">IF(AND(TRIM($A437)="Finalized",$K437&lt;&gt;""),"",DATE(2026,8,30))</f>
        <v/>
      </c>
      <c r="P437" s="10" t="s">
        <v>165</v>
      </c>
      <c r="Q437" s="10" t="s">
        <v>371</v>
      </c>
      <c r="R437" s="10" t="s">
        <v>114</v>
      </c>
      <c r="S437" s="10" t="s">
        <v>116</v>
      </c>
      <c r="T437" s="10" t="s">
        <v>114</v>
      </c>
      <c r="U437" s="10" t="s">
        <v>116</v>
      </c>
      <c r="V437" s="10" t="s">
        <v>303</v>
      </c>
      <c r="W437" s="10" t="s">
        <v>119</v>
      </c>
      <c r="X437" s="10" t="s">
        <v>120</v>
      </c>
      <c r="Y437" s="10"/>
      <c r="Z437" s="10"/>
      <c r="AA437" s="10" t="s">
        <v>230</v>
      </c>
      <c r="AB437" s="8" t="n">
        <f aca="true">IF($F437="","",TODAY()-$F437)</f>
        <v>137</v>
      </c>
      <c r="AC437" s="10" t="s">
        <v>273</v>
      </c>
      <c r="AD437" s="10"/>
      <c r="AE437" s="10"/>
      <c r="AF437" s="10"/>
      <c r="AG437" s="10"/>
      <c r="AH437" s="10"/>
      <c r="AI437" s="10"/>
      <c r="AJ437" s="10" t="s">
        <v>123</v>
      </c>
      <c r="AK437" s="10" t="s">
        <v>686</v>
      </c>
      <c r="AL437" s="10"/>
      <c r="AM437" s="10"/>
      <c r="AN437" s="8"/>
      <c r="AO437" s="10" t="s">
        <v>1699</v>
      </c>
      <c r="AP437" s="10" t="s">
        <v>156</v>
      </c>
      <c r="AQ437" s="11" t="n">
        <v>46185</v>
      </c>
      <c r="AR437" s="13"/>
      <c r="AS437" s="13"/>
      <c r="AT437" s="13" t="s">
        <v>273</v>
      </c>
      <c r="AU437" s="13" t="s">
        <v>464</v>
      </c>
      <c r="AV437" s="13"/>
      <c r="AW437" s="13"/>
      <c r="AX437" s="13"/>
      <c r="AY437" s="7" t="s">
        <v>465</v>
      </c>
      <c r="AZ437" s="7"/>
      <c r="BA437" s="7" t="s">
        <v>34</v>
      </c>
      <c r="BB437" s="7" t="s">
        <v>464</v>
      </c>
      <c r="BC437" s="7"/>
      <c r="BD437" s="9"/>
      <c r="BE437" s="7"/>
      <c r="BF437" s="14" t="str">
        <f aca="true">IF(TRIM($A437)="Finalized","Closed",IF($BD437="","No review date set",IF($BD437&lt;TODAY(),"OVERDUE",IF($BD437-TODAY()&lt;=7,"Due within 7 days","Scheduled"))))</f>
        <v>Closed</v>
      </c>
      <c r="BG437" s="14" t="n">
        <f aca="true">IF($K437="","",TODAY()-$K437)</f>
        <v>35</v>
      </c>
      <c r="BH437" s="15" t="str">
        <f aca="false">IFERROR(LEFT(IF($B437="","Notes, ","")&amp;IF($K437="","Latest Date Worked, ","")&amp;IF($AY437="","Last Action, ","")&amp;IF(AND(OR(TRIM($A437)="Denied",TRIM($A437)="Rejected"),$BA437=""),"Denial Reason, ","")&amp;IF(AND(TRIM($A437)="Denied",$BB437="",TRIM($BA437)&lt;&gt;"NO DENIAL"),"Denial Code, ","")&amp;IF(AND(TRIM($A437)&lt;&gt;"Finalized",$BD437=""),"Next Review Date, ","")&amp;IF(AND(TRIM($A437)&lt;&gt;"Finalized",$BE437=""),"Next Step, ","")&amp;IF(AND(TRIM($A437)="Finalized",$AV437="",$AR437="",$AT437="",$AX437="",$AW437=""),"CPT outcome, ",""),LEN(IF($B437="","Notes, ","")&amp;IF($K437="","Latest Date Worked, ","")&amp;IF($AY437="","Last Action, ","")&amp;IF(AND(OR(TRIM($A437)="Denied",TRIM($A437)="Rejected"),$BA437=""),"Denial Reason, ","")&amp;IF(AND(TRIM($A437)="Denied",$BB437="",TRIM($BA437)&lt;&gt;"NO DENIAL"),"Denial Code, ","")&amp;IF(AND(TRIM($A437)&lt;&gt;"Finalized",$BD437=""),"Next Review Date, ","")&amp;IF(AND(TRIM($A437)&lt;&gt;"Finalized",$BE437=""),"Next Step, ","")&amp;IF(AND(TRIM($A437)="Finalized",$AV437="",$AR437="",$AT437="",$AX437="",$AW437=""),"CPT outcome, ",""))-2),"")</f>
        <v/>
      </c>
      <c r="BI437" s="15" t="str">
        <f aca="false">IF($BB437="","",IFERROR(INDEX('Denial Codes'!$C:$C,MATCH(LEFT($BB437,FIND(" - ",$BB437&amp;" - ")+2)&amp;"*",'Denial Codes'!$A:$A,0)),""))</f>
        <v>No authorization</v>
      </c>
      <c r="BJ437" s="15" t="str">
        <f aca="false">IF($BA437="","",IFERROR(INDEX(Lists!$B:$B,MATCH(TRIM($BA437),Lists!$A:$A,0))&amp;"",""))</f>
        <v>Check the portal for an auth; request a retro-auth or file an appeal with the auth number, then resubmit.</v>
      </c>
    </row>
    <row r="438" customFormat="false" ht="15" hidden="false" customHeight="false" outlineLevel="0" collapsed="false">
      <c r="A438" s="7" t="s">
        <v>16</v>
      </c>
      <c r="B438" s="7" t="s">
        <v>1700</v>
      </c>
      <c r="C438" s="8" t="n">
        <v>562140119</v>
      </c>
      <c r="D438" s="9" t="n">
        <v>46212</v>
      </c>
      <c r="E438" s="10" t="s">
        <v>1701</v>
      </c>
      <c r="F438" s="11" t="n">
        <v>46175</v>
      </c>
      <c r="G438" s="10" t="s">
        <v>369</v>
      </c>
      <c r="H438" s="10" t="s">
        <v>369</v>
      </c>
      <c r="I438" s="10" t="s">
        <v>129</v>
      </c>
      <c r="J438" s="10" t="s">
        <v>792</v>
      </c>
      <c r="K438" s="9" t="n">
        <v>46272</v>
      </c>
      <c r="L438" s="12" t="str">
        <f aca="true">IF($O438="","",$O438-TODAY())</f>
        <v/>
      </c>
      <c r="M438" s="12" t="str">
        <f aca="true">IF(AND(TRIM($A438)="Finalized",$K438&lt;&gt;""),"",IF($D438="","",$D438+365-TODAY()))</f>
        <v/>
      </c>
      <c r="N438" s="12" t="str">
        <f aca="true">IF(AND(TRIM($A438)="Finalized",$K438&lt;&gt;""),"",IF($D438="","",$D438+365-TODAY()))</f>
        <v/>
      </c>
      <c r="O438" s="11" t="str">
        <f aca="false">IF(AND(TRIM($A438)="Finalized",$K438&lt;&gt;""),"",DATE(2026,8,31))</f>
        <v/>
      </c>
      <c r="P438" s="10" t="s">
        <v>165</v>
      </c>
      <c r="Q438" s="10" t="s">
        <v>371</v>
      </c>
      <c r="R438" s="10" t="s">
        <v>114</v>
      </c>
      <c r="S438" s="10" t="s">
        <v>116</v>
      </c>
      <c r="T438" s="10" t="s">
        <v>114</v>
      </c>
      <c r="U438" s="10" t="s">
        <v>116</v>
      </c>
      <c r="V438" s="10" t="s">
        <v>303</v>
      </c>
      <c r="W438" s="10" t="s">
        <v>119</v>
      </c>
      <c r="X438" s="10" t="s">
        <v>229</v>
      </c>
      <c r="Y438" s="10"/>
      <c r="Z438" s="10"/>
      <c r="AA438" s="10" t="s">
        <v>793</v>
      </c>
      <c r="AB438" s="8" t="n">
        <f aca="true">IF($F438="","",TODAY()-$F438)</f>
        <v>136</v>
      </c>
      <c r="AC438" s="10" t="s">
        <v>273</v>
      </c>
      <c r="AD438" s="10"/>
      <c r="AE438" s="10"/>
      <c r="AF438" s="10"/>
      <c r="AG438" s="10"/>
      <c r="AH438" s="10"/>
      <c r="AI438" s="10"/>
      <c r="AJ438" s="10" t="s">
        <v>123</v>
      </c>
      <c r="AK438" s="10" t="s">
        <v>247</v>
      </c>
      <c r="AL438" s="10"/>
      <c r="AM438" s="10"/>
      <c r="AN438" s="8"/>
      <c r="AO438" s="10" t="s">
        <v>1049</v>
      </c>
      <c r="AP438" s="10" t="s">
        <v>202</v>
      </c>
      <c r="AQ438" s="11" t="n">
        <v>46185</v>
      </c>
      <c r="AR438" s="13" t="s">
        <v>273</v>
      </c>
      <c r="AS438" s="13" t="s">
        <v>1696</v>
      </c>
      <c r="AT438" s="13"/>
      <c r="AU438" s="13"/>
      <c r="AV438" s="13"/>
      <c r="AW438" s="13"/>
      <c r="AX438" s="13"/>
      <c r="AY438" s="7" t="s">
        <v>465</v>
      </c>
      <c r="AZ438" s="7"/>
      <c r="BA438" s="7" t="s">
        <v>41</v>
      </c>
      <c r="BB438" s="7" t="s">
        <v>1696</v>
      </c>
      <c r="BC438" s="7"/>
      <c r="BD438" s="9"/>
      <c r="BE438" s="7"/>
      <c r="BF438" s="14" t="str">
        <f aca="true">IF(TRIM($A438)="Finalized","Closed",IF($BD438="","No review date set",IF($BD438&lt;TODAY(),"OVERDUE",IF($BD438-TODAY()&lt;=7,"Due within 7 days","Scheduled"))))</f>
        <v>Closed</v>
      </c>
      <c r="BG438" s="14" t="n">
        <f aca="true">IF($K438="","",TODAY()-$K438)</f>
        <v>39</v>
      </c>
      <c r="BH438" s="15" t="str">
        <f aca="false">IFERROR(LEFT(IF($B438="","Notes, ","")&amp;IF($K438="","Latest Date Worked, ","")&amp;IF($AY438="","Last Action, ","")&amp;IF(AND(OR(TRIM($A438)="Denied",TRIM($A438)="Rejected"),$BA438=""),"Denial Reason, ","")&amp;IF(AND(TRIM($A438)="Denied",$BB438="",TRIM($BA438)&lt;&gt;"NO DENIAL"),"Denial Code, ","")&amp;IF(AND(TRIM($A438)&lt;&gt;"Finalized",$BD438=""),"Next Review Date, ","")&amp;IF(AND(TRIM($A438)&lt;&gt;"Finalized",$BE438=""),"Next Step, ","")&amp;IF(AND(TRIM($A438)="Finalized",$AV438="",$AR438="",$AT438="",$AX438="",$AW438=""),"CPT outcome, ",""),LEN(IF($B438="","Notes, ","")&amp;IF($K438="","Latest Date Worked, ","")&amp;IF($AY438="","Last Action, ","")&amp;IF(AND(OR(TRIM($A438)="Denied",TRIM($A438)="Rejected"),$BA438=""),"Denial Reason, ","")&amp;IF(AND(TRIM($A438)="Denied",$BB438="",TRIM($BA438)&lt;&gt;"NO DENIAL"),"Denial Code, ","")&amp;IF(AND(TRIM($A438)&lt;&gt;"Finalized",$BD438=""),"Next Review Date, ","")&amp;IF(AND(TRIM($A438)&lt;&gt;"Finalized",$BE438=""),"Next Step, ","")&amp;IF(AND(TRIM($A438)="Finalized",$AV438="",$AR438="",$AT438="",$AX438="",$AW438=""),"CPT outcome, ",""))-2),"")</f>
        <v/>
      </c>
      <c r="BI438" s="15" t="str">
        <f aca="false">IF($BB438="","",IFERROR(INDEX('Denial Codes'!$C:$C,MATCH(LEFT($BB438,FIND(" - ",$BB438&amp;" - ")+2)&amp;"*",'Denial Codes'!$A:$A,0)),""))</f>
        <v>Not covered by plan</v>
      </c>
      <c r="BJ438" s="15" t="str">
        <f aca="false">IF($BA438="","",IFERROR(INDEX(Lists!$B:$B,MATCH(TRIM($BA438),Lists!$A:$A,0))&amp;"",""))</f>
        <v>Confirm benefits; bill the patient if an ABN/waiver is on file, otherwise appeal or adjust.</v>
      </c>
    </row>
    <row r="439" customFormat="false" ht="15" hidden="false" customHeight="false" outlineLevel="0" collapsed="false">
      <c r="A439" s="7" t="s">
        <v>16</v>
      </c>
      <c r="B439" s="7" t="s">
        <v>1702</v>
      </c>
      <c r="C439" s="8" t="n">
        <v>559770046</v>
      </c>
      <c r="D439" s="9" t="n">
        <v>46223</v>
      </c>
      <c r="E439" s="10" t="s">
        <v>1703</v>
      </c>
      <c r="F439" s="11" t="n">
        <v>46146</v>
      </c>
      <c r="G439" s="10" t="s">
        <v>746</v>
      </c>
      <c r="H439" s="10" t="s">
        <v>746</v>
      </c>
      <c r="I439" s="10" t="s">
        <v>129</v>
      </c>
      <c r="J439" s="10" t="s">
        <v>272</v>
      </c>
      <c r="K439" s="9" t="n">
        <v>46248</v>
      </c>
      <c r="L439" s="12" t="str">
        <f aca="true">IF($O439="","",$O439-TODAY())</f>
        <v/>
      </c>
      <c r="M439" s="12"/>
      <c r="N439" s="12" t="str">
        <f aca="true">IF(AND(TRIM($A439)="Finalized",$K439&lt;&gt;""),"",IF($D439="","",$D439+65-TODAY()))</f>
        <v/>
      </c>
      <c r="O439" s="11" t="str">
        <f aca="false">IF(AND(TRIM($A439)="Finalized",$K439&lt;&gt;""),"",DATE(2026,9,1))</f>
        <v/>
      </c>
      <c r="P439" s="10" t="s">
        <v>117</v>
      </c>
      <c r="Q439" s="10" t="s">
        <v>748</v>
      </c>
      <c r="R439" s="10"/>
      <c r="S439" s="10"/>
      <c r="T439" s="10" t="s">
        <v>749</v>
      </c>
      <c r="U439" s="10" t="s">
        <v>116</v>
      </c>
      <c r="V439" s="10" t="s">
        <v>266</v>
      </c>
      <c r="W439" s="10" t="s">
        <v>119</v>
      </c>
      <c r="X439" s="10" t="s">
        <v>120</v>
      </c>
      <c r="Y439" s="10"/>
      <c r="Z439" s="10"/>
      <c r="AA439" s="10" t="s">
        <v>121</v>
      </c>
      <c r="AB439" s="8" t="n">
        <f aca="true">IF($F439="","",TODAY()-$F439)</f>
        <v>165</v>
      </c>
      <c r="AC439" s="10" t="s">
        <v>273</v>
      </c>
      <c r="AD439" s="10"/>
      <c r="AE439" s="10"/>
      <c r="AF439" s="10"/>
      <c r="AG439" s="10"/>
      <c r="AH439" s="10"/>
      <c r="AI439" s="10"/>
      <c r="AJ439" s="10" t="s">
        <v>123</v>
      </c>
      <c r="AK439" s="10"/>
      <c r="AL439" s="10"/>
      <c r="AM439" s="10"/>
      <c r="AN439" s="8"/>
      <c r="AO439" s="10" t="s">
        <v>569</v>
      </c>
      <c r="AP439" s="10" t="s">
        <v>188</v>
      </c>
      <c r="AQ439" s="11" t="n">
        <v>46162</v>
      </c>
      <c r="AR439" s="13"/>
      <c r="AS439" s="13"/>
      <c r="AT439" s="13"/>
      <c r="AU439" s="13"/>
      <c r="AV439" s="13"/>
      <c r="AW439" s="13"/>
      <c r="AX439" s="13"/>
      <c r="AY439" s="7" t="s">
        <v>411</v>
      </c>
      <c r="AZ439" s="7"/>
      <c r="BA439" s="7" t="s">
        <v>34</v>
      </c>
      <c r="BB439" s="7"/>
      <c r="BC439" s="7"/>
      <c r="BD439" s="9"/>
      <c r="BE439" s="7"/>
      <c r="BF439" s="14" t="str">
        <f aca="true">IF(TRIM($A439)="Finalized","Closed",IF($BD439="","No review date set",IF($BD439&lt;TODAY(),"OVERDUE",IF($BD439-TODAY()&lt;=7,"Due within 7 days","Scheduled"))))</f>
        <v>Closed</v>
      </c>
      <c r="BG439" s="14" t="n">
        <f aca="true">IF($K439="","",TODAY()-$K439)</f>
        <v>63</v>
      </c>
      <c r="BH439" s="15" t="str">
        <f aca="false">IFERROR(LEFT(IF($B439="","Notes, ","")&amp;IF($K439="","Latest Date Worked, ","")&amp;IF($AY439="","Last Action, ","")&amp;IF(AND(OR(TRIM($A439)="Denied",TRIM($A439)="Rejected"),$BA439=""),"Denial Reason, ","")&amp;IF(AND(TRIM($A439)="Denied",$BB439="",TRIM($BA439)&lt;&gt;"NO DENIAL"),"Denial Code, ","")&amp;IF(AND(TRIM($A439)&lt;&gt;"Finalized",$BD439=""),"Next Review Date, ","")&amp;IF(AND(TRIM($A439)&lt;&gt;"Finalized",$BE439=""),"Next Step, ","")&amp;IF(AND(TRIM($A439)="Finalized",$AV439="",$AR439="",$AT439="",$AX439="",$AW439=""),"CPT outcome, ",""),LEN(IF($B439="","Notes, ","")&amp;IF($K439="","Latest Date Worked, ","")&amp;IF($AY439="","Last Action, ","")&amp;IF(AND(OR(TRIM($A439)="Denied",TRIM($A439)="Rejected"),$BA439=""),"Denial Reason, ","")&amp;IF(AND(TRIM($A439)="Denied",$BB439="",TRIM($BA439)&lt;&gt;"NO DENIAL"),"Denial Code, ","")&amp;IF(AND(TRIM($A439)&lt;&gt;"Finalized",$BD439=""),"Next Review Date, ","")&amp;IF(AND(TRIM($A439)&lt;&gt;"Finalized",$BE439=""),"Next Step, ","")&amp;IF(AND(TRIM($A439)="Finalized",$AV439="",$AR439="",$AT439="",$AX439="",$AW439=""),"CPT outcome, ",""))-2),"")</f>
        <v>CPT outcome</v>
      </c>
      <c r="BI439" s="15" t="str">
        <f aca="false">IF($BB439="","",IFERROR(INDEX('Denial Codes'!$C:$C,MATCH(LEFT($BB439,FIND(" - ",$BB439&amp;" - ")+2)&amp;"*",'Denial Codes'!$A:$A,0)),""))</f>
        <v/>
      </c>
      <c r="BJ439" s="15" t="str">
        <f aca="false">IF($BA439="","",IFERROR(INDEX(Lists!$B:$B,MATCH(TRIM($BA439),Lists!$A:$A,0))&amp;"",""))</f>
        <v>Check the portal for an auth; request a retro-auth or file an appeal with the auth number, then resubmit.</v>
      </c>
    </row>
    <row r="440" customFormat="false" ht="15" hidden="false" customHeight="false" outlineLevel="0" collapsed="false">
      <c r="A440" s="7" t="s">
        <v>16</v>
      </c>
      <c r="B440" s="7" t="s">
        <v>1704</v>
      </c>
      <c r="C440" s="8" t="n">
        <v>561650229</v>
      </c>
      <c r="D440" s="9" t="n">
        <v>46195</v>
      </c>
      <c r="E440" s="10" t="s">
        <v>1671</v>
      </c>
      <c r="F440" s="11" t="n">
        <v>46146</v>
      </c>
      <c r="G440" s="10" t="s">
        <v>738</v>
      </c>
      <c r="H440" s="10" t="s">
        <v>738</v>
      </c>
      <c r="I440" s="10" t="s">
        <v>129</v>
      </c>
      <c r="J440" s="10" t="s">
        <v>1705</v>
      </c>
      <c r="K440" s="9" t="n">
        <v>46248</v>
      </c>
      <c r="L440" s="12" t="str">
        <f aca="true">IF($O440="","",$O440-TODAY())</f>
        <v/>
      </c>
      <c r="M440" s="12" t="str">
        <f aca="true">IF(AND(TRIM($A440)="Finalized",$K440&lt;&gt;""),"",IF($D440="","",$D440+180-TODAY()))</f>
        <v/>
      </c>
      <c r="N440" s="12" t="str">
        <f aca="true">IF(AND(TRIM($A440)="Finalized",$K440&lt;&gt;""),"",IF($D440="","",$D440+180-TODAY()))</f>
        <v/>
      </c>
      <c r="O440" s="11" t="str">
        <f aca="false">IF(AND(TRIM($A440)="Finalized",$K440&lt;&gt;""),"",DATE(2026,9,1))</f>
        <v/>
      </c>
      <c r="P440" s="10" t="s">
        <v>117</v>
      </c>
      <c r="Q440" s="10" t="s">
        <v>740</v>
      </c>
      <c r="R440" s="10" t="s">
        <v>147</v>
      </c>
      <c r="S440" s="10" t="s">
        <v>116</v>
      </c>
      <c r="T440" s="10" t="s">
        <v>147</v>
      </c>
      <c r="U440" s="10" t="s">
        <v>116</v>
      </c>
      <c r="V440" s="10" t="s">
        <v>266</v>
      </c>
      <c r="W440" s="10" t="s">
        <v>434</v>
      </c>
      <c r="X440" s="10" t="s">
        <v>134</v>
      </c>
      <c r="Y440" s="10"/>
      <c r="Z440" s="10"/>
      <c r="AA440" s="10" t="s">
        <v>683</v>
      </c>
      <c r="AB440" s="8" t="n">
        <f aca="true">IF($F440="","",TODAY()-$F440)</f>
        <v>165</v>
      </c>
      <c r="AC440" s="10" t="s">
        <v>442</v>
      </c>
      <c r="AD440" s="10" t="s">
        <v>443</v>
      </c>
      <c r="AE440" s="10"/>
      <c r="AF440" s="10"/>
      <c r="AG440" s="10"/>
      <c r="AH440" s="10"/>
      <c r="AI440" s="10"/>
      <c r="AJ440" s="10" t="s">
        <v>579</v>
      </c>
      <c r="AK440" s="10" t="s">
        <v>445</v>
      </c>
      <c r="AL440" s="10" t="s">
        <v>622</v>
      </c>
      <c r="AM440" s="10"/>
      <c r="AN440" s="8"/>
      <c r="AO440" s="10" t="s">
        <v>447</v>
      </c>
      <c r="AP440" s="10" t="s">
        <v>327</v>
      </c>
      <c r="AQ440" s="11" t="n">
        <v>46182</v>
      </c>
      <c r="AR440" s="13" t="s">
        <v>442</v>
      </c>
      <c r="AS440" s="13" t="s">
        <v>623</v>
      </c>
      <c r="AT440" s="13"/>
      <c r="AU440" s="13"/>
      <c r="AV440" s="13"/>
      <c r="AW440" s="13" t="s">
        <v>443</v>
      </c>
      <c r="AX440" s="13" t="s">
        <v>443</v>
      </c>
      <c r="AY440" s="7"/>
      <c r="AZ440" s="7"/>
      <c r="BA440" s="7" t="s">
        <v>37</v>
      </c>
      <c r="BB440" s="7" t="s">
        <v>1706</v>
      </c>
      <c r="BC440" s="7"/>
      <c r="BD440" s="9"/>
      <c r="BE440" s="7"/>
      <c r="BF440" s="14" t="str">
        <f aca="true">IF(TRIM($A440)="Finalized","Closed",IF($BD440="","No review date set",IF($BD440&lt;TODAY(),"OVERDUE",IF($BD440-TODAY()&lt;=7,"Due within 7 days","Scheduled"))))</f>
        <v>Closed</v>
      </c>
      <c r="BG440" s="14" t="n">
        <f aca="true">IF($K440="","",TODAY()-$K440)</f>
        <v>63</v>
      </c>
      <c r="BH440" s="15" t="str">
        <f aca="false">IFERROR(LEFT(IF($B440="","Notes, ","")&amp;IF($K440="","Latest Date Worked, ","")&amp;IF($AY440="","Last Action, ","")&amp;IF(AND(OR(TRIM($A440)="Denied",TRIM($A440)="Rejected"),$BA440=""),"Denial Reason, ","")&amp;IF(AND(TRIM($A440)="Denied",$BB440="",TRIM($BA440)&lt;&gt;"NO DENIAL"),"Denial Code, ","")&amp;IF(AND(TRIM($A440)&lt;&gt;"Finalized",$BD440=""),"Next Review Date, ","")&amp;IF(AND(TRIM($A440)&lt;&gt;"Finalized",$BE440=""),"Next Step, ","")&amp;IF(AND(TRIM($A440)="Finalized",$AV440="",$AR440="",$AT440="",$AX440="",$AW440=""),"CPT outcome, ",""),LEN(IF($B440="","Notes, ","")&amp;IF($K440="","Latest Date Worked, ","")&amp;IF($AY440="","Last Action, ","")&amp;IF(AND(OR(TRIM($A440)="Denied",TRIM($A440)="Rejected"),$BA440=""),"Denial Reason, ","")&amp;IF(AND(TRIM($A440)="Denied",$BB440="",TRIM($BA440)&lt;&gt;"NO DENIAL"),"Denial Code, ","")&amp;IF(AND(TRIM($A440)&lt;&gt;"Finalized",$BD440=""),"Next Review Date, ","")&amp;IF(AND(TRIM($A440)&lt;&gt;"Finalized",$BE440=""),"Next Step, ","")&amp;IF(AND(TRIM($A440)="Finalized",$AV440="",$AR440="",$AT440="",$AX440="",$AW440=""),"CPT outcome, ",""))-2),"")</f>
        <v>Last Action</v>
      </c>
      <c r="BI440" s="15" t="str">
        <f aca="false">IF($BB440="","",IFERROR(INDEX('Denial Codes'!$C:$C,MATCH(LEFT($BB440,FIND(" - ",$BB440&amp;" - ")+2)&amp;"*",'Denial Codes'!$A:$A,0)),""))</f>
        <v>Bundled / NCCI edit</v>
      </c>
      <c r="BJ440" s="15" t="str">
        <f aca="false">IF($BA440="","",IFERROR(INDEX(Lists!$B:$B,MATCH(TRIM($BA440),Lists!$A:$A,0))&amp;"",""))</f>
        <v>Check the NCCI pair; if the service was distinct, add 59/XU (or XS) and resubmit; otherwise adjust.</v>
      </c>
    </row>
    <row r="441" customFormat="false" ht="15" hidden="false" customHeight="false" outlineLevel="0" collapsed="false">
      <c r="A441" s="7" t="s">
        <v>16</v>
      </c>
      <c r="B441" s="7" t="s">
        <v>20</v>
      </c>
      <c r="C441" s="8" t="n">
        <v>563010537</v>
      </c>
      <c r="D441" s="9" t="n">
        <v>46273</v>
      </c>
      <c r="E441" s="10" t="s">
        <v>1707</v>
      </c>
      <c r="F441" s="11" t="n">
        <v>46176</v>
      </c>
      <c r="G441" s="10" t="s">
        <v>460</v>
      </c>
      <c r="H441" s="10" t="s">
        <v>460</v>
      </c>
      <c r="I441" s="10" t="s">
        <v>129</v>
      </c>
      <c r="J441" s="10" t="s">
        <v>194</v>
      </c>
      <c r="K441" s="9" t="n">
        <v>46284</v>
      </c>
      <c r="L441" s="12" t="str">
        <f aca="true">IF($O441="","",$O441-TODAY())</f>
        <v/>
      </c>
      <c r="M441" s="12" t="str">
        <f aca="true">IF(AND(TRIM($A441)="Finalized",$K441&lt;&gt;""),"",IF($D441="","",$D441+180-TODAY()))</f>
        <v/>
      </c>
      <c r="N441" s="12" t="str">
        <f aca="true">IF(AND(TRIM($A441)="Finalized",$K441&lt;&gt;""),"",IF($D441="","",$D441+365-TODAY()))</f>
        <v/>
      </c>
      <c r="O441" s="11" t="str">
        <f aca="false">IF(AND(TRIM($A441)="Finalized",$K441&lt;&gt;""),"",DATE(2026,9,1))</f>
        <v/>
      </c>
      <c r="P441" s="10" t="s">
        <v>165</v>
      </c>
      <c r="Q441" s="10" t="s">
        <v>462</v>
      </c>
      <c r="R441" s="10" t="s">
        <v>147</v>
      </c>
      <c r="S441" s="10" t="s">
        <v>116</v>
      </c>
      <c r="T441" s="10" t="s">
        <v>114</v>
      </c>
      <c r="U441" s="10" t="s">
        <v>116</v>
      </c>
      <c r="V441" s="10" t="s">
        <v>303</v>
      </c>
      <c r="W441" s="10" t="s">
        <v>196</v>
      </c>
      <c r="X441" s="10"/>
      <c r="Y441" s="10"/>
      <c r="Z441" s="10"/>
      <c r="AA441" s="10" t="s">
        <v>197</v>
      </c>
      <c r="AB441" s="8" t="n">
        <f aca="true">IF($F441="","",TODAY()-$F441)</f>
        <v>135</v>
      </c>
      <c r="AC441" s="10" t="s">
        <v>198</v>
      </c>
      <c r="AD441" s="10"/>
      <c r="AE441" s="10"/>
      <c r="AF441" s="10"/>
      <c r="AG441" s="10"/>
      <c r="AH441" s="10"/>
      <c r="AI441" s="10"/>
      <c r="AJ441" s="10" t="s">
        <v>552</v>
      </c>
      <c r="AK441" s="10" t="s">
        <v>444</v>
      </c>
      <c r="AL441" s="10" t="s">
        <v>579</v>
      </c>
      <c r="AM441" s="10"/>
      <c r="AN441" s="8"/>
      <c r="AO441" s="10" t="s">
        <v>255</v>
      </c>
      <c r="AP441" s="10" t="s">
        <v>268</v>
      </c>
      <c r="AQ441" s="11" t="n">
        <v>46195</v>
      </c>
      <c r="AR441" s="13"/>
      <c r="AS441" s="13"/>
      <c r="AT441" s="13"/>
      <c r="AU441" s="13"/>
      <c r="AV441" s="13" t="s">
        <v>198</v>
      </c>
      <c r="AW441" s="13"/>
      <c r="AX441" s="13"/>
      <c r="AY441" s="7" t="s">
        <v>363</v>
      </c>
      <c r="AZ441" s="7"/>
      <c r="BA441" s="7"/>
      <c r="BB441" s="7"/>
      <c r="BC441" s="7"/>
      <c r="BD441" s="9"/>
      <c r="BE441" s="7"/>
      <c r="BF441" s="14" t="str">
        <f aca="true">IF(TRIM($A441)="Finalized","Closed",IF($BD441="","No review date set",IF($BD441&lt;TODAY(),"OVERDUE",IF($BD441-TODAY()&lt;=7,"Due within 7 days","Scheduled"))))</f>
        <v>Closed</v>
      </c>
      <c r="BG441" s="14" t="n">
        <f aca="true">IF($K441="","",TODAY()-$K441)</f>
        <v>27</v>
      </c>
      <c r="BH441" s="15" t="str">
        <f aca="false">IFERROR(LEFT(IF($B441="","Notes, ","")&amp;IF($K441="","Latest Date Worked, ","")&amp;IF($AY441="","Last Action, ","")&amp;IF(AND(OR(TRIM($A441)="Denied",TRIM($A441)="Rejected"),$BA441=""),"Denial Reason, ","")&amp;IF(AND(TRIM($A441)="Denied",$BB441="",TRIM($BA441)&lt;&gt;"NO DENIAL"),"Denial Code, ","")&amp;IF(AND(TRIM($A441)&lt;&gt;"Finalized",$BD441=""),"Next Review Date, ","")&amp;IF(AND(TRIM($A441)&lt;&gt;"Finalized",$BE441=""),"Next Step, ","")&amp;IF(AND(TRIM($A441)="Finalized",$AV441="",$AR441="",$AT441="",$AX441="",$AW441=""),"CPT outcome, ",""),LEN(IF($B441="","Notes, ","")&amp;IF($K441="","Latest Date Worked, ","")&amp;IF($AY441="","Last Action, ","")&amp;IF(AND(OR(TRIM($A441)="Denied",TRIM($A441)="Rejected"),$BA441=""),"Denial Reason, ","")&amp;IF(AND(TRIM($A441)="Denied",$BB441="",TRIM($BA441)&lt;&gt;"NO DENIAL"),"Denial Code, ","")&amp;IF(AND(TRIM($A441)&lt;&gt;"Finalized",$BD441=""),"Next Review Date, ","")&amp;IF(AND(TRIM($A441)&lt;&gt;"Finalized",$BE441=""),"Next Step, ","")&amp;IF(AND(TRIM($A441)="Finalized",$AV441="",$AR441="",$AT441="",$AX441="",$AW441=""),"CPT outcome, ",""))-2),"")</f>
        <v/>
      </c>
      <c r="BI441" s="15" t="str">
        <f aca="false">IF($BB441="","",IFERROR(INDEX('Denial Codes'!$C:$C,MATCH(LEFT($BB441,FIND(" - ",$BB441&amp;" - ")+2)&amp;"*",'Denial Codes'!$A:$A,0)),""))</f>
        <v/>
      </c>
      <c r="BJ441" s="15" t="str">
        <f aca="false">IF($BA441="","",IFERROR(INDEX(Lists!$B:$B,MATCH(TRIM($BA441),Lists!$A:$A,0))&amp;"",""))</f>
        <v/>
      </c>
    </row>
    <row r="442" customFormat="false" ht="15" hidden="false" customHeight="false" outlineLevel="0" collapsed="false">
      <c r="A442" s="7" t="s">
        <v>16</v>
      </c>
      <c r="B442" s="7" t="s">
        <v>1708</v>
      </c>
      <c r="C442" s="8" t="n">
        <v>560032270</v>
      </c>
      <c r="D442" s="9" t="n">
        <v>46185</v>
      </c>
      <c r="E442" s="10" t="s">
        <v>1709</v>
      </c>
      <c r="F442" s="11" t="n">
        <v>46147</v>
      </c>
      <c r="G442" s="10" t="s">
        <v>111</v>
      </c>
      <c r="H442" s="10" t="s">
        <v>111</v>
      </c>
      <c r="I442" s="10" t="s">
        <v>129</v>
      </c>
      <c r="J442" s="10" t="s">
        <v>194</v>
      </c>
      <c r="K442" s="9" t="n">
        <v>46252</v>
      </c>
      <c r="L442" s="12" t="str">
        <f aca="true">IF($O442="","",$O442-TODAY())</f>
        <v/>
      </c>
      <c r="M442" s="12" t="str">
        <f aca="true">IF(AND(TRIM($A442)="Finalized",$K442&lt;&gt;""),"",IF($D442="","",$D442+180-TODAY()))</f>
        <v/>
      </c>
      <c r="N442" s="12" t="str">
        <f aca="true">IF(AND(TRIM($A442)="Finalized",$K442&lt;&gt;""),"",IF($D442="","",$D442+180-TODAY()))</f>
        <v/>
      </c>
      <c r="O442" s="11" t="str">
        <f aca="false">IF(AND(TRIM($A442)="Finalized",$K442&lt;&gt;""),"",DATE(2026,9,2))</f>
        <v/>
      </c>
      <c r="P442" s="10" t="s">
        <v>117</v>
      </c>
      <c r="Q442" s="10" t="s">
        <v>609</v>
      </c>
      <c r="R442" s="10" t="s">
        <v>147</v>
      </c>
      <c r="S442" s="10" t="s">
        <v>116</v>
      </c>
      <c r="T442" s="10" t="s">
        <v>147</v>
      </c>
      <c r="U442" s="10" t="s">
        <v>116</v>
      </c>
      <c r="V442" s="10" t="s">
        <v>266</v>
      </c>
      <c r="W442" s="10" t="s">
        <v>196</v>
      </c>
      <c r="X442" s="10"/>
      <c r="Y442" s="10"/>
      <c r="Z442" s="10"/>
      <c r="AA442" s="10" t="s">
        <v>197</v>
      </c>
      <c r="AB442" s="8" t="n">
        <f aca="true">IF($F442="","",TODAY()-$F442)</f>
        <v>164</v>
      </c>
      <c r="AC442" s="10" t="s">
        <v>198</v>
      </c>
      <c r="AD442" s="10"/>
      <c r="AE442" s="10"/>
      <c r="AF442" s="10"/>
      <c r="AG442" s="10"/>
      <c r="AH442" s="10"/>
      <c r="AI442" s="10"/>
      <c r="AJ442" s="10" t="s">
        <v>375</v>
      </c>
      <c r="AK442" s="10"/>
      <c r="AL442" s="10"/>
      <c r="AM442" s="10"/>
      <c r="AN442" s="8"/>
      <c r="AO442" s="10" t="s">
        <v>201</v>
      </c>
      <c r="AP442" s="10" t="s">
        <v>202</v>
      </c>
      <c r="AQ442" s="11" t="n">
        <v>46164</v>
      </c>
      <c r="AR442" s="13"/>
      <c r="AS442" s="13"/>
      <c r="AT442" s="13"/>
      <c r="AU442" s="13"/>
      <c r="AV442" s="13" t="s">
        <v>198</v>
      </c>
      <c r="AW442" s="13"/>
      <c r="AX442" s="13" t="s">
        <v>198</v>
      </c>
      <c r="AY442" s="7" t="s">
        <v>363</v>
      </c>
      <c r="AZ442" s="7"/>
      <c r="BA442" s="7" t="s">
        <v>37</v>
      </c>
      <c r="BB442" s="7" t="s">
        <v>1634</v>
      </c>
      <c r="BC442" s="7"/>
      <c r="BD442" s="9"/>
      <c r="BE442" s="7"/>
      <c r="BF442" s="14" t="str">
        <f aca="true">IF(TRIM($A442)="Finalized","Closed",IF($BD442="","No review date set",IF($BD442&lt;TODAY(),"OVERDUE",IF($BD442-TODAY()&lt;=7,"Due within 7 days","Scheduled"))))</f>
        <v>Closed</v>
      </c>
      <c r="BG442" s="14" t="n">
        <f aca="true">IF($K442="","",TODAY()-$K442)</f>
        <v>59</v>
      </c>
      <c r="BH442" s="15" t="str">
        <f aca="false">IFERROR(LEFT(IF($B442="","Notes, ","")&amp;IF($K442="","Latest Date Worked, ","")&amp;IF($AY442="","Last Action, ","")&amp;IF(AND(OR(TRIM($A442)="Denied",TRIM($A442)="Rejected"),$BA442=""),"Denial Reason, ","")&amp;IF(AND(TRIM($A442)="Denied",$BB442="",TRIM($BA442)&lt;&gt;"NO DENIAL"),"Denial Code, ","")&amp;IF(AND(TRIM($A442)&lt;&gt;"Finalized",$BD442=""),"Next Review Date, ","")&amp;IF(AND(TRIM($A442)&lt;&gt;"Finalized",$BE442=""),"Next Step, ","")&amp;IF(AND(TRIM($A442)="Finalized",$AV442="",$AR442="",$AT442="",$AX442="",$AW442=""),"CPT outcome, ",""),LEN(IF($B442="","Notes, ","")&amp;IF($K442="","Latest Date Worked, ","")&amp;IF($AY442="","Last Action, ","")&amp;IF(AND(OR(TRIM($A442)="Denied",TRIM($A442)="Rejected"),$BA442=""),"Denial Reason, ","")&amp;IF(AND(TRIM($A442)="Denied",$BB442="",TRIM($BA442)&lt;&gt;"NO DENIAL"),"Denial Code, ","")&amp;IF(AND(TRIM($A442)&lt;&gt;"Finalized",$BD442=""),"Next Review Date, ","")&amp;IF(AND(TRIM($A442)&lt;&gt;"Finalized",$BE442=""),"Next Step, ","")&amp;IF(AND(TRIM($A442)="Finalized",$AV442="",$AR442="",$AT442="",$AX442="",$AW442=""),"CPT outcome, ",""))-2),"")</f>
        <v/>
      </c>
      <c r="BI442" s="15" t="str">
        <f aca="false">IF($BB442="","",IFERROR(INDEX('Denial Codes'!$C:$C,MATCH(LEFT($BB442,FIND(" - ",$BB442&amp;" - ")+2)&amp;"*",'Denial Codes'!$A:$A,0)),""))</f>
        <v>Bundled / NCCI edit</v>
      </c>
      <c r="BJ442" s="15" t="str">
        <f aca="false">IF($BA442="","",IFERROR(INDEX(Lists!$B:$B,MATCH(TRIM($BA442),Lists!$A:$A,0))&amp;"",""))</f>
        <v>Check the NCCI pair; if the service was distinct, add 59/XU (or XS) and resubmit; otherwise adjust.</v>
      </c>
    </row>
    <row r="443" customFormat="false" ht="15" hidden="false" customHeight="false" outlineLevel="0" collapsed="false">
      <c r="A443" s="7" t="s">
        <v>16</v>
      </c>
      <c r="B443" s="7" t="s">
        <v>1710</v>
      </c>
      <c r="C443" s="8" t="n">
        <v>561646907</v>
      </c>
      <c r="D443" s="9" t="n">
        <v>46225</v>
      </c>
      <c r="E443" s="10" t="s">
        <v>1626</v>
      </c>
      <c r="F443" s="11" t="n">
        <v>46178</v>
      </c>
      <c r="G443" s="10" t="s">
        <v>1245</v>
      </c>
      <c r="H443" s="10" t="s">
        <v>347</v>
      </c>
      <c r="I443" s="10" t="s">
        <v>1245</v>
      </c>
      <c r="J443" s="10" t="s">
        <v>370</v>
      </c>
      <c r="K443" s="9" t="n">
        <v>46284</v>
      </c>
      <c r="L443" s="12" t="str">
        <f aca="true">IF($O443="","",$O443-TODAY())</f>
        <v/>
      </c>
      <c r="M443" s="12" t="str">
        <f aca="true">IF(AND(TRIM($A443)="Finalized",$K443&lt;&gt;""),"",IF($F443="","",$F443+90-TODAY()))</f>
        <v/>
      </c>
      <c r="N443" s="12" t="str">
        <f aca="true">IF(AND(TRIM($A443)="Finalized",$K443&lt;&gt;""),"",IF($D443="","",$D443+540-TODAY()))</f>
        <v/>
      </c>
      <c r="O443" s="11" t="str">
        <f aca="false">IF(AND(TRIM($A443)="Finalized",$K443&lt;&gt;""),"",DATE(2026,9,3))</f>
        <v/>
      </c>
      <c r="P443" s="10" t="s">
        <v>165</v>
      </c>
      <c r="Q443" s="10" t="s">
        <v>348</v>
      </c>
      <c r="R443" s="10" t="s">
        <v>165</v>
      </c>
      <c r="S443" s="10" t="s">
        <v>149</v>
      </c>
      <c r="T443" s="10" t="s">
        <v>349</v>
      </c>
      <c r="U443" s="10" t="s">
        <v>116</v>
      </c>
      <c r="V443" s="10" t="s">
        <v>303</v>
      </c>
      <c r="W443" s="10" t="s">
        <v>183</v>
      </c>
      <c r="X443" s="10"/>
      <c r="Y443" s="10"/>
      <c r="Z443" s="10"/>
      <c r="AA443" s="10" t="s">
        <v>197</v>
      </c>
      <c r="AB443" s="8" t="n">
        <f aca="true">IF($F443="","",TODAY()-$F443)</f>
        <v>133</v>
      </c>
      <c r="AC443" s="10" t="s">
        <v>211</v>
      </c>
      <c r="AD443" s="10"/>
      <c r="AE443" s="10"/>
      <c r="AF443" s="10"/>
      <c r="AG443" s="10"/>
      <c r="AH443" s="10"/>
      <c r="AI443" s="10"/>
      <c r="AJ443" s="10" t="s">
        <v>212</v>
      </c>
      <c r="AK443" s="10"/>
      <c r="AL443" s="10"/>
      <c r="AM443" s="10"/>
      <c r="AN443" s="8" t="s">
        <v>1711</v>
      </c>
      <c r="AO443" s="10" t="s">
        <v>255</v>
      </c>
      <c r="AP443" s="10" t="s">
        <v>188</v>
      </c>
      <c r="AQ443" s="11" t="n">
        <v>46217</v>
      </c>
      <c r="AR443" s="13"/>
      <c r="AS443" s="13"/>
      <c r="AT443" s="13"/>
      <c r="AU443" s="13"/>
      <c r="AV443" s="13" t="s">
        <v>214</v>
      </c>
      <c r="AW443" s="13"/>
      <c r="AX443" s="13"/>
      <c r="AY443" s="7" t="s">
        <v>363</v>
      </c>
      <c r="AZ443" s="7" t="s">
        <v>1712</v>
      </c>
      <c r="BA443" s="7" t="s">
        <v>42</v>
      </c>
      <c r="BB443" s="7" t="s">
        <v>1696</v>
      </c>
      <c r="BC443" s="7"/>
      <c r="BD443" s="9"/>
      <c r="BE443" s="7"/>
      <c r="BF443" s="14" t="str">
        <f aca="true">IF(TRIM($A443)="Finalized","Closed",IF($BD443="","No review date set",IF($BD443&lt;TODAY(),"OVERDUE",IF($BD443-TODAY()&lt;=7,"Due within 7 days","Scheduled"))))</f>
        <v>Closed</v>
      </c>
      <c r="BG443" s="14" t="n">
        <f aca="true">IF($K443="","",TODAY()-$K443)</f>
        <v>27</v>
      </c>
      <c r="BH443" s="15" t="str">
        <f aca="false">IFERROR(LEFT(IF($B443="","Notes, ","")&amp;IF($K443="","Latest Date Worked, ","")&amp;IF($AY443="","Last Action, ","")&amp;IF(AND(OR(TRIM($A443)="Denied",TRIM($A443)="Rejected"),$BA443=""),"Denial Reason, ","")&amp;IF(AND(TRIM($A443)="Denied",$BB443="",TRIM($BA443)&lt;&gt;"NO DENIAL"),"Denial Code, ","")&amp;IF(AND(TRIM($A443)&lt;&gt;"Finalized",$BD443=""),"Next Review Date, ","")&amp;IF(AND(TRIM($A443)&lt;&gt;"Finalized",$BE443=""),"Next Step, ","")&amp;IF(AND(TRIM($A443)="Finalized",$AV443="",$AR443="",$AT443="",$AX443="",$AW443=""),"CPT outcome, ",""),LEN(IF($B443="","Notes, ","")&amp;IF($K443="","Latest Date Worked, ","")&amp;IF($AY443="","Last Action, ","")&amp;IF(AND(OR(TRIM($A443)="Denied",TRIM($A443)="Rejected"),$BA443=""),"Denial Reason, ","")&amp;IF(AND(TRIM($A443)="Denied",$BB443="",TRIM($BA443)&lt;&gt;"NO DENIAL"),"Denial Code, ","")&amp;IF(AND(TRIM($A443)&lt;&gt;"Finalized",$BD443=""),"Next Review Date, ","")&amp;IF(AND(TRIM($A443)&lt;&gt;"Finalized",$BE443=""),"Next Step, ","")&amp;IF(AND(TRIM($A443)="Finalized",$AV443="",$AR443="",$AT443="",$AX443="",$AW443=""),"CPT outcome, ",""))-2),"")</f>
        <v/>
      </c>
      <c r="BI443" s="15" t="str">
        <f aca="false">IF($BB443="","",IFERROR(INDEX('Denial Codes'!$C:$C,MATCH(LEFT($BB443,FIND(" - ",$BB443&amp;" - ")+2)&amp;"*",'Denial Codes'!$A:$A,0)),""))</f>
        <v>Not covered by plan</v>
      </c>
      <c r="BJ443" s="15" t="str">
        <f aca="false">IF($BA443="","",IFERROR(INDEX(Lists!$B:$B,MATCH(TRIM($BA443),Lists!$A:$A,0))&amp;"",""))</f>
        <v/>
      </c>
    </row>
    <row r="444" customFormat="false" ht="15" hidden="false" customHeight="false" outlineLevel="0" collapsed="false">
      <c r="A444" s="7" t="s">
        <v>16</v>
      </c>
      <c r="B444" s="7" t="s">
        <v>1713</v>
      </c>
      <c r="C444" s="8" t="n">
        <v>571160597</v>
      </c>
      <c r="D444" s="9" t="n">
        <v>46278</v>
      </c>
      <c r="E444" s="10" t="s">
        <v>1714</v>
      </c>
      <c r="F444" s="11" t="n">
        <v>46182</v>
      </c>
      <c r="G444" s="10" t="s">
        <v>369</v>
      </c>
      <c r="H444" s="10" t="s">
        <v>369</v>
      </c>
      <c r="I444" s="10" t="s">
        <v>129</v>
      </c>
      <c r="J444" s="10" t="s">
        <v>486</v>
      </c>
      <c r="K444" s="9" t="n">
        <v>46288</v>
      </c>
      <c r="L444" s="12" t="str">
        <f aca="true">IF($O444="","",$O444-TODAY())</f>
        <v/>
      </c>
      <c r="M444" s="12" t="str">
        <f aca="true">IF(AND(TRIM($A444)="Finalized",$K444&lt;&gt;""),"",IF($D444="","",$D444+365-TODAY()))</f>
        <v/>
      </c>
      <c r="N444" s="12" t="str">
        <f aca="true">IF(AND(TRIM($A444)="Finalized",$K444&lt;&gt;""),"",IF($D444="","",$D444+365-TODAY()))</f>
        <v/>
      </c>
      <c r="O444" s="11" t="str">
        <f aca="false">IF(AND(TRIM($A444)="Finalized",$K444&lt;&gt;""),"",DATE(2026,9,7))</f>
        <v/>
      </c>
      <c r="P444" s="10" t="s">
        <v>165</v>
      </c>
      <c r="Q444" s="10" t="s">
        <v>371</v>
      </c>
      <c r="R444" s="10" t="s">
        <v>114</v>
      </c>
      <c r="S444" s="10" t="s">
        <v>116</v>
      </c>
      <c r="T444" s="10" t="s">
        <v>114</v>
      </c>
      <c r="U444" s="10" t="s">
        <v>116</v>
      </c>
      <c r="V444" s="10" t="s">
        <v>303</v>
      </c>
      <c r="W444" s="10" t="s">
        <v>196</v>
      </c>
      <c r="X444" s="10"/>
      <c r="Y444" s="10"/>
      <c r="Z444" s="10"/>
      <c r="AA444" s="10" t="s">
        <v>197</v>
      </c>
      <c r="AB444" s="8" t="n">
        <f aca="true">IF($F444="","",TODAY()-$F444)</f>
        <v>129</v>
      </c>
      <c r="AC444" s="10" t="s">
        <v>198</v>
      </c>
      <c r="AD444" s="10" t="s">
        <v>487</v>
      </c>
      <c r="AE444" s="10"/>
      <c r="AF444" s="10"/>
      <c r="AG444" s="10"/>
      <c r="AH444" s="10"/>
      <c r="AI444" s="10"/>
      <c r="AJ444" s="10" t="s">
        <v>267</v>
      </c>
      <c r="AK444" s="10"/>
      <c r="AL444" s="10"/>
      <c r="AM444" s="10"/>
      <c r="AN444" s="8"/>
      <c r="AO444" s="10" t="s">
        <v>201</v>
      </c>
      <c r="AP444" s="10" t="s">
        <v>202</v>
      </c>
      <c r="AQ444" s="11" t="n">
        <v>46195</v>
      </c>
      <c r="AR444" s="13"/>
      <c r="AS444" s="13"/>
      <c r="AT444" s="13"/>
      <c r="AU444" s="13"/>
      <c r="AV444" s="13" t="s">
        <v>489</v>
      </c>
      <c r="AW444" s="13"/>
      <c r="AX444" s="13" t="s">
        <v>489</v>
      </c>
      <c r="AY444" s="7" t="s">
        <v>363</v>
      </c>
      <c r="AZ444" s="7" t="s">
        <v>159</v>
      </c>
      <c r="BA444" s="7" t="s">
        <v>44</v>
      </c>
      <c r="BB444" s="7" t="s">
        <v>1715</v>
      </c>
      <c r="BC444" s="7"/>
      <c r="BD444" s="9"/>
      <c r="BE444" s="7"/>
      <c r="BF444" s="14" t="str">
        <f aca="true">IF(TRIM($A444)="Finalized","Closed",IF($BD444="","No review date set",IF($BD444&lt;TODAY(),"OVERDUE",IF($BD444-TODAY()&lt;=7,"Due within 7 days","Scheduled"))))</f>
        <v>Closed</v>
      </c>
      <c r="BG444" s="14" t="n">
        <f aca="true">IF($K444="","",TODAY()-$K444)</f>
        <v>23</v>
      </c>
      <c r="BH444" s="15" t="str">
        <f aca="false">IFERROR(LEFT(IF($B444="","Notes, ","")&amp;IF($K444="","Latest Date Worked, ","")&amp;IF($AY444="","Last Action, ","")&amp;IF(AND(OR(TRIM($A444)="Denied",TRIM($A444)="Rejected"),$BA444=""),"Denial Reason, ","")&amp;IF(AND(TRIM($A444)="Denied",$BB444="",TRIM($BA444)&lt;&gt;"NO DENIAL"),"Denial Code, ","")&amp;IF(AND(TRIM($A444)&lt;&gt;"Finalized",$BD444=""),"Next Review Date, ","")&amp;IF(AND(TRIM($A444)&lt;&gt;"Finalized",$BE444=""),"Next Step, ","")&amp;IF(AND(TRIM($A444)="Finalized",$AV444="",$AR444="",$AT444="",$AX444="",$AW444=""),"CPT outcome, ",""),LEN(IF($B444="","Notes, ","")&amp;IF($K444="","Latest Date Worked, ","")&amp;IF($AY444="","Last Action, ","")&amp;IF(AND(OR(TRIM($A444)="Denied",TRIM($A444)="Rejected"),$BA444=""),"Denial Reason, ","")&amp;IF(AND(TRIM($A444)="Denied",$BB444="",TRIM($BA444)&lt;&gt;"NO DENIAL"),"Denial Code, ","")&amp;IF(AND(TRIM($A444)&lt;&gt;"Finalized",$BD444=""),"Next Review Date, ","")&amp;IF(AND(TRIM($A444)&lt;&gt;"Finalized",$BE444=""),"Next Step, ","")&amp;IF(AND(TRIM($A444)="Finalized",$AV444="",$AR444="",$AT444="",$AX444="",$AW444=""),"CPT outcome, ",""))-2),"")</f>
        <v/>
      </c>
      <c r="BI444" s="15" t="str">
        <f aca="false">IF($BB444="","",IFERROR(INDEX('Denial Codes'!$C:$C,MATCH(LEFT($BB444,FIND(" - ",$BB444&amp;" - ")+2)&amp;"*",'Denial Codes'!$A:$A,0)),""))</f>
        <v>Wrong payer / vendor</v>
      </c>
      <c r="BJ444" s="15" t="str">
        <f aca="false">IF($BA444="","",IFERROR(INDEX(Lists!$B:$B,MATCH(TRIM($BA444),Lists!$A:$A,0))&amp;"",""))</f>
        <v>Bill the correct payer, delegated vendor or capitated group/IPA (e.g. Optum Behavioral, Preferred Homecare).</v>
      </c>
    </row>
    <row r="445" customFormat="false" ht="15" hidden="false" customHeight="false" outlineLevel="0" collapsed="false">
      <c r="A445" s="7" t="s">
        <v>16</v>
      </c>
      <c r="B445" s="7" t="s">
        <v>1716</v>
      </c>
      <c r="C445" s="8" t="n">
        <v>559152456</v>
      </c>
      <c r="D445" s="9" t="n">
        <v>46164</v>
      </c>
      <c r="E445" s="10" t="s">
        <v>1717</v>
      </c>
      <c r="F445" s="11" t="n">
        <v>46153</v>
      </c>
      <c r="G445" s="10" t="s">
        <v>768</v>
      </c>
      <c r="H445" s="10" t="s">
        <v>768</v>
      </c>
      <c r="I445" s="10" t="s">
        <v>129</v>
      </c>
      <c r="J445" s="10" t="s">
        <v>1718</v>
      </c>
      <c r="K445" s="9" t="n">
        <v>46250</v>
      </c>
      <c r="L445" s="12" t="str">
        <f aca="true">IF($O445="","",$O445-TODAY())</f>
        <v/>
      </c>
      <c r="M445" s="12" t="str">
        <f aca="true">IF(AND(TRIM($A445)="Finalized",$K445&lt;&gt;""),"",IF($D445="","",$D445+180-TODAY()))</f>
        <v/>
      </c>
      <c r="N445" s="12" t="str">
        <f aca="true">IF(AND(TRIM($A445)="Finalized",$K445&lt;&gt;""),"",IF($D445="","",$D445+180-TODAY()))</f>
        <v/>
      </c>
      <c r="O445" s="11" t="str">
        <f aca="false">IF(AND(TRIM($A445)="Finalized",$K445&lt;&gt;""),"",DATE(2026,9,8))</f>
        <v/>
      </c>
      <c r="P445" s="10" t="s">
        <v>117</v>
      </c>
      <c r="Q445" s="10" t="s">
        <v>609</v>
      </c>
      <c r="R445" s="10" t="s">
        <v>147</v>
      </c>
      <c r="S445" s="10" t="s">
        <v>116</v>
      </c>
      <c r="T445" s="10" t="s">
        <v>147</v>
      </c>
      <c r="U445" s="10" t="s">
        <v>116</v>
      </c>
      <c r="V445" s="10" t="s">
        <v>266</v>
      </c>
      <c r="W445" s="10" t="s">
        <v>132</v>
      </c>
      <c r="X445" s="10" t="s">
        <v>1719</v>
      </c>
      <c r="Y445" s="10"/>
      <c r="Z445" s="10"/>
      <c r="AA445" s="10" t="s">
        <v>197</v>
      </c>
      <c r="AB445" s="8" t="n">
        <f aca="true">IF($F445="","",TODAY()-$F445)</f>
        <v>158</v>
      </c>
      <c r="AC445" s="10" t="s">
        <v>246</v>
      </c>
      <c r="AD445" s="10" t="s">
        <v>858</v>
      </c>
      <c r="AE445" s="10"/>
      <c r="AF445" s="10"/>
      <c r="AG445" s="10"/>
      <c r="AH445" s="10"/>
      <c r="AI445" s="10"/>
      <c r="AJ445" s="10" t="s">
        <v>124</v>
      </c>
      <c r="AK445" s="10" t="s">
        <v>139</v>
      </c>
      <c r="AL445" s="10" t="s">
        <v>598</v>
      </c>
      <c r="AM445" s="10" t="s">
        <v>452</v>
      </c>
      <c r="AN445" s="8"/>
      <c r="AO445" s="10" t="s">
        <v>546</v>
      </c>
      <c r="AP445" s="10" t="s">
        <v>175</v>
      </c>
      <c r="AQ445" s="11" t="n">
        <v>46156</v>
      </c>
      <c r="AR445" s="13"/>
      <c r="AS445" s="13"/>
      <c r="AT445" s="13" t="s">
        <v>1720</v>
      </c>
      <c r="AU445" s="13" t="s">
        <v>464</v>
      </c>
      <c r="AV445" s="13"/>
      <c r="AW445" s="13"/>
      <c r="AX445" s="13"/>
      <c r="AY445" s="7" t="s">
        <v>465</v>
      </c>
      <c r="AZ445" s="7"/>
      <c r="BA445" s="7" t="s">
        <v>34</v>
      </c>
      <c r="BB445" s="7" t="s">
        <v>464</v>
      </c>
      <c r="BC445" s="7" t="s">
        <v>1721</v>
      </c>
      <c r="BD445" s="9"/>
      <c r="BE445" s="7"/>
      <c r="BF445" s="14" t="str">
        <f aca="true">IF(TRIM($A445)="Finalized","Closed",IF($BD445="","No review date set",IF($BD445&lt;TODAY(),"OVERDUE",IF($BD445-TODAY()&lt;=7,"Due within 7 days","Scheduled"))))</f>
        <v>Closed</v>
      </c>
      <c r="BG445" s="14" t="n">
        <f aca="true">IF($K445="","",TODAY()-$K445)</f>
        <v>61</v>
      </c>
      <c r="BH445" s="15" t="str">
        <f aca="false">IFERROR(LEFT(IF($B445="","Notes, ","")&amp;IF($K445="","Latest Date Worked, ","")&amp;IF($AY445="","Last Action, ","")&amp;IF(AND(OR(TRIM($A445)="Denied",TRIM($A445)="Rejected"),$BA445=""),"Denial Reason, ","")&amp;IF(AND(TRIM($A445)="Denied",$BB445="",TRIM($BA445)&lt;&gt;"NO DENIAL"),"Denial Code, ","")&amp;IF(AND(TRIM($A445)&lt;&gt;"Finalized",$BD445=""),"Next Review Date, ","")&amp;IF(AND(TRIM($A445)&lt;&gt;"Finalized",$BE445=""),"Next Step, ","")&amp;IF(AND(TRIM($A445)="Finalized",$AV445="",$AR445="",$AT445="",$AX445="",$AW445=""),"CPT outcome, ",""),LEN(IF($B445="","Notes, ","")&amp;IF($K445="","Latest Date Worked, ","")&amp;IF($AY445="","Last Action, ","")&amp;IF(AND(OR(TRIM($A445)="Denied",TRIM($A445)="Rejected"),$BA445=""),"Denial Reason, ","")&amp;IF(AND(TRIM($A445)="Denied",$BB445="",TRIM($BA445)&lt;&gt;"NO DENIAL"),"Denial Code, ","")&amp;IF(AND(TRIM($A445)&lt;&gt;"Finalized",$BD445=""),"Next Review Date, ","")&amp;IF(AND(TRIM($A445)&lt;&gt;"Finalized",$BE445=""),"Next Step, ","")&amp;IF(AND(TRIM($A445)="Finalized",$AV445="",$AR445="",$AT445="",$AX445="",$AW445=""),"CPT outcome, ",""))-2),"")</f>
        <v/>
      </c>
      <c r="BI445" s="15" t="str">
        <f aca="false">IF($BB445="","",IFERROR(INDEX('Denial Codes'!$C:$C,MATCH(LEFT($BB445,FIND(" - ",$BB445&amp;" - ")+2)&amp;"*",'Denial Codes'!$A:$A,0)),""))</f>
        <v>No authorization</v>
      </c>
      <c r="BJ445" s="15" t="str">
        <f aca="false">IF($BA445="","",IFERROR(INDEX(Lists!$B:$B,MATCH(TRIM($BA445),Lists!$A:$A,0))&amp;"",""))</f>
        <v>Check the portal for an auth; request a retro-auth or file an appeal with the auth number, then resubmit.</v>
      </c>
    </row>
    <row r="446" customFormat="false" ht="15" hidden="false" customHeight="false" outlineLevel="0" collapsed="false">
      <c r="A446" s="7" t="s">
        <v>16</v>
      </c>
      <c r="B446" s="7" t="s">
        <v>548</v>
      </c>
      <c r="C446" s="8" t="n">
        <v>570992620</v>
      </c>
      <c r="D446" s="9" t="n">
        <v>46196</v>
      </c>
      <c r="E446" s="10" t="s">
        <v>549</v>
      </c>
      <c r="F446" s="11" t="n">
        <v>46184</v>
      </c>
      <c r="G446" s="10" t="s">
        <v>163</v>
      </c>
      <c r="H446" s="10" t="s">
        <v>163</v>
      </c>
      <c r="I446" s="10" t="s">
        <v>163</v>
      </c>
      <c r="J446" s="10" t="s">
        <v>1722</v>
      </c>
      <c r="K446" s="9" t="n">
        <v>46271</v>
      </c>
      <c r="L446" s="12" t="str">
        <f aca="true">IF($O446="","",$O446-TODAY())</f>
        <v/>
      </c>
      <c r="M446" s="12" t="str">
        <f aca="true">IF(AND(TRIM($A446)="Finalized",$K446&lt;&gt;""),"",IF($F446="","",$F446+90-TODAY()))</f>
        <v/>
      </c>
      <c r="N446" s="12" t="str">
        <f aca="true">IF(AND(TRIM($A446)="Finalized",$K446&lt;&gt;""),"",IF($D446="","",$D446+365-TODAY()))</f>
        <v/>
      </c>
      <c r="O446" s="11" t="str">
        <f aca="false">IF(AND(TRIM($A446)="Finalized",$K446&lt;&gt;""),"",DATE(2026,9,9))</f>
        <v/>
      </c>
      <c r="P446" s="10" t="s">
        <v>165</v>
      </c>
      <c r="Q446" s="10" t="s">
        <v>166</v>
      </c>
      <c r="R446" s="10" t="s">
        <v>165</v>
      </c>
      <c r="S446" s="10" t="s">
        <v>149</v>
      </c>
      <c r="T446" s="10" t="s">
        <v>114</v>
      </c>
      <c r="U446" s="10" t="s">
        <v>116</v>
      </c>
      <c r="V446" s="10" t="s">
        <v>303</v>
      </c>
      <c r="W446" s="10" t="s">
        <v>132</v>
      </c>
      <c r="X446" s="10"/>
      <c r="Y446" s="10"/>
      <c r="Z446" s="10"/>
      <c r="AA446" s="10" t="s">
        <v>197</v>
      </c>
      <c r="AB446" s="8" t="n">
        <f aca="true">IF($F446="","",TODAY()-$F446)</f>
        <v>127</v>
      </c>
      <c r="AC446" s="10" t="s">
        <v>1126</v>
      </c>
      <c r="AD446" s="10" t="s">
        <v>246</v>
      </c>
      <c r="AE446" s="10"/>
      <c r="AF446" s="10"/>
      <c r="AG446" s="10"/>
      <c r="AH446" s="10"/>
      <c r="AI446" s="10"/>
      <c r="AJ446" s="10" t="s">
        <v>859</v>
      </c>
      <c r="AK446" s="10" t="s">
        <v>751</v>
      </c>
      <c r="AL446" s="10" t="s">
        <v>1410</v>
      </c>
      <c r="AM446" s="10"/>
      <c r="AN446" s="8"/>
      <c r="AO446" s="10" t="s">
        <v>546</v>
      </c>
      <c r="AP446" s="10" t="s">
        <v>175</v>
      </c>
      <c r="AQ446" s="11" t="n">
        <v>46190</v>
      </c>
      <c r="AR446" s="13"/>
      <c r="AS446" s="13"/>
      <c r="AT446" s="13"/>
      <c r="AU446" s="13"/>
      <c r="AV446" s="13"/>
      <c r="AW446" s="13" t="s">
        <v>1723</v>
      </c>
      <c r="AX446" s="13" t="s">
        <v>1723</v>
      </c>
      <c r="AY446" s="7" t="s">
        <v>465</v>
      </c>
      <c r="AZ446" s="7" t="s">
        <v>159</v>
      </c>
      <c r="BA446" s="7" t="s">
        <v>46</v>
      </c>
      <c r="BB446" s="7" t="s">
        <v>263</v>
      </c>
      <c r="BC446" s="7"/>
      <c r="BD446" s="9"/>
      <c r="BE446" s="7"/>
      <c r="BF446" s="14" t="str">
        <f aca="true">IF(TRIM($A446)="Finalized","Closed",IF($BD446="","No review date set",IF($BD446&lt;TODAY(),"OVERDUE",IF($BD446-TODAY()&lt;=7,"Due within 7 days","Scheduled"))))</f>
        <v>Closed</v>
      </c>
      <c r="BG446" s="14" t="n">
        <f aca="true">IF($K446="","",TODAY()-$K446)</f>
        <v>40</v>
      </c>
      <c r="BH446" s="15" t="str">
        <f aca="false">IFERROR(LEFT(IF($B446="","Notes, ","")&amp;IF($K446="","Latest Date Worked, ","")&amp;IF($AY446="","Last Action, ","")&amp;IF(AND(OR(TRIM($A446)="Denied",TRIM($A446)="Rejected"),$BA446=""),"Denial Reason, ","")&amp;IF(AND(TRIM($A446)="Denied",$BB446="",TRIM($BA446)&lt;&gt;"NO DENIAL"),"Denial Code, ","")&amp;IF(AND(TRIM($A446)&lt;&gt;"Finalized",$BD446=""),"Next Review Date, ","")&amp;IF(AND(TRIM($A446)&lt;&gt;"Finalized",$BE446=""),"Next Step, ","")&amp;IF(AND(TRIM($A446)="Finalized",$AV446="",$AR446="",$AT446="",$AX446="",$AW446=""),"CPT outcome, ",""),LEN(IF($B446="","Notes, ","")&amp;IF($K446="","Latest Date Worked, ","")&amp;IF($AY446="","Last Action, ","")&amp;IF(AND(OR(TRIM($A446)="Denied",TRIM($A446)="Rejected"),$BA446=""),"Denial Reason, ","")&amp;IF(AND(TRIM($A446)="Denied",$BB446="",TRIM($BA446)&lt;&gt;"NO DENIAL"),"Denial Code, ","")&amp;IF(AND(TRIM($A446)&lt;&gt;"Finalized",$BD446=""),"Next Review Date, ","")&amp;IF(AND(TRIM($A446)&lt;&gt;"Finalized",$BE446=""),"Next Step, ","")&amp;IF(AND(TRIM($A446)="Finalized",$AV446="",$AR446="",$AT446="",$AX446="",$AW446=""),"CPT outcome, ",""))-2),"")</f>
        <v/>
      </c>
      <c r="BI446" s="15" t="str">
        <f aca="false">IF($BB446="","",IFERROR(INDEX('Denial Codes'!$C:$C,MATCH(LEFT($BB446,FIND(" - ",$BB446&amp;" - ")+2)&amp;"*",'Denial Codes'!$A:$A,0)),""))</f>
        <v>Not covered by plan</v>
      </c>
      <c r="BJ446" s="15" t="str">
        <f aca="false">IF($BA446="","",IFERROR(INDEX(Lists!$B:$B,MATCH(TRIM($BA446),Lists!$A:$A,0))&amp;"",""))</f>
        <v>Verify eligibility; correct the member ID/MBI, name or DOB and resubmit.</v>
      </c>
    </row>
    <row r="447" customFormat="false" ht="15" hidden="false" customHeight="false" outlineLevel="0" collapsed="false">
      <c r="A447" s="7" t="s">
        <v>16</v>
      </c>
      <c r="B447" s="7" t="s">
        <v>1724</v>
      </c>
      <c r="C447" s="8" t="n">
        <v>559655054</v>
      </c>
      <c r="D447" s="9" t="n">
        <v>46171</v>
      </c>
      <c r="E447" s="10" t="s">
        <v>1725</v>
      </c>
      <c r="F447" s="11" t="n">
        <v>46156</v>
      </c>
      <c r="G447" s="10" t="s">
        <v>768</v>
      </c>
      <c r="H447" s="10" t="s">
        <v>768</v>
      </c>
      <c r="I447" s="10" t="s">
        <v>129</v>
      </c>
      <c r="J447" s="10" t="s">
        <v>244</v>
      </c>
      <c r="K447" s="9" t="n">
        <v>46250</v>
      </c>
      <c r="L447" s="12" t="str">
        <f aca="true">IF($O447="","",$O447-TODAY())</f>
        <v/>
      </c>
      <c r="M447" s="12" t="str">
        <f aca="true">IF(AND(TRIM($A447)="Finalized",$K447&lt;&gt;""),"",IF($D447="","",$D447+180-TODAY()))</f>
        <v/>
      </c>
      <c r="N447" s="12" t="str">
        <f aca="true">IF(AND(TRIM($A447)="Finalized",$K447&lt;&gt;""),"",IF($D447="","",$D447+180-TODAY()))</f>
        <v/>
      </c>
      <c r="O447" s="11" t="str">
        <f aca="false">IF(AND(TRIM($A447)="Finalized",$K447&lt;&gt;""),"",DATE(2026,9,11))</f>
        <v/>
      </c>
      <c r="P447" s="10" t="s">
        <v>117</v>
      </c>
      <c r="Q447" s="10" t="s">
        <v>609</v>
      </c>
      <c r="R447" s="10" t="s">
        <v>147</v>
      </c>
      <c r="S447" s="10" t="s">
        <v>116</v>
      </c>
      <c r="T447" s="10" t="s">
        <v>147</v>
      </c>
      <c r="U447" s="10" t="s">
        <v>116</v>
      </c>
      <c r="V447" s="10" t="s">
        <v>266</v>
      </c>
      <c r="W447" s="10" t="s">
        <v>132</v>
      </c>
      <c r="X447" s="10"/>
      <c r="Y447" s="10"/>
      <c r="Z447" s="10"/>
      <c r="AA447" s="10" t="s">
        <v>197</v>
      </c>
      <c r="AB447" s="8" t="n">
        <f aca="true">IF($F447="","",TODAY()-$F447)</f>
        <v>155</v>
      </c>
      <c r="AC447" s="10" t="s">
        <v>246</v>
      </c>
      <c r="AD447" s="10"/>
      <c r="AE447" s="10"/>
      <c r="AF447" s="10"/>
      <c r="AG447" s="10"/>
      <c r="AH447" s="10"/>
      <c r="AI447" s="10"/>
      <c r="AJ447" s="10" t="s">
        <v>124</v>
      </c>
      <c r="AK447" s="10" t="s">
        <v>139</v>
      </c>
      <c r="AL447" s="10"/>
      <c r="AM447" s="10"/>
      <c r="AN447" s="8"/>
      <c r="AO447" s="10" t="s">
        <v>546</v>
      </c>
      <c r="AP447" s="10" t="s">
        <v>175</v>
      </c>
      <c r="AQ447" s="11" t="n">
        <v>46161</v>
      </c>
      <c r="AR447" s="13"/>
      <c r="AS447" s="13"/>
      <c r="AT447" s="13"/>
      <c r="AU447" s="13"/>
      <c r="AV447" s="13"/>
      <c r="AW447" s="13" t="s">
        <v>246</v>
      </c>
      <c r="AX447" s="13" t="s">
        <v>246</v>
      </c>
      <c r="AY447" s="7" t="s">
        <v>411</v>
      </c>
      <c r="AZ447" s="7"/>
      <c r="BA447" s="7" t="s">
        <v>41</v>
      </c>
      <c r="BB447" s="7" t="s">
        <v>1696</v>
      </c>
      <c r="BC447" s="7"/>
      <c r="BD447" s="9"/>
      <c r="BE447" s="7"/>
      <c r="BF447" s="14" t="str">
        <f aca="true">IF(TRIM($A447)="Finalized","Closed",IF($BD447="","No review date set",IF($BD447&lt;TODAY(),"OVERDUE",IF($BD447-TODAY()&lt;=7,"Due within 7 days","Scheduled"))))</f>
        <v>Closed</v>
      </c>
      <c r="BG447" s="14" t="n">
        <f aca="true">IF($K447="","",TODAY()-$K447)</f>
        <v>61</v>
      </c>
      <c r="BH447" s="15" t="str">
        <f aca="false">IFERROR(LEFT(IF($B447="","Notes, ","")&amp;IF($K447="","Latest Date Worked, ","")&amp;IF($AY447="","Last Action, ","")&amp;IF(AND(OR(TRIM($A447)="Denied",TRIM($A447)="Rejected"),$BA447=""),"Denial Reason, ","")&amp;IF(AND(TRIM($A447)="Denied",$BB447="",TRIM($BA447)&lt;&gt;"NO DENIAL"),"Denial Code, ","")&amp;IF(AND(TRIM($A447)&lt;&gt;"Finalized",$BD447=""),"Next Review Date, ","")&amp;IF(AND(TRIM($A447)&lt;&gt;"Finalized",$BE447=""),"Next Step, ","")&amp;IF(AND(TRIM($A447)="Finalized",$AV447="",$AR447="",$AT447="",$AX447="",$AW447=""),"CPT outcome, ",""),LEN(IF($B447="","Notes, ","")&amp;IF($K447="","Latest Date Worked, ","")&amp;IF($AY447="","Last Action, ","")&amp;IF(AND(OR(TRIM($A447)="Denied",TRIM($A447)="Rejected"),$BA447=""),"Denial Reason, ","")&amp;IF(AND(TRIM($A447)="Denied",$BB447="",TRIM($BA447)&lt;&gt;"NO DENIAL"),"Denial Code, ","")&amp;IF(AND(TRIM($A447)&lt;&gt;"Finalized",$BD447=""),"Next Review Date, ","")&amp;IF(AND(TRIM($A447)&lt;&gt;"Finalized",$BE447=""),"Next Step, ","")&amp;IF(AND(TRIM($A447)="Finalized",$AV447="",$AR447="",$AT447="",$AX447="",$AW447=""),"CPT outcome, ",""))-2),"")</f>
        <v/>
      </c>
      <c r="BI447" s="15" t="str">
        <f aca="false">IF($BB447="","",IFERROR(INDEX('Denial Codes'!$C:$C,MATCH(LEFT($BB447,FIND(" - ",$BB447&amp;" - ")+2)&amp;"*",'Denial Codes'!$A:$A,0)),""))</f>
        <v>Not covered by plan</v>
      </c>
      <c r="BJ447" s="15" t="str">
        <f aca="false">IF($BA447="","",IFERROR(INDEX(Lists!$B:$B,MATCH(TRIM($BA447),Lists!$A:$A,0))&amp;"",""))</f>
        <v>Confirm benefits; bill the patient if an ABN/waiver is on file, otherwise appeal or adjust.</v>
      </c>
    </row>
    <row r="448" customFormat="false" ht="15" hidden="false" customHeight="false" outlineLevel="0" collapsed="false">
      <c r="A448" s="7" t="s">
        <v>16</v>
      </c>
      <c r="B448" s="7" t="s">
        <v>1726</v>
      </c>
      <c r="C448" s="8" t="n">
        <v>555140726</v>
      </c>
      <c r="D448" s="9" t="n">
        <v>46126</v>
      </c>
      <c r="E448" s="10" t="s">
        <v>1727</v>
      </c>
      <c r="F448" s="11" t="n">
        <v>46098</v>
      </c>
      <c r="G448" s="10" t="s">
        <v>1114</v>
      </c>
      <c r="H448" s="10" t="s">
        <v>1114</v>
      </c>
      <c r="I448" s="10" t="s">
        <v>129</v>
      </c>
      <c r="J448" s="10" t="s">
        <v>424</v>
      </c>
      <c r="K448" s="9" t="n">
        <v>46245</v>
      </c>
      <c r="L448" s="12" t="str">
        <f aca="true">IF($O448="","",$O448-TODAY())</f>
        <v/>
      </c>
      <c r="M448" s="12" t="str">
        <f aca="true">IF(AND(TRIM($A448)="Finalized",$K448&lt;&gt;""),"",IF($F448="","",$F448+180-TODAY()))</f>
        <v/>
      </c>
      <c r="N448" s="12" t="str">
        <f aca="true">IF(AND(TRIM($A448)="Finalized",$K448&lt;&gt;""),"",IF($D448="","",$D448+180-TODAY()))</f>
        <v/>
      </c>
      <c r="O448" s="11" t="str">
        <f aca="false">IF(AND(TRIM($A448)="Finalized",$K448&lt;&gt;""),"",DATE(2026,9,13))</f>
        <v/>
      </c>
      <c r="P448" s="10" t="s">
        <v>147</v>
      </c>
      <c r="Q448" s="10" t="s">
        <v>1115</v>
      </c>
      <c r="R448" s="10" t="s">
        <v>147</v>
      </c>
      <c r="S448" s="10" t="s">
        <v>149</v>
      </c>
      <c r="T448" s="10" t="s">
        <v>147</v>
      </c>
      <c r="U448" s="10" t="s">
        <v>116</v>
      </c>
      <c r="V448" s="10" t="s">
        <v>167</v>
      </c>
      <c r="W448" s="10" t="s">
        <v>183</v>
      </c>
      <c r="X448" s="10"/>
      <c r="Y448" s="10"/>
      <c r="Z448" s="10"/>
      <c r="AA448" s="10" t="s">
        <v>197</v>
      </c>
      <c r="AB448" s="8" t="n">
        <f aca="true">IF($F448="","",TODAY()-$F448)</f>
        <v>213</v>
      </c>
      <c r="AC448" s="10" t="s">
        <v>211</v>
      </c>
      <c r="AD448" s="10" t="s">
        <v>184</v>
      </c>
      <c r="AE448" s="10"/>
      <c r="AF448" s="10"/>
      <c r="AG448" s="10"/>
      <c r="AH448" s="10"/>
      <c r="AI448" s="10"/>
      <c r="AJ448" s="10" t="s">
        <v>212</v>
      </c>
      <c r="AK448" s="10"/>
      <c r="AL448" s="10"/>
      <c r="AM448" s="10"/>
      <c r="AN448" s="8"/>
      <c r="AO448" s="10" t="s">
        <v>1728</v>
      </c>
      <c r="AP448" s="10" t="s">
        <v>308</v>
      </c>
      <c r="AQ448" s="11" t="n">
        <v>46119</v>
      </c>
      <c r="AR448" s="13" t="s">
        <v>214</v>
      </c>
      <c r="AS448" s="13" t="s">
        <v>1696</v>
      </c>
      <c r="AT448" s="13"/>
      <c r="AU448" s="13"/>
      <c r="AV448" s="13"/>
      <c r="AW448" s="13"/>
      <c r="AX448" s="13"/>
      <c r="AY448" s="7" t="s">
        <v>465</v>
      </c>
      <c r="AZ448" s="7"/>
      <c r="BA448" s="7" t="s">
        <v>41</v>
      </c>
      <c r="BB448" s="7" t="s">
        <v>1696</v>
      </c>
      <c r="BC448" s="7"/>
      <c r="BD448" s="9"/>
      <c r="BE448" s="7"/>
      <c r="BF448" s="14" t="str">
        <f aca="true">IF(TRIM($A448)="Finalized","Closed",IF($BD448="","No review date set",IF($BD448&lt;TODAY(),"OVERDUE",IF($BD448-TODAY()&lt;=7,"Due within 7 days","Scheduled"))))</f>
        <v>Closed</v>
      </c>
      <c r="BG448" s="14" t="n">
        <f aca="true">IF($K448="","",TODAY()-$K448)</f>
        <v>66</v>
      </c>
      <c r="BH448" s="15" t="str">
        <f aca="false">IFERROR(LEFT(IF($B448="","Notes, ","")&amp;IF($K448="","Latest Date Worked, ","")&amp;IF($AY448="","Last Action, ","")&amp;IF(AND(OR(TRIM($A448)="Denied",TRIM($A448)="Rejected"),$BA448=""),"Denial Reason, ","")&amp;IF(AND(TRIM($A448)="Denied",$BB448="",TRIM($BA448)&lt;&gt;"NO DENIAL"),"Denial Code, ","")&amp;IF(AND(TRIM($A448)&lt;&gt;"Finalized",$BD448=""),"Next Review Date, ","")&amp;IF(AND(TRIM($A448)&lt;&gt;"Finalized",$BE448=""),"Next Step, ","")&amp;IF(AND(TRIM($A448)="Finalized",$AV448="",$AR448="",$AT448="",$AX448="",$AW448=""),"CPT outcome, ",""),LEN(IF($B448="","Notes, ","")&amp;IF($K448="","Latest Date Worked, ","")&amp;IF($AY448="","Last Action, ","")&amp;IF(AND(OR(TRIM($A448)="Denied",TRIM($A448)="Rejected"),$BA448=""),"Denial Reason, ","")&amp;IF(AND(TRIM($A448)="Denied",$BB448="",TRIM($BA448)&lt;&gt;"NO DENIAL"),"Denial Code, ","")&amp;IF(AND(TRIM($A448)&lt;&gt;"Finalized",$BD448=""),"Next Review Date, ","")&amp;IF(AND(TRIM($A448)&lt;&gt;"Finalized",$BE448=""),"Next Step, ","")&amp;IF(AND(TRIM($A448)="Finalized",$AV448="",$AR448="",$AT448="",$AX448="",$AW448=""),"CPT outcome, ",""))-2),"")</f>
        <v/>
      </c>
      <c r="BI448" s="15" t="str">
        <f aca="false">IF($BB448="","",IFERROR(INDEX('Denial Codes'!$C:$C,MATCH(LEFT($BB448,FIND(" - ",$BB448&amp;" - ")+2)&amp;"*",'Denial Codes'!$A:$A,0)),""))</f>
        <v>Not covered by plan</v>
      </c>
      <c r="BJ448" s="15" t="str">
        <f aca="false">IF($BA448="","",IFERROR(INDEX(Lists!$B:$B,MATCH(TRIM($BA448),Lists!$A:$A,0))&amp;"",""))</f>
        <v>Confirm benefits; bill the patient if an ABN/waiver is on file, otherwise appeal or adjust.</v>
      </c>
    </row>
    <row r="449" customFormat="false" ht="15" hidden="false" customHeight="false" outlineLevel="0" collapsed="false">
      <c r="A449" s="7" t="s">
        <v>16</v>
      </c>
      <c r="B449" s="7" t="s">
        <v>1729</v>
      </c>
      <c r="C449" s="8" t="n">
        <v>562729752</v>
      </c>
      <c r="D449" s="9" t="n">
        <v>46202</v>
      </c>
      <c r="E449" s="10" t="s">
        <v>685</v>
      </c>
      <c r="F449" s="11" t="n">
        <v>46189</v>
      </c>
      <c r="G449" s="10" t="s">
        <v>208</v>
      </c>
      <c r="H449" s="10" t="s">
        <v>208</v>
      </c>
      <c r="I449" s="10" t="s">
        <v>129</v>
      </c>
      <c r="J449" s="10" t="s">
        <v>272</v>
      </c>
      <c r="K449" s="9" t="n">
        <v>46272</v>
      </c>
      <c r="L449" s="12" t="str">
        <f aca="true">IF($O449="","",$O449-TODAY())</f>
        <v/>
      </c>
      <c r="M449" s="12" t="str">
        <f aca="true">IF(AND(TRIM($A449)="Finalized",$K449&lt;&gt;""),"",IF($D449="","",$D449+180-TODAY()))</f>
        <v/>
      </c>
      <c r="N449" s="12" t="str">
        <f aca="true">IF(AND(TRIM($A449)="Finalized",$K449&lt;&gt;""),"",IF($D449="","",$D449+365-TODAY()))</f>
        <v/>
      </c>
      <c r="O449" s="11" t="str">
        <f aca="false">IF(AND(TRIM($A449)="Finalized",$K449&lt;&gt;""),"",DATE(2026,9,14))</f>
        <v/>
      </c>
      <c r="P449" s="10" t="s">
        <v>165</v>
      </c>
      <c r="Q449" s="10" t="s">
        <v>210</v>
      </c>
      <c r="R449" s="10" t="s">
        <v>147</v>
      </c>
      <c r="S449" s="10" t="s">
        <v>116</v>
      </c>
      <c r="T449" s="10" t="s">
        <v>114</v>
      </c>
      <c r="U449" s="10" t="s">
        <v>116</v>
      </c>
      <c r="V449" s="10" t="s">
        <v>303</v>
      </c>
      <c r="W449" s="10" t="s">
        <v>119</v>
      </c>
      <c r="X449" s="10" t="s">
        <v>120</v>
      </c>
      <c r="Y449" s="10"/>
      <c r="Z449" s="10"/>
      <c r="AA449" s="10" t="s">
        <v>121</v>
      </c>
      <c r="AB449" s="8" t="n">
        <f aca="true">IF($F449="","",TODAY()-$F449)</f>
        <v>122</v>
      </c>
      <c r="AC449" s="10" t="s">
        <v>273</v>
      </c>
      <c r="AD449" s="10"/>
      <c r="AE449" s="10"/>
      <c r="AF449" s="10"/>
      <c r="AG449" s="10"/>
      <c r="AH449" s="10"/>
      <c r="AI449" s="10"/>
      <c r="AJ449" s="10" t="s">
        <v>123</v>
      </c>
      <c r="AK449" s="10"/>
      <c r="AL449" s="10"/>
      <c r="AM449" s="10"/>
      <c r="AN449" s="8"/>
      <c r="AO449" s="10" t="s">
        <v>669</v>
      </c>
      <c r="AP449" s="10" t="s">
        <v>188</v>
      </c>
      <c r="AQ449" s="11" t="n">
        <v>46191</v>
      </c>
      <c r="AR449" s="13" t="s">
        <v>273</v>
      </c>
      <c r="AS449" s="13" t="s">
        <v>1023</v>
      </c>
      <c r="AT449" s="13"/>
      <c r="AU449" s="13"/>
      <c r="AV449" s="13"/>
      <c r="AW449" s="13"/>
      <c r="AX449" s="13" t="s">
        <v>273</v>
      </c>
      <c r="AY449" s="7" t="s">
        <v>411</v>
      </c>
      <c r="AZ449" s="7"/>
      <c r="BA449" s="7" t="s">
        <v>41</v>
      </c>
      <c r="BB449" s="7" t="s">
        <v>1023</v>
      </c>
      <c r="BC449" s="7"/>
      <c r="BD449" s="9"/>
      <c r="BE449" s="7"/>
      <c r="BF449" s="14" t="str">
        <f aca="true">IF(TRIM($A449)="Finalized","Closed",IF($BD449="","No review date set",IF($BD449&lt;TODAY(),"OVERDUE",IF($BD449-TODAY()&lt;=7,"Due within 7 days","Scheduled"))))</f>
        <v>Closed</v>
      </c>
      <c r="BG449" s="14" t="n">
        <f aca="true">IF($K449="","",TODAY()-$K449)</f>
        <v>39</v>
      </c>
      <c r="BH449" s="15" t="str">
        <f aca="false">IFERROR(LEFT(IF($B449="","Notes, ","")&amp;IF($K449="","Latest Date Worked, ","")&amp;IF($AY449="","Last Action, ","")&amp;IF(AND(OR(TRIM($A449)="Denied",TRIM($A449)="Rejected"),$BA449=""),"Denial Reason, ","")&amp;IF(AND(TRIM($A449)="Denied",$BB449="",TRIM($BA449)&lt;&gt;"NO DENIAL"),"Denial Code, ","")&amp;IF(AND(TRIM($A449)&lt;&gt;"Finalized",$BD449=""),"Next Review Date, ","")&amp;IF(AND(TRIM($A449)&lt;&gt;"Finalized",$BE449=""),"Next Step, ","")&amp;IF(AND(TRIM($A449)="Finalized",$AV449="",$AR449="",$AT449="",$AX449="",$AW449=""),"CPT outcome, ",""),LEN(IF($B449="","Notes, ","")&amp;IF($K449="","Latest Date Worked, ","")&amp;IF($AY449="","Last Action, ","")&amp;IF(AND(OR(TRIM($A449)="Denied",TRIM($A449)="Rejected"),$BA449=""),"Denial Reason, ","")&amp;IF(AND(TRIM($A449)="Denied",$BB449="",TRIM($BA449)&lt;&gt;"NO DENIAL"),"Denial Code, ","")&amp;IF(AND(TRIM($A449)&lt;&gt;"Finalized",$BD449=""),"Next Review Date, ","")&amp;IF(AND(TRIM($A449)&lt;&gt;"Finalized",$BE449=""),"Next Step, ","")&amp;IF(AND(TRIM($A449)="Finalized",$AV449="",$AR449="",$AT449="",$AX449="",$AW449=""),"CPT outcome, ",""))-2),"")</f>
        <v/>
      </c>
      <c r="BI449" s="15" t="str">
        <f aca="false">IF($BB449="","",IFERROR(INDEX('Denial Codes'!$C:$C,MATCH(LEFT($BB449,FIND(" - ",$BB449&amp;" - ")+2)&amp;"*",'Denial Codes'!$A:$A,0)),""))</f>
        <v>Not covered by plan</v>
      </c>
      <c r="BJ449" s="15" t="str">
        <f aca="false">IF($BA449="","",IFERROR(INDEX(Lists!$B:$B,MATCH(TRIM($BA449),Lists!$A:$A,0))&amp;"",""))</f>
        <v>Confirm benefits; bill the patient if an ABN/waiver is on file, otherwise appeal or adjust.</v>
      </c>
    </row>
    <row r="450" customFormat="false" ht="15" hidden="false" customHeight="false" outlineLevel="0" collapsed="false">
      <c r="A450" s="7" t="s">
        <v>16</v>
      </c>
      <c r="B450" s="7" t="s">
        <v>1730</v>
      </c>
      <c r="C450" s="8" t="n">
        <v>562803163</v>
      </c>
      <c r="D450" s="9" t="n">
        <v>46282</v>
      </c>
      <c r="E450" s="10" t="s">
        <v>867</v>
      </c>
      <c r="F450" s="11" t="n">
        <v>46190</v>
      </c>
      <c r="G450" s="10" t="s">
        <v>369</v>
      </c>
      <c r="H450" s="10" t="s">
        <v>369</v>
      </c>
      <c r="I450" s="10" t="s">
        <v>637</v>
      </c>
      <c r="J450" s="10" t="s">
        <v>424</v>
      </c>
      <c r="K450" s="9" t="n">
        <v>46293</v>
      </c>
      <c r="L450" s="12" t="str">
        <f aca="true">IF($O450="","",$O450-TODAY())</f>
        <v/>
      </c>
      <c r="M450" s="12" t="str">
        <f aca="true">IF(AND(TRIM($A450)="Finalized",$K450&lt;&gt;""),"",IF($D450="","",$D450+365-TODAY()))</f>
        <v/>
      </c>
      <c r="N450" s="12" t="str">
        <f aca="true">IF(AND(TRIM($A450)="Finalized",$K450&lt;&gt;""),"",IF($D450="","",$D450+365-TODAY()))</f>
        <v/>
      </c>
      <c r="O450" s="11" t="str">
        <f aca="false">IF(AND(TRIM($A450)="Finalized",$K450&lt;&gt;""),"",DATE(2026,9,15))</f>
        <v/>
      </c>
      <c r="P450" s="10" t="s">
        <v>165</v>
      </c>
      <c r="Q450" s="10" t="s">
        <v>371</v>
      </c>
      <c r="R450" s="10" t="s">
        <v>114</v>
      </c>
      <c r="S450" s="10" t="s">
        <v>116</v>
      </c>
      <c r="T450" s="10" t="s">
        <v>114</v>
      </c>
      <c r="U450" s="10" t="s">
        <v>116</v>
      </c>
      <c r="V450" s="10" t="s">
        <v>303</v>
      </c>
      <c r="W450" s="10" t="s">
        <v>183</v>
      </c>
      <c r="X450" s="10"/>
      <c r="Y450" s="10"/>
      <c r="Z450" s="10"/>
      <c r="AA450" s="10" t="s">
        <v>197</v>
      </c>
      <c r="AB450" s="8" t="n">
        <f aca="true">IF($F450="","",TODAY()-$F450)</f>
        <v>121</v>
      </c>
      <c r="AC450" s="10" t="s">
        <v>211</v>
      </c>
      <c r="AD450" s="10" t="s">
        <v>184</v>
      </c>
      <c r="AE450" s="10"/>
      <c r="AF450" s="10"/>
      <c r="AG450" s="10"/>
      <c r="AH450" s="10"/>
      <c r="AI450" s="10"/>
      <c r="AJ450" s="10" t="s">
        <v>403</v>
      </c>
      <c r="AK450" s="10" t="s">
        <v>385</v>
      </c>
      <c r="AL450" s="10"/>
      <c r="AM450" s="10"/>
      <c r="AN450" s="8"/>
      <c r="AO450" s="10" t="s">
        <v>341</v>
      </c>
      <c r="AP450" s="10" t="s">
        <v>188</v>
      </c>
      <c r="AQ450" s="11" t="n">
        <v>46217</v>
      </c>
      <c r="AR450" s="13"/>
      <c r="AS450" s="13"/>
      <c r="AT450" s="13"/>
      <c r="AU450" s="13"/>
      <c r="AV450" s="13" t="s">
        <v>214</v>
      </c>
      <c r="AW450" s="13"/>
      <c r="AX450" s="13" t="s">
        <v>214</v>
      </c>
      <c r="AY450" s="7" t="s">
        <v>363</v>
      </c>
      <c r="AZ450" s="7" t="s">
        <v>159</v>
      </c>
      <c r="BA450" s="7" t="s">
        <v>44</v>
      </c>
      <c r="BB450" s="7" t="s">
        <v>1715</v>
      </c>
      <c r="BC450" s="7"/>
      <c r="BD450" s="9"/>
      <c r="BE450" s="7"/>
      <c r="BF450" s="14" t="str">
        <f aca="true">IF(TRIM($A450)="Finalized","Closed",IF($BD450="","No review date set",IF($BD450&lt;TODAY(),"OVERDUE",IF($BD450-TODAY()&lt;=7,"Due within 7 days","Scheduled"))))</f>
        <v>Closed</v>
      </c>
      <c r="BG450" s="14" t="n">
        <f aca="true">IF($K450="","",TODAY()-$K450)</f>
        <v>18</v>
      </c>
      <c r="BH450" s="15" t="str">
        <f aca="false">IFERROR(LEFT(IF($B450="","Notes, ","")&amp;IF($K450="","Latest Date Worked, ","")&amp;IF($AY450="","Last Action, ","")&amp;IF(AND(OR(TRIM($A450)="Denied",TRIM($A450)="Rejected"),$BA450=""),"Denial Reason, ","")&amp;IF(AND(TRIM($A450)="Denied",$BB450="",TRIM($BA450)&lt;&gt;"NO DENIAL"),"Denial Code, ","")&amp;IF(AND(TRIM($A450)&lt;&gt;"Finalized",$BD450=""),"Next Review Date, ","")&amp;IF(AND(TRIM($A450)&lt;&gt;"Finalized",$BE450=""),"Next Step, ","")&amp;IF(AND(TRIM($A450)="Finalized",$AV450="",$AR450="",$AT450="",$AX450="",$AW450=""),"CPT outcome, ",""),LEN(IF($B450="","Notes, ","")&amp;IF($K450="","Latest Date Worked, ","")&amp;IF($AY450="","Last Action, ","")&amp;IF(AND(OR(TRIM($A450)="Denied",TRIM($A450)="Rejected"),$BA450=""),"Denial Reason, ","")&amp;IF(AND(TRIM($A450)="Denied",$BB450="",TRIM($BA450)&lt;&gt;"NO DENIAL"),"Denial Code, ","")&amp;IF(AND(TRIM($A450)&lt;&gt;"Finalized",$BD450=""),"Next Review Date, ","")&amp;IF(AND(TRIM($A450)&lt;&gt;"Finalized",$BE450=""),"Next Step, ","")&amp;IF(AND(TRIM($A450)="Finalized",$AV450="",$AR450="",$AT450="",$AX450="",$AW450=""),"CPT outcome, ",""))-2),"")</f>
        <v/>
      </c>
      <c r="BI450" s="15" t="str">
        <f aca="false">IF($BB450="","",IFERROR(INDEX('Denial Codes'!$C:$C,MATCH(LEFT($BB450,FIND(" - ",$BB450&amp;" - ")+2)&amp;"*",'Denial Codes'!$A:$A,0)),""))</f>
        <v>Wrong payer / vendor</v>
      </c>
      <c r="BJ450" s="15" t="str">
        <f aca="false">IF($BA450="","",IFERROR(INDEX(Lists!$B:$B,MATCH(TRIM($BA450),Lists!$A:$A,0))&amp;"",""))</f>
        <v>Bill the correct payer, delegated vendor or capitated group/IPA (e.g. Optum Behavioral, Preferred Homecare).</v>
      </c>
    </row>
    <row r="451" customFormat="false" ht="15" hidden="false" customHeight="false" outlineLevel="0" collapsed="false">
      <c r="A451" s="7" t="s">
        <v>16</v>
      </c>
      <c r="B451" s="7" t="s">
        <v>1731</v>
      </c>
      <c r="C451" s="8" t="n">
        <v>570990107</v>
      </c>
      <c r="D451" s="9" t="n">
        <v>46202</v>
      </c>
      <c r="E451" s="10" t="s">
        <v>1732</v>
      </c>
      <c r="F451" s="11" t="n">
        <v>46190</v>
      </c>
      <c r="G451" s="10" t="s">
        <v>218</v>
      </c>
      <c r="H451" s="10" t="s">
        <v>218</v>
      </c>
      <c r="I451" s="10" t="s">
        <v>129</v>
      </c>
      <c r="J451" s="10" t="s">
        <v>724</v>
      </c>
      <c r="K451" s="9" t="n">
        <v>46282</v>
      </c>
      <c r="L451" s="12" t="str">
        <f aca="true">IF($O451="","",$O451-TODAY())</f>
        <v/>
      </c>
      <c r="M451" s="12" t="str">
        <f aca="true">IF(AND(TRIM($A451)="Finalized",$K451&lt;&gt;""),"",IF($F451="","",$F451+90-TODAY()))</f>
        <v/>
      </c>
      <c r="N451" s="12" t="str">
        <f aca="true">IF(AND(TRIM($A451)="Finalized",$K451&lt;&gt;""),"",IF($D451="","",$D451+180-TODAY()))</f>
        <v/>
      </c>
      <c r="O451" s="11" t="str">
        <f aca="false">IF(AND(TRIM($A451)="Finalized",$K451&lt;&gt;""),"",DATE(2026,9,15))</f>
        <v/>
      </c>
      <c r="P451" s="10" t="s">
        <v>165</v>
      </c>
      <c r="Q451" s="10" t="s">
        <v>220</v>
      </c>
      <c r="R451" s="10" t="s">
        <v>165</v>
      </c>
      <c r="S451" s="10" t="s">
        <v>149</v>
      </c>
      <c r="T451" s="10" t="s">
        <v>147</v>
      </c>
      <c r="U451" s="10" t="s">
        <v>116</v>
      </c>
      <c r="V451" s="10" t="s">
        <v>303</v>
      </c>
      <c r="W451" s="10" t="s">
        <v>196</v>
      </c>
      <c r="X451" s="10"/>
      <c r="Y451" s="10"/>
      <c r="Z451" s="10"/>
      <c r="AA451" s="10" t="s">
        <v>197</v>
      </c>
      <c r="AB451" s="8" t="n">
        <f aca="true">IF($F451="","",TODAY()-$F451)</f>
        <v>121</v>
      </c>
      <c r="AC451" s="10" t="s">
        <v>487</v>
      </c>
      <c r="AD451" s="10"/>
      <c r="AE451" s="10"/>
      <c r="AF451" s="10"/>
      <c r="AG451" s="10"/>
      <c r="AH451" s="10"/>
      <c r="AI451" s="10"/>
      <c r="AJ451" s="10" t="s">
        <v>267</v>
      </c>
      <c r="AK451" s="10" t="s">
        <v>350</v>
      </c>
      <c r="AL451" s="10"/>
      <c r="AM451" s="10"/>
      <c r="AN451" s="8"/>
      <c r="AO451" s="10" t="s">
        <v>255</v>
      </c>
      <c r="AP451" s="10" t="s">
        <v>268</v>
      </c>
      <c r="AQ451" s="11" t="n">
        <v>46195</v>
      </c>
      <c r="AR451" s="13"/>
      <c r="AS451" s="13"/>
      <c r="AT451" s="13"/>
      <c r="AU451" s="13"/>
      <c r="AV451" s="13" t="s">
        <v>487</v>
      </c>
      <c r="AW451" s="13"/>
      <c r="AX451" s="13" t="s">
        <v>487</v>
      </c>
      <c r="AY451" s="7" t="s">
        <v>363</v>
      </c>
      <c r="AZ451" s="7" t="s">
        <v>159</v>
      </c>
      <c r="BA451" s="7" t="s">
        <v>39</v>
      </c>
      <c r="BB451" s="7" t="s">
        <v>806</v>
      </c>
      <c r="BC451" s="7"/>
      <c r="BD451" s="9"/>
      <c r="BE451" s="7"/>
      <c r="BF451" s="14" t="str">
        <f aca="true">IF(TRIM($A451)="Finalized","Closed",IF($BD451="","No review date set",IF($BD451&lt;TODAY(),"OVERDUE",IF($BD451-TODAY()&lt;=7,"Due within 7 days","Scheduled"))))</f>
        <v>Closed</v>
      </c>
      <c r="BG451" s="14" t="n">
        <f aca="true">IF($K451="","",TODAY()-$K451)</f>
        <v>29</v>
      </c>
      <c r="BH451" s="15" t="str">
        <f aca="false">IFERROR(LEFT(IF($B451="","Notes, ","")&amp;IF($K451="","Latest Date Worked, ","")&amp;IF($AY451="","Last Action, ","")&amp;IF(AND(OR(TRIM($A451)="Denied",TRIM($A451)="Rejected"),$BA451=""),"Denial Reason, ","")&amp;IF(AND(TRIM($A451)="Denied",$BB451="",TRIM($BA451)&lt;&gt;"NO DENIAL"),"Denial Code, ","")&amp;IF(AND(TRIM($A451)&lt;&gt;"Finalized",$BD451=""),"Next Review Date, ","")&amp;IF(AND(TRIM($A451)&lt;&gt;"Finalized",$BE451=""),"Next Step, ","")&amp;IF(AND(TRIM($A451)="Finalized",$AV451="",$AR451="",$AT451="",$AX451="",$AW451=""),"CPT outcome, ",""),LEN(IF($B451="","Notes, ","")&amp;IF($K451="","Latest Date Worked, ","")&amp;IF($AY451="","Last Action, ","")&amp;IF(AND(OR(TRIM($A451)="Denied",TRIM($A451)="Rejected"),$BA451=""),"Denial Reason, ","")&amp;IF(AND(TRIM($A451)="Denied",$BB451="",TRIM($BA451)&lt;&gt;"NO DENIAL"),"Denial Code, ","")&amp;IF(AND(TRIM($A451)&lt;&gt;"Finalized",$BD451=""),"Next Review Date, ","")&amp;IF(AND(TRIM($A451)&lt;&gt;"Finalized",$BE451=""),"Next Step, ","")&amp;IF(AND(TRIM($A451)="Finalized",$AV451="",$AR451="",$AT451="",$AX451="",$AW451=""),"CPT outcome, ",""))-2),"")</f>
        <v/>
      </c>
      <c r="BI451" s="15" t="str">
        <f aca="false">IF($BB451="","",IFERROR(INDEX('Denial Codes'!$C:$C,MATCH(LEFT($BB451,FIND(" - ",$BB451&amp;" - ")+2)&amp;"*",'Denial Codes'!$A:$A,0)),""))</f>
        <v>Diagnosis issue</v>
      </c>
      <c r="BJ451" s="15" t="str">
        <f aca="false">IF($BA451="","",IFERROR(INDEX(Lists!$B:$B,MATCH(TRIM($BA451),Lists!$A:$A,0))&amp;"",""))</f>
        <v>Review the diagnosis codes and pointers with the chart; correct and resubmit.</v>
      </c>
    </row>
    <row r="452" customFormat="false" ht="15" hidden="false" customHeight="false" outlineLevel="0" collapsed="false">
      <c r="A452" s="7" t="s">
        <v>16</v>
      </c>
      <c r="B452" s="7" t="s">
        <v>1733</v>
      </c>
      <c r="C452" s="8" t="n">
        <v>571030818</v>
      </c>
      <c r="D452" s="9" t="n">
        <v>46203</v>
      </c>
      <c r="E452" s="10" t="s">
        <v>549</v>
      </c>
      <c r="F452" s="11" t="n">
        <v>46191</v>
      </c>
      <c r="G452" s="10" t="s">
        <v>163</v>
      </c>
      <c r="H452" s="10" t="s">
        <v>163</v>
      </c>
      <c r="I452" s="10" t="s">
        <v>163</v>
      </c>
      <c r="J452" s="10" t="s">
        <v>272</v>
      </c>
      <c r="K452" s="9" t="n">
        <v>46282</v>
      </c>
      <c r="L452" s="12" t="str">
        <f aca="true">IF($O452="","",$O452-TODAY())</f>
        <v/>
      </c>
      <c r="M452" s="12" t="str">
        <f aca="true">IF(AND(TRIM($A452)="Finalized",$K452&lt;&gt;""),"",IF($F452="","",$F452+90-TODAY()))</f>
        <v/>
      </c>
      <c r="N452" s="12" t="str">
        <f aca="true">IF(AND(TRIM($A452)="Finalized",$K452&lt;&gt;""),"",IF($D452="","",$D452+365-TODAY()))</f>
        <v/>
      </c>
      <c r="O452" s="11" t="str">
        <f aca="false">IF(AND(TRIM($A452)="Finalized",$K452&lt;&gt;""),"",DATE(2026,9,16))</f>
        <v/>
      </c>
      <c r="P452" s="10" t="s">
        <v>165</v>
      </c>
      <c r="Q452" s="10" t="s">
        <v>166</v>
      </c>
      <c r="R452" s="10" t="s">
        <v>165</v>
      </c>
      <c r="S452" s="10" t="s">
        <v>149</v>
      </c>
      <c r="T452" s="10" t="s">
        <v>114</v>
      </c>
      <c r="U452" s="10" t="s">
        <v>116</v>
      </c>
      <c r="V452" s="10" t="s">
        <v>303</v>
      </c>
      <c r="W452" s="10" t="s">
        <v>119</v>
      </c>
      <c r="X452" s="10" t="s">
        <v>120</v>
      </c>
      <c r="Y452" s="10"/>
      <c r="Z452" s="10"/>
      <c r="AA452" s="10" t="s">
        <v>121</v>
      </c>
      <c r="AB452" s="8" t="n">
        <f aca="true">IF($F452="","",TODAY()-$F452)</f>
        <v>120</v>
      </c>
      <c r="AC452" s="10" t="s">
        <v>273</v>
      </c>
      <c r="AD452" s="10"/>
      <c r="AE452" s="10"/>
      <c r="AF452" s="10"/>
      <c r="AG452" s="10"/>
      <c r="AH452" s="10"/>
      <c r="AI452" s="10"/>
      <c r="AJ452" s="10" t="s">
        <v>123</v>
      </c>
      <c r="AK452" s="10"/>
      <c r="AL452" s="10"/>
      <c r="AM452" s="10"/>
      <c r="AN452" s="8"/>
      <c r="AO452" s="10" t="s">
        <v>669</v>
      </c>
      <c r="AP452" s="10" t="s">
        <v>188</v>
      </c>
      <c r="AQ452" s="11" t="n">
        <v>46196</v>
      </c>
      <c r="AR452" s="13"/>
      <c r="AS452" s="13"/>
      <c r="AT452" s="13"/>
      <c r="AU452" s="13"/>
      <c r="AV452" s="13" t="s">
        <v>273</v>
      </c>
      <c r="AW452" s="13"/>
      <c r="AX452" s="13" t="s">
        <v>273</v>
      </c>
      <c r="AY452" s="7" t="s">
        <v>363</v>
      </c>
      <c r="AZ452" s="7" t="s">
        <v>159</v>
      </c>
      <c r="BA452" s="7" t="s">
        <v>46</v>
      </c>
      <c r="BB452" s="7" t="s">
        <v>263</v>
      </c>
      <c r="BC452" s="7"/>
      <c r="BD452" s="9"/>
      <c r="BE452" s="7"/>
      <c r="BF452" s="14" t="str">
        <f aca="true">IF(TRIM($A452)="Finalized","Closed",IF($BD452="","No review date set",IF($BD452&lt;TODAY(),"OVERDUE",IF($BD452-TODAY()&lt;=7,"Due within 7 days","Scheduled"))))</f>
        <v>Closed</v>
      </c>
      <c r="BG452" s="14" t="n">
        <f aca="true">IF($K452="","",TODAY()-$K452)</f>
        <v>29</v>
      </c>
      <c r="BH452" s="15" t="str">
        <f aca="false">IFERROR(LEFT(IF($B452="","Notes, ","")&amp;IF($K452="","Latest Date Worked, ","")&amp;IF($AY452="","Last Action, ","")&amp;IF(AND(OR(TRIM($A452)="Denied",TRIM($A452)="Rejected"),$BA452=""),"Denial Reason, ","")&amp;IF(AND(TRIM($A452)="Denied",$BB452="",TRIM($BA452)&lt;&gt;"NO DENIAL"),"Denial Code, ","")&amp;IF(AND(TRIM($A452)&lt;&gt;"Finalized",$BD452=""),"Next Review Date, ","")&amp;IF(AND(TRIM($A452)&lt;&gt;"Finalized",$BE452=""),"Next Step, ","")&amp;IF(AND(TRIM($A452)="Finalized",$AV452="",$AR452="",$AT452="",$AX452="",$AW452=""),"CPT outcome, ",""),LEN(IF($B452="","Notes, ","")&amp;IF($K452="","Latest Date Worked, ","")&amp;IF($AY452="","Last Action, ","")&amp;IF(AND(OR(TRIM($A452)="Denied",TRIM($A452)="Rejected"),$BA452=""),"Denial Reason, ","")&amp;IF(AND(TRIM($A452)="Denied",$BB452="",TRIM($BA452)&lt;&gt;"NO DENIAL"),"Denial Code, ","")&amp;IF(AND(TRIM($A452)&lt;&gt;"Finalized",$BD452=""),"Next Review Date, ","")&amp;IF(AND(TRIM($A452)&lt;&gt;"Finalized",$BE452=""),"Next Step, ","")&amp;IF(AND(TRIM($A452)="Finalized",$AV452="",$AR452="",$AT452="",$AX452="",$AW452=""),"CPT outcome, ",""))-2),"")</f>
        <v/>
      </c>
      <c r="BI452" s="15" t="str">
        <f aca="false">IF($BB452="","",IFERROR(INDEX('Denial Codes'!$C:$C,MATCH(LEFT($BB452,FIND(" - ",$BB452&amp;" - ")+2)&amp;"*",'Denial Codes'!$A:$A,0)),""))</f>
        <v>Not covered by plan</v>
      </c>
      <c r="BJ452" s="15" t="str">
        <f aca="false">IF($BA452="","",IFERROR(INDEX(Lists!$B:$B,MATCH(TRIM($BA452),Lists!$A:$A,0))&amp;"",""))</f>
        <v>Verify eligibility; correct the member ID/MBI, name or DOB and resubmit.</v>
      </c>
    </row>
    <row r="453" customFormat="false" ht="15" hidden="false" customHeight="false" outlineLevel="0" collapsed="false">
      <c r="A453" s="7" t="s">
        <v>16</v>
      </c>
      <c r="B453" s="7" t="s">
        <v>1734</v>
      </c>
      <c r="C453" s="8" t="n">
        <v>563159449</v>
      </c>
      <c r="D453" s="9" t="n">
        <v>46204</v>
      </c>
      <c r="E453" s="10" t="s">
        <v>1009</v>
      </c>
      <c r="F453" s="11" t="n">
        <v>46195</v>
      </c>
      <c r="G453" s="10" t="s">
        <v>180</v>
      </c>
      <c r="H453" s="10" t="s">
        <v>180</v>
      </c>
      <c r="I453" s="10" t="s">
        <v>129</v>
      </c>
      <c r="J453" s="10" t="s">
        <v>461</v>
      </c>
      <c r="K453" s="9" t="n">
        <v>46282</v>
      </c>
      <c r="L453" s="12" t="str">
        <f aca="true">IF($O453="","",$O453-TODAY())</f>
        <v/>
      </c>
      <c r="M453" s="12" t="str">
        <f aca="true">IF(AND(TRIM($A453)="Finalized",$K453&lt;&gt;""),"",IF($D453="","",$D453+180-TODAY()))</f>
        <v/>
      </c>
      <c r="N453" s="12" t="str">
        <f aca="true">IF(AND(TRIM($A453)="Finalized",$K453&lt;&gt;""),"",IF($D453="","",$D453+365-TODAY()))</f>
        <v/>
      </c>
      <c r="O453" s="11" t="str">
        <f aca="false">IF(AND(TRIM($A453)="Finalized",$K453&lt;&gt;""),"",DATE(2026,9,20))</f>
        <v/>
      </c>
      <c r="P453" s="10" t="s">
        <v>165</v>
      </c>
      <c r="Q453" s="10" t="s">
        <v>182</v>
      </c>
      <c r="R453" s="10" t="s">
        <v>147</v>
      </c>
      <c r="S453" s="10" t="s">
        <v>116</v>
      </c>
      <c r="T453" s="10" t="s">
        <v>114</v>
      </c>
      <c r="U453" s="10" t="s">
        <v>116</v>
      </c>
      <c r="V453" s="10" t="s">
        <v>303</v>
      </c>
      <c r="W453" s="10" t="s">
        <v>119</v>
      </c>
      <c r="X453" s="10" t="s">
        <v>120</v>
      </c>
      <c r="Y453" s="10"/>
      <c r="Z453" s="10"/>
      <c r="AA453" s="10" t="s">
        <v>230</v>
      </c>
      <c r="AB453" s="8" t="n">
        <f aca="true">IF($F453="","",TODAY()-$F453)</f>
        <v>116</v>
      </c>
      <c r="AC453" s="10" t="s">
        <v>273</v>
      </c>
      <c r="AD453" s="10"/>
      <c r="AE453" s="10"/>
      <c r="AF453" s="10"/>
      <c r="AG453" s="10"/>
      <c r="AH453" s="10"/>
      <c r="AI453" s="10"/>
      <c r="AJ453" s="10" t="s">
        <v>123</v>
      </c>
      <c r="AK453" s="10" t="s">
        <v>831</v>
      </c>
      <c r="AL453" s="10" t="s">
        <v>1596</v>
      </c>
      <c r="AM453" s="10"/>
      <c r="AN453" s="8"/>
      <c r="AO453" s="10" t="s">
        <v>669</v>
      </c>
      <c r="AP453" s="10" t="s">
        <v>188</v>
      </c>
      <c r="AQ453" s="11" t="n">
        <v>46196</v>
      </c>
      <c r="AR453" s="13" t="s">
        <v>273</v>
      </c>
      <c r="AS453" s="13" t="s">
        <v>1003</v>
      </c>
      <c r="AT453" s="13"/>
      <c r="AU453" s="13"/>
      <c r="AV453" s="13"/>
      <c r="AW453" s="13"/>
      <c r="AX453" s="13" t="s">
        <v>273</v>
      </c>
      <c r="AY453" s="7" t="s">
        <v>411</v>
      </c>
      <c r="AZ453" s="7"/>
      <c r="BA453" s="7" t="s">
        <v>41</v>
      </c>
      <c r="BB453" s="7" t="s">
        <v>1003</v>
      </c>
      <c r="BC453" s="7"/>
      <c r="BD453" s="9"/>
      <c r="BE453" s="7"/>
      <c r="BF453" s="14" t="str">
        <f aca="true">IF(TRIM($A453)="Finalized","Closed",IF($BD453="","No review date set",IF($BD453&lt;TODAY(),"OVERDUE",IF($BD453-TODAY()&lt;=7,"Due within 7 days","Scheduled"))))</f>
        <v>Closed</v>
      </c>
      <c r="BG453" s="14" t="n">
        <f aca="true">IF($K453="","",TODAY()-$K453)</f>
        <v>29</v>
      </c>
      <c r="BH453" s="15" t="str">
        <f aca="false">IFERROR(LEFT(IF($B453="","Notes, ","")&amp;IF($K453="","Latest Date Worked, ","")&amp;IF($AY453="","Last Action, ","")&amp;IF(AND(OR(TRIM($A453)="Denied",TRIM($A453)="Rejected"),$BA453=""),"Denial Reason, ","")&amp;IF(AND(TRIM($A453)="Denied",$BB453="",TRIM($BA453)&lt;&gt;"NO DENIAL"),"Denial Code, ","")&amp;IF(AND(TRIM($A453)&lt;&gt;"Finalized",$BD453=""),"Next Review Date, ","")&amp;IF(AND(TRIM($A453)&lt;&gt;"Finalized",$BE453=""),"Next Step, ","")&amp;IF(AND(TRIM($A453)="Finalized",$AV453="",$AR453="",$AT453="",$AX453="",$AW453=""),"CPT outcome, ",""),LEN(IF($B453="","Notes, ","")&amp;IF($K453="","Latest Date Worked, ","")&amp;IF($AY453="","Last Action, ","")&amp;IF(AND(OR(TRIM($A453)="Denied",TRIM($A453)="Rejected"),$BA453=""),"Denial Reason, ","")&amp;IF(AND(TRIM($A453)="Denied",$BB453="",TRIM($BA453)&lt;&gt;"NO DENIAL"),"Denial Code, ","")&amp;IF(AND(TRIM($A453)&lt;&gt;"Finalized",$BD453=""),"Next Review Date, ","")&amp;IF(AND(TRIM($A453)&lt;&gt;"Finalized",$BE453=""),"Next Step, ","")&amp;IF(AND(TRIM($A453)="Finalized",$AV453="",$AR453="",$AT453="",$AX453="",$AW453=""),"CPT outcome, ",""))-2),"")</f>
        <v/>
      </c>
      <c r="BI453" s="15" t="str">
        <f aca="false">IF($BB453="","",IFERROR(INDEX('Denial Codes'!$C:$C,MATCH(LEFT($BB453,FIND(" - ",$BB453&amp;" - ")+2)&amp;"*",'Denial Codes'!$A:$A,0)),""))</f>
        <v>Not covered by plan</v>
      </c>
      <c r="BJ453" s="15" t="str">
        <f aca="false">IF($BA453="","",IFERROR(INDEX(Lists!$B:$B,MATCH(TRIM($BA453),Lists!$A:$A,0))&amp;"",""))</f>
        <v>Confirm benefits; bill the patient if an ABN/waiver is on file, otherwise appeal or adjust.</v>
      </c>
    </row>
    <row r="454" customFormat="false" ht="15" hidden="false" customHeight="false" outlineLevel="0" collapsed="false">
      <c r="A454" s="7" t="s">
        <v>16</v>
      </c>
      <c r="B454" s="7" t="s">
        <v>1735</v>
      </c>
      <c r="C454" s="8" t="n">
        <v>563166125</v>
      </c>
      <c r="D454" s="9" t="n">
        <v>46222</v>
      </c>
      <c r="E454" s="10" t="s">
        <v>1736</v>
      </c>
      <c r="F454" s="11" t="n">
        <v>46195</v>
      </c>
      <c r="G454" s="10" t="s">
        <v>369</v>
      </c>
      <c r="H454" s="10" t="s">
        <v>369</v>
      </c>
      <c r="I454" s="10" t="s">
        <v>129</v>
      </c>
      <c r="J454" s="10" t="s">
        <v>461</v>
      </c>
      <c r="K454" s="9" t="n">
        <v>46282</v>
      </c>
      <c r="L454" s="12" t="str">
        <f aca="true">IF($O454="","",$O454-TODAY())</f>
        <v/>
      </c>
      <c r="M454" s="12" t="str">
        <f aca="true">IF(AND(TRIM($A454)="Finalized",$K454&lt;&gt;""),"",IF($D454="","",$D454+365-TODAY()))</f>
        <v/>
      </c>
      <c r="N454" s="12" t="str">
        <f aca="true">IF(AND(TRIM($A454)="Finalized",$K454&lt;&gt;""),"",IF($D454="","",$D454+365-TODAY()))</f>
        <v/>
      </c>
      <c r="O454" s="11" t="str">
        <f aca="false">IF(AND(TRIM($A454)="Finalized",$K454&lt;&gt;""),"",DATE(2026,9,20))</f>
        <v/>
      </c>
      <c r="P454" s="10" t="s">
        <v>165</v>
      </c>
      <c r="Q454" s="10" t="s">
        <v>371</v>
      </c>
      <c r="R454" s="10" t="s">
        <v>114</v>
      </c>
      <c r="S454" s="10" t="s">
        <v>116</v>
      </c>
      <c r="T454" s="10" t="s">
        <v>114</v>
      </c>
      <c r="U454" s="10" t="s">
        <v>116</v>
      </c>
      <c r="V454" s="10" t="s">
        <v>303</v>
      </c>
      <c r="W454" s="10" t="s">
        <v>119</v>
      </c>
      <c r="X454" s="10" t="s">
        <v>120</v>
      </c>
      <c r="Y454" s="10"/>
      <c r="Z454" s="10"/>
      <c r="AA454" s="10" t="s">
        <v>230</v>
      </c>
      <c r="AB454" s="8" t="n">
        <f aca="true">IF($F454="","",TODAY()-$F454)</f>
        <v>116</v>
      </c>
      <c r="AC454" s="10" t="s">
        <v>273</v>
      </c>
      <c r="AD454" s="10"/>
      <c r="AE454" s="10"/>
      <c r="AF454" s="10"/>
      <c r="AG454" s="10"/>
      <c r="AH454" s="10"/>
      <c r="AI454" s="10"/>
      <c r="AJ454" s="10" t="s">
        <v>123</v>
      </c>
      <c r="AK454" s="10" t="s">
        <v>124</v>
      </c>
      <c r="AL454" s="10"/>
      <c r="AM454" s="10"/>
      <c r="AN454" s="8"/>
      <c r="AO454" s="10" t="s">
        <v>341</v>
      </c>
      <c r="AP454" s="10" t="s">
        <v>308</v>
      </c>
      <c r="AQ454" s="11" t="n">
        <v>46196</v>
      </c>
      <c r="AR454" s="13"/>
      <c r="AS454" s="13"/>
      <c r="AT454" s="13" t="s">
        <v>273</v>
      </c>
      <c r="AU454" s="13" t="s">
        <v>464</v>
      </c>
      <c r="AV454" s="13"/>
      <c r="AW454" s="13"/>
      <c r="AX454" s="13"/>
      <c r="AY454" s="7" t="s">
        <v>465</v>
      </c>
      <c r="AZ454" s="7"/>
      <c r="BA454" s="7" t="s">
        <v>34</v>
      </c>
      <c r="BB454" s="7" t="s">
        <v>464</v>
      </c>
      <c r="BC454" s="7"/>
      <c r="BD454" s="9"/>
      <c r="BE454" s="7"/>
      <c r="BF454" s="14" t="str">
        <f aca="true">IF(TRIM($A454)="Finalized","Closed",IF($BD454="","No review date set",IF($BD454&lt;TODAY(),"OVERDUE",IF($BD454-TODAY()&lt;=7,"Due within 7 days","Scheduled"))))</f>
        <v>Closed</v>
      </c>
      <c r="BG454" s="14" t="n">
        <f aca="true">IF($K454="","",TODAY()-$K454)</f>
        <v>29</v>
      </c>
      <c r="BH454" s="15" t="str">
        <f aca="false">IFERROR(LEFT(IF($B454="","Notes, ","")&amp;IF($K454="","Latest Date Worked, ","")&amp;IF($AY454="","Last Action, ","")&amp;IF(AND(OR(TRIM($A454)="Denied",TRIM($A454)="Rejected"),$BA454=""),"Denial Reason, ","")&amp;IF(AND(TRIM($A454)="Denied",$BB454="",TRIM($BA454)&lt;&gt;"NO DENIAL"),"Denial Code, ","")&amp;IF(AND(TRIM($A454)&lt;&gt;"Finalized",$BD454=""),"Next Review Date, ","")&amp;IF(AND(TRIM($A454)&lt;&gt;"Finalized",$BE454=""),"Next Step, ","")&amp;IF(AND(TRIM($A454)="Finalized",$AV454="",$AR454="",$AT454="",$AX454="",$AW454=""),"CPT outcome, ",""),LEN(IF($B454="","Notes, ","")&amp;IF($K454="","Latest Date Worked, ","")&amp;IF($AY454="","Last Action, ","")&amp;IF(AND(OR(TRIM($A454)="Denied",TRIM($A454)="Rejected"),$BA454=""),"Denial Reason, ","")&amp;IF(AND(TRIM($A454)="Denied",$BB454="",TRIM($BA454)&lt;&gt;"NO DENIAL"),"Denial Code, ","")&amp;IF(AND(TRIM($A454)&lt;&gt;"Finalized",$BD454=""),"Next Review Date, ","")&amp;IF(AND(TRIM($A454)&lt;&gt;"Finalized",$BE454=""),"Next Step, ","")&amp;IF(AND(TRIM($A454)="Finalized",$AV454="",$AR454="",$AT454="",$AX454="",$AW454=""),"CPT outcome, ",""))-2),"")</f>
        <v/>
      </c>
      <c r="BI454" s="15" t="str">
        <f aca="false">IF($BB454="","",IFERROR(INDEX('Denial Codes'!$C:$C,MATCH(LEFT($BB454,FIND(" - ",$BB454&amp;" - ")+2)&amp;"*",'Denial Codes'!$A:$A,0)),""))</f>
        <v>No authorization</v>
      </c>
      <c r="BJ454" s="15" t="str">
        <f aca="false">IF($BA454="","",IFERROR(INDEX(Lists!$B:$B,MATCH(TRIM($BA454),Lists!$A:$A,0))&amp;"",""))</f>
        <v>Check the portal for an auth; request a retro-auth or file an appeal with the auth number, then resubmit.</v>
      </c>
    </row>
    <row r="455" customFormat="false" ht="15" hidden="false" customHeight="false" outlineLevel="0" collapsed="false">
      <c r="A455" s="7" t="s">
        <v>16</v>
      </c>
      <c r="B455" s="7" t="s">
        <v>1737</v>
      </c>
      <c r="C455" s="8" t="n">
        <v>563202959</v>
      </c>
      <c r="D455" s="9" t="n">
        <v>46210</v>
      </c>
      <c r="E455" s="10" t="s">
        <v>1738</v>
      </c>
      <c r="F455" s="11" t="n">
        <v>46195</v>
      </c>
      <c r="G455" s="10" t="s">
        <v>163</v>
      </c>
      <c r="H455" s="10" t="s">
        <v>163</v>
      </c>
      <c r="I455" s="10" t="s">
        <v>129</v>
      </c>
      <c r="J455" s="10" t="s">
        <v>1242</v>
      </c>
      <c r="K455" s="9" t="n">
        <v>46282</v>
      </c>
      <c r="L455" s="12" t="str">
        <f aca="true">IF($O455="","",$O455-TODAY())</f>
        <v/>
      </c>
      <c r="M455" s="12" t="str">
        <f aca="true">IF(AND(TRIM($A455)="Finalized",$K455&lt;&gt;""),"",IF($F455="","",$F455+90-TODAY()))</f>
        <v/>
      </c>
      <c r="N455" s="12" t="str">
        <f aca="true">IF(AND(TRIM($A455)="Finalized",$K455&lt;&gt;""),"",IF($D455="","",$D455+365-TODAY()))</f>
        <v/>
      </c>
      <c r="O455" s="11" t="str">
        <f aca="false">IF(AND(TRIM($A455)="Finalized",$K455&lt;&gt;""),"",DATE(2026,9,20))</f>
        <v/>
      </c>
      <c r="P455" s="10" t="s">
        <v>165</v>
      </c>
      <c r="Q455" s="10" t="s">
        <v>166</v>
      </c>
      <c r="R455" s="10" t="s">
        <v>165</v>
      </c>
      <c r="S455" s="10" t="s">
        <v>149</v>
      </c>
      <c r="T455" s="10" t="s">
        <v>114</v>
      </c>
      <c r="U455" s="10" t="s">
        <v>116</v>
      </c>
      <c r="V455" s="10" t="s">
        <v>303</v>
      </c>
      <c r="W455" s="10" t="s">
        <v>119</v>
      </c>
      <c r="X455" s="10" t="s">
        <v>304</v>
      </c>
      <c r="Y455" s="10"/>
      <c r="Z455" s="10"/>
      <c r="AA455" s="10" t="s">
        <v>197</v>
      </c>
      <c r="AB455" s="8" t="n">
        <f aca="true">IF($F455="","",TODAY()-$F455)</f>
        <v>116</v>
      </c>
      <c r="AC455" s="10" t="s">
        <v>584</v>
      </c>
      <c r="AD455" s="10"/>
      <c r="AE455" s="10"/>
      <c r="AF455" s="10"/>
      <c r="AG455" s="10"/>
      <c r="AH455" s="10"/>
      <c r="AI455" s="10"/>
      <c r="AJ455" s="10" t="s">
        <v>1739</v>
      </c>
      <c r="AK455" s="10"/>
      <c r="AL455" s="10"/>
      <c r="AM455" s="10"/>
      <c r="AN455" s="8"/>
      <c r="AO455" s="10" t="s">
        <v>506</v>
      </c>
      <c r="AP455" s="10" t="s">
        <v>188</v>
      </c>
      <c r="AQ455" s="11" t="n">
        <v>46196</v>
      </c>
      <c r="AR455" s="13"/>
      <c r="AS455" s="13"/>
      <c r="AT455" s="13" t="s">
        <v>584</v>
      </c>
      <c r="AU455" s="13" t="s">
        <v>1740</v>
      </c>
      <c r="AV455" s="13"/>
      <c r="AW455" s="13"/>
      <c r="AX455" s="13"/>
      <c r="AY455" s="7" t="s">
        <v>465</v>
      </c>
      <c r="AZ455" s="7"/>
      <c r="BA455" s="7" t="s">
        <v>34</v>
      </c>
      <c r="BB455" s="7" t="s">
        <v>1740</v>
      </c>
      <c r="BC455" s="7"/>
      <c r="BD455" s="9"/>
      <c r="BE455" s="7"/>
      <c r="BF455" s="14" t="str">
        <f aca="true">IF(TRIM($A455)="Finalized","Closed",IF($BD455="","No review date set",IF($BD455&lt;TODAY(),"OVERDUE",IF($BD455-TODAY()&lt;=7,"Due within 7 days","Scheduled"))))</f>
        <v>Closed</v>
      </c>
      <c r="BG455" s="14" t="n">
        <f aca="true">IF($K455="","",TODAY()-$K455)</f>
        <v>29</v>
      </c>
      <c r="BH455" s="15" t="str">
        <f aca="false">IFERROR(LEFT(IF($B455="","Notes, ","")&amp;IF($K455="","Latest Date Worked, ","")&amp;IF($AY455="","Last Action, ","")&amp;IF(AND(OR(TRIM($A455)="Denied",TRIM($A455)="Rejected"),$BA455=""),"Denial Reason, ","")&amp;IF(AND(TRIM($A455)="Denied",$BB455="",TRIM($BA455)&lt;&gt;"NO DENIAL"),"Denial Code, ","")&amp;IF(AND(TRIM($A455)&lt;&gt;"Finalized",$BD455=""),"Next Review Date, ","")&amp;IF(AND(TRIM($A455)&lt;&gt;"Finalized",$BE455=""),"Next Step, ","")&amp;IF(AND(TRIM($A455)="Finalized",$AV455="",$AR455="",$AT455="",$AX455="",$AW455=""),"CPT outcome, ",""),LEN(IF($B455="","Notes, ","")&amp;IF($K455="","Latest Date Worked, ","")&amp;IF($AY455="","Last Action, ","")&amp;IF(AND(OR(TRIM($A455)="Denied",TRIM($A455)="Rejected"),$BA455=""),"Denial Reason, ","")&amp;IF(AND(TRIM($A455)="Denied",$BB455="",TRIM($BA455)&lt;&gt;"NO DENIAL"),"Denial Code, ","")&amp;IF(AND(TRIM($A455)&lt;&gt;"Finalized",$BD455=""),"Next Review Date, ","")&amp;IF(AND(TRIM($A455)&lt;&gt;"Finalized",$BE455=""),"Next Step, ","")&amp;IF(AND(TRIM($A455)="Finalized",$AV455="",$AR455="",$AT455="",$AX455="",$AW455=""),"CPT outcome, ",""))-2),"")</f>
        <v/>
      </c>
      <c r="BI455" s="15" t="str">
        <f aca="false">IF($BB455="","",IFERROR(INDEX('Denial Codes'!$C:$C,MATCH(LEFT($BB455,FIND(" - ",$BB455&amp;" - ")+2)&amp;"*",'Denial Codes'!$A:$A,0)),""))</f>
        <v>No authorization</v>
      </c>
      <c r="BJ455" s="15" t="str">
        <f aca="false">IF($BA455="","",IFERROR(INDEX(Lists!$B:$B,MATCH(TRIM($BA455),Lists!$A:$A,0))&amp;"",""))</f>
        <v>Check the portal for an auth; request a retro-auth or file an appeal with the auth number, then resubmit.</v>
      </c>
    </row>
    <row r="456" customFormat="false" ht="15" hidden="false" customHeight="false" outlineLevel="0" collapsed="false">
      <c r="A456" s="7" t="s">
        <v>16</v>
      </c>
      <c r="B456" s="7" t="s">
        <v>1741</v>
      </c>
      <c r="C456" s="8" t="n">
        <v>563023433</v>
      </c>
      <c r="D456" s="9" t="n">
        <v>46238</v>
      </c>
      <c r="E456" s="10" t="s">
        <v>1742</v>
      </c>
      <c r="F456" s="11" t="n">
        <v>46195</v>
      </c>
      <c r="G456" s="10" t="s">
        <v>163</v>
      </c>
      <c r="H456" s="10" t="s">
        <v>163</v>
      </c>
      <c r="I456" s="10" t="s">
        <v>129</v>
      </c>
      <c r="J456" s="10" t="s">
        <v>997</v>
      </c>
      <c r="K456" s="9" t="n">
        <v>46283</v>
      </c>
      <c r="L456" s="12" t="str">
        <f aca="true">IF($O456="","",$O456-TODAY())</f>
        <v/>
      </c>
      <c r="M456" s="12" t="str">
        <f aca="true">IF(AND(TRIM($A456)="Finalized",$K456&lt;&gt;""),"",IF($F456="","",$F456+90-TODAY()))</f>
        <v/>
      </c>
      <c r="N456" s="12" t="str">
        <f aca="true">IF(AND(TRIM($A456)="Finalized",$K456&lt;&gt;""),"",IF($D456="","",$D456+365-TODAY()))</f>
        <v/>
      </c>
      <c r="O456" s="11" t="str">
        <f aca="false">IF(AND(TRIM($A456)="Finalized",$K456&lt;&gt;""),"",DATE(2026,9,20))</f>
        <v/>
      </c>
      <c r="P456" s="10" t="s">
        <v>165</v>
      </c>
      <c r="Q456" s="10" t="s">
        <v>166</v>
      </c>
      <c r="R456" s="10" t="s">
        <v>165</v>
      </c>
      <c r="S456" s="10" t="s">
        <v>149</v>
      </c>
      <c r="T456" s="10" t="s">
        <v>114</v>
      </c>
      <c r="U456" s="10" t="s">
        <v>116</v>
      </c>
      <c r="V456" s="10" t="s">
        <v>303</v>
      </c>
      <c r="W456" s="10" t="s">
        <v>183</v>
      </c>
      <c r="X456" s="10"/>
      <c r="Y456" s="10"/>
      <c r="Z456" s="10"/>
      <c r="AA456" s="10" t="s">
        <v>197</v>
      </c>
      <c r="AB456" s="8" t="n">
        <f aca="true">IF($F456="","",TODAY()-$F456)</f>
        <v>116</v>
      </c>
      <c r="AC456" s="10" t="s">
        <v>283</v>
      </c>
      <c r="AD456" s="10"/>
      <c r="AE456" s="10"/>
      <c r="AF456" s="10"/>
      <c r="AG456" s="10"/>
      <c r="AH456" s="10"/>
      <c r="AI456" s="10"/>
      <c r="AJ456" s="10" t="s">
        <v>284</v>
      </c>
      <c r="AK456" s="10" t="s">
        <v>285</v>
      </c>
      <c r="AL456" s="10"/>
      <c r="AM456" s="10"/>
      <c r="AN456" s="8"/>
      <c r="AO456" s="10" t="s">
        <v>286</v>
      </c>
      <c r="AP456" s="10" t="s">
        <v>318</v>
      </c>
      <c r="AQ456" s="11" t="n">
        <v>46234</v>
      </c>
      <c r="AR456" s="13"/>
      <c r="AS456" s="13"/>
      <c r="AT456" s="13" t="n">
        <v>99204</v>
      </c>
      <c r="AU456" s="13" t="s">
        <v>1743</v>
      </c>
      <c r="AV456" s="13" t="s">
        <v>1744</v>
      </c>
      <c r="AW456" s="13"/>
      <c r="AX456" s="13"/>
      <c r="AY456" s="7" t="s">
        <v>363</v>
      </c>
      <c r="AZ456" s="7"/>
      <c r="BA456" s="7" t="s">
        <v>40</v>
      </c>
      <c r="BB456" s="7" t="s">
        <v>1743</v>
      </c>
      <c r="BC456" s="7"/>
      <c r="BD456" s="9"/>
      <c r="BE456" s="7"/>
      <c r="BF456" s="14" t="str">
        <f aca="true">IF(TRIM($A456)="Finalized","Closed",IF($BD456="","No review date set",IF($BD456&lt;TODAY(),"OVERDUE",IF($BD456-TODAY()&lt;=7,"Due within 7 days","Scheduled"))))</f>
        <v>Closed</v>
      </c>
      <c r="BG456" s="14" t="n">
        <f aca="true">IF($K456="","",TODAY()-$K456)</f>
        <v>28</v>
      </c>
      <c r="BH456" s="15" t="str">
        <f aca="false">IFERROR(LEFT(IF($B456="","Notes, ","")&amp;IF($K456="","Latest Date Worked, ","")&amp;IF($AY456="","Last Action, ","")&amp;IF(AND(OR(TRIM($A456)="Denied",TRIM($A456)="Rejected"),$BA456=""),"Denial Reason, ","")&amp;IF(AND(TRIM($A456)="Denied",$BB456="",TRIM($BA456)&lt;&gt;"NO DENIAL"),"Denial Code, ","")&amp;IF(AND(TRIM($A456)&lt;&gt;"Finalized",$BD456=""),"Next Review Date, ","")&amp;IF(AND(TRIM($A456)&lt;&gt;"Finalized",$BE456=""),"Next Step, ","")&amp;IF(AND(TRIM($A456)="Finalized",$AV456="",$AR456="",$AT456="",$AX456="",$AW456=""),"CPT outcome, ",""),LEN(IF($B456="","Notes, ","")&amp;IF($K456="","Latest Date Worked, ","")&amp;IF($AY456="","Last Action, ","")&amp;IF(AND(OR(TRIM($A456)="Denied",TRIM($A456)="Rejected"),$BA456=""),"Denial Reason, ","")&amp;IF(AND(TRIM($A456)="Denied",$BB456="",TRIM($BA456)&lt;&gt;"NO DENIAL"),"Denial Code, ","")&amp;IF(AND(TRIM($A456)&lt;&gt;"Finalized",$BD456=""),"Next Review Date, ","")&amp;IF(AND(TRIM($A456)&lt;&gt;"Finalized",$BE456=""),"Next Step, ","")&amp;IF(AND(TRIM($A456)="Finalized",$AV456="",$AR456="",$AT456="",$AX456="",$AW456=""),"CPT outcome, ",""))-2),"")</f>
        <v/>
      </c>
      <c r="BI456" s="15" t="str">
        <f aca="false">IF($BB456="","",IFERROR(INDEX('Denial Codes'!$C:$C,MATCH(LEFT($BB456,FIND(" - ",$BB456&amp;" - ")+2)&amp;"*",'Denial Codes'!$A:$A,0)),""))</f>
        <v>Coding / billing error</v>
      </c>
      <c r="BJ456" s="15" t="str">
        <f aca="false">IF($BA456="","",IFERROR(INDEX(Lists!$B:$B,MATCH(TRIM($BA456),Lists!$A:$A,0))&amp;"",""))</f>
        <v>Fix the code, units, charge or other claim data and resubmit as a corrected claim.</v>
      </c>
    </row>
    <row r="457" customFormat="false" ht="15" hidden="false" customHeight="false" outlineLevel="0" collapsed="false">
      <c r="A457" s="7" t="s">
        <v>16</v>
      </c>
      <c r="B457" s="7" t="s">
        <v>1737</v>
      </c>
      <c r="C457" s="8" t="n">
        <v>564106567</v>
      </c>
      <c r="D457" s="9" t="n">
        <v>46243</v>
      </c>
      <c r="E457" s="10" t="s">
        <v>1745</v>
      </c>
      <c r="F457" s="11" t="n">
        <v>46198</v>
      </c>
      <c r="G457" s="10" t="s">
        <v>163</v>
      </c>
      <c r="H457" s="10" t="s">
        <v>163</v>
      </c>
      <c r="I457" s="10" t="s">
        <v>129</v>
      </c>
      <c r="J457" s="10" t="s">
        <v>272</v>
      </c>
      <c r="K457" s="9" t="n">
        <v>46243</v>
      </c>
      <c r="L457" s="12" t="str">
        <f aca="true">IF($O457="","",$O457-TODAY())</f>
        <v/>
      </c>
      <c r="M457" s="12" t="str">
        <f aca="true">IF(AND(TRIM($A457)="Finalized",$K457&lt;&gt;""),"",IF($F457="","",$F457+90-TODAY()))</f>
        <v/>
      </c>
      <c r="N457" s="12" t="str">
        <f aca="true">IF(AND(TRIM($A457)="Finalized",$K457&lt;&gt;""),"",IF($D457="","",$D457+365-TODAY()))</f>
        <v/>
      </c>
      <c r="O457" s="11" t="str">
        <f aca="false">IF(AND(TRIM($A457)="Finalized",$K457&lt;&gt;""),"",DATE(2026,9,23))</f>
        <v/>
      </c>
      <c r="P457" s="10" t="s">
        <v>165</v>
      </c>
      <c r="Q457" s="10" t="s">
        <v>166</v>
      </c>
      <c r="R457" s="10" t="s">
        <v>165</v>
      </c>
      <c r="S457" s="10" t="s">
        <v>149</v>
      </c>
      <c r="T457" s="10" t="s">
        <v>114</v>
      </c>
      <c r="U457" s="10" t="s">
        <v>116</v>
      </c>
      <c r="V457" s="10" t="s">
        <v>303</v>
      </c>
      <c r="W457" s="10" t="s">
        <v>119</v>
      </c>
      <c r="X457" s="10" t="s">
        <v>120</v>
      </c>
      <c r="Y457" s="10"/>
      <c r="Z457" s="10"/>
      <c r="AA457" s="10" t="s">
        <v>121</v>
      </c>
      <c r="AB457" s="8" t="n">
        <f aca="true">IF($F457="","",TODAY()-$F457)</f>
        <v>113</v>
      </c>
      <c r="AC457" s="10" t="s">
        <v>273</v>
      </c>
      <c r="AD457" s="10"/>
      <c r="AE457" s="10"/>
      <c r="AF457" s="10"/>
      <c r="AG457" s="10"/>
      <c r="AH457" s="10"/>
      <c r="AI457" s="10"/>
      <c r="AJ457" s="10" t="s">
        <v>123</v>
      </c>
      <c r="AK457" s="10" t="s">
        <v>1746</v>
      </c>
      <c r="AL457" s="10"/>
      <c r="AM457" s="10"/>
      <c r="AN457" s="8"/>
      <c r="AO457" s="10" t="s">
        <v>336</v>
      </c>
      <c r="AP457" s="10" t="s">
        <v>308</v>
      </c>
      <c r="AQ457" s="11" t="n">
        <v>46205</v>
      </c>
      <c r="AR457" s="13"/>
      <c r="AS457" s="13"/>
      <c r="AT457" s="13" t="s">
        <v>273</v>
      </c>
      <c r="AU457" s="13" t="s">
        <v>464</v>
      </c>
      <c r="AV457" s="13"/>
      <c r="AW457" s="13"/>
      <c r="AX457" s="13"/>
      <c r="AY457" s="7" t="s">
        <v>465</v>
      </c>
      <c r="AZ457" s="7"/>
      <c r="BA457" s="7" t="s">
        <v>34</v>
      </c>
      <c r="BB457" s="7" t="s">
        <v>464</v>
      </c>
      <c r="BC457" s="7"/>
      <c r="BD457" s="9"/>
      <c r="BE457" s="7"/>
      <c r="BF457" s="14" t="str">
        <f aca="true">IF(TRIM($A457)="Finalized","Closed",IF($BD457="","No review date set",IF($BD457&lt;TODAY(),"OVERDUE",IF($BD457-TODAY()&lt;=7,"Due within 7 days","Scheduled"))))</f>
        <v>Closed</v>
      </c>
      <c r="BG457" s="14" t="n">
        <f aca="true">IF($K457="","",TODAY()-$K457)</f>
        <v>68</v>
      </c>
      <c r="BH457" s="15" t="str">
        <f aca="false">IFERROR(LEFT(IF($B457="","Notes, ","")&amp;IF($K457="","Latest Date Worked, ","")&amp;IF($AY457="","Last Action, ","")&amp;IF(AND(OR(TRIM($A457)="Denied",TRIM($A457)="Rejected"),$BA457=""),"Denial Reason, ","")&amp;IF(AND(TRIM($A457)="Denied",$BB457="",TRIM($BA457)&lt;&gt;"NO DENIAL"),"Denial Code, ","")&amp;IF(AND(TRIM($A457)&lt;&gt;"Finalized",$BD457=""),"Next Review Date, ","")&amp;IF(AND(TRIM($A457)&lt;&gt;"Finalized",$BE457=""),"Next Step, ","")&amp;IF(AND(TRIM($A457)="Finalized",$AV457="",$AR457="",$AT457="",$AX457="",$AW457=""),"CPT outcome, ",""),LEN(IF($B457="","Notes, ","")&amp;IF($K457="","Latest Date Worked, ","")&amp;IF($AY457="","Last Action, ","")&amp;IF(AND(OR(TRIM($A457)="Denied",TRIM($A457)="Rejected"),$BA457=""),"Denial Reason, ","")&amp;IF(AND(TRIM($A457)="Denied",$BB457="",TRIM($BA457)&lt;&gt;"NO DENIAL"),"Denial Code, ","")&amp;IF(AND(TRIM($A457)&lt;&gt;"Finalized",$BD457=""),"Next Review Date, ","")&amp;IF(AND(TRIM($A457)&lt;&gt;"Finalized",$BE457=""),"Next Step, ","")&amp;IF(AND(TRIM($A457)="Finalized",$AV457="",$AR457="",$AT457="",$AX457="",$AW457=""),"CPT outcome, ",""))-2),"")</f>
        <v/>
      </c>
      <c r="BI457" s="15" t="str">
        <f aca="false">IF($BB457="","",IFERROR(INDEX('Denial Codes'!$C:$C,MATCH(LEFT($BB457,FIND(" - ",$BB457&amp;" - ")+2)&amp;"*",'Denial Codes'!$A:$A,0)),""))</f>
        <v>No authorization</v>
      </c>
      <c r="BJ457" s="15" t="str">
        <f aca="false">IF($BA457="","",IFERROR(INDEX(Lists!$B:$B,MATCH(TRIM($BA457),Lists!$A:$A,0))&amp;"",""))</f>
        <v>Check the portal for an auth; request a retro-auth or file an appeal with the auth number, then resubmit.</v>
      </c>
    </row>
    <row r="458" customFormat="false" ht="15" hidden="false" customHeight="false" outlineLevel="0" collapsed="false">
      <c r="A458" s="7" t="s">
        <v>16</v>
      </c>
      <c r="B458" s="7" t="s">
        <v>1747</v>
      </c>
      <c r="C458" s="8" t="n">
        <v>560608599</v>
      </c>
      <c r="D458" s="9" t="n">
        <v>46252</v>
      </c>
      <c r="E458" s="10" t="s">
        <v>1748</v>
      </c>
      <c r="F458" s="11" t="n">
        <v>46169</v>
      </c>
      <c r="G458" s="10" t="s">
        <v>111</v>
      </c>
      <c r="H458" s="10" t="s">
        <v>111</v>
      </c>
      <c r="I458" s="10" t="s">
        <v>129</v>
      </c>
      <c r="J458" s="10" t="s">
        <v>280</v>
      </c>
      <c r="K458" s="9" t="n">
        <v>46276</v>
      </c>
      <c r="L458" s="12" t="str">
        <f aca="true">IF($O458="","",$O458-TODAY())</f>
        <v/>
      </c>
      <c r="M458" s="12" t="str">
        <f aca="true">IF(AND(TRIM($A458)="Finalized",$K458&lt;&gt;""),"",IF($D458="","",$D458+180-TODAY()))</f>
        <v/>
      </c>
      <c r="N458" s="12" t="str">
        <f aca="true">IF(AND(TRIM($A458)="Finalized",$K458&lt;&gt;""),"",IF($D458="","",$D458+180-TODAY()))</f>
        <v/>
      </c>
      <c r="O458" s="11" t="str">
        <f aca="false">IF(AND(TRIM($A458)="Finalized",$K458&lt;&gt;""),"",DATE(2026,9,24))</f>
        <v/>
      </c>
      <c r="P458" s="10" t="s">
        <v>117</v>
      </c>
      <c r="Q458" s="10" t="s">
        <v>609</v>
      </c>
      <c r="R458" s="10" t="s">
        <v>147</v>
      </c>
      <c r="S458" s="10" t="s">
        <v>116</v>
      </c>
      <c r="T458" s="10" t="s">
        <v>147</v>
      </c>
      <c r="U458" s="10" t="s">
        <v>116</v>
      </c>
      <c r="V458" s="10" t="s">
        <v>266</v>
      </c>
      <c r="W458" s="10" t="s">
        <v>183</v>
      </c>
      <c r="X458" s="10" t="s">
        <v>282</v>
      </c>
      <c r="Y458" s="10"/>
      <c r="Z458" s="10"/>
      <c r="AA458" s="10" t="s">
        <v>197</v>
      </c>
      <c r="AB458" s="8" t="n">
        <f aca="true">IF($F458="","",TODAY()-$F458)</f>
        <v>142</v>
      </c>
      <c r="AC458" s="10" t="s">
        <v>283</v>
      </c>
      <c r="AD458" s="10"/>
      <c r="AE458" s="10"/>
      <c r="AF458" s="10"/>
      <c r="AG458" s="10"/>
      <c r="AH458" s="10"/>
      <c r="AI458" s="10"/>
      <c r="AJ458" s="10" t="s">
        <v>1746</v>
      </c>
      <c r="AK458" s="10" t="s">
        <v>1749</v>
      </c>
      <c r="AL458" s="10" t="s">
        <v>284</v>
      </c>
      <c r="AM458" s="10" t="s">
        <v>285</v>
      </c>
      <c r="AN458" s="8"/>
      <c r="AO458" s="10" t="s">
        <v>286</v>
      </c>
      <c r="AP458" s="10" t="s">
        <v>202</v>
      </c>
      <c r="AQ458" s="11" t="n">
        <v>46234</v>
      </c>
      <c r="AR458" s="13" t="s">
        <v>283</v>
      </c>
      <c r="AS458" s="13" t="s">
        <v>1696</v>
      </c>
      <c r="AT458" s="13"/>
      <c r="AU458" s="13"/>
      <c r="AV458" s="13"/>
      <c r="AW458" s="13"/>
      <c r="AX458" s="13"/>
      <c r="AY458" s="7" t="s">
        <v>465</v>
      </c>
      <c r="AZ458" s="7"/>
      <c r="BA458" s="7" t="s">
        <v>41</v>
      </c>
      <c r="BB458" s="7" t="s">
        <v>1696</v>
      </c>
      <c r="BC458" s="7"/>
      <c r="BD458" s="9"/>
      <c r="BE458" s="7"/>
      <c r="BF458" s="14" t="str">
        <f aca="true">IF(TRIM($A458)="Finalized","Closed",IF($BD458="","No review date set",IF($BD458&lt;TODAY(),"OVERDUE",IF($BD458-TODAY()&lt;=7,"Due within 7 days","Scheduled"))))</f>
        <v>Closed</v>
      </c>
      <c r="BG458" s="14" t="n">
        <f aca="true">IF($K458="","",TODAY()-$K458)</f>
        <v>35</v>
      </c>
      <c r="BH458" s="15" t="str">
        <f aca="false">IFERROR(LEFT(IF($B458="","Notes, ","")&amp;IF($K458="","Latest Date Worked, ","")&amp;IF($AY458="","Last Action, ","")&amp;IF(AND(OR(TRIM($A458)="Denied",TRIM($A458)="Rejected"),$BA458=""),"Denial Reason, ","")&amp;IF(AND(TRIM($A458)="Denied",$BB458="",TRIM($BA458)&lt;&gt;"NO DENIAL"),"Denial Code, ","")&amp;IF(AND(TRIM($A458)&lt;&gt;"Finalized",$BD458=""),"Next Review Date, ","")&amp;IF(AND(TRIM($A458)&lt;&gt;"Finalized",$BE458=""),"Next Step, ","")&amp;IF(AND(TRIM($A458)="Finalized",$AV458="",$AR458="",$AT458="",$AX458="",$AW458=""),"CPT outcome, ",""),LEN(IF($B458="","Notes, ","")&amp;IF($K458="","Latest Date Worked, ","")&amp;IF($AY458="","Last Action, ","")&amp;IF(AND(OR(TRIM($A458)="Denied",TRIM($A458)="Rejected"),$BA458=""),"Denial Reason, ","")&amp;IF(AND(TRIM($A458)="Denied",$BB458="",TRIM($BA458)&lt;&gt;"NO DENIAL"),"Denial Code, ","")&amp;IF(AND(TRIM($A458)&lt;&gt;"Finalized",$BD458=""),"Next Review Date, ","")&amp;IF(AND(TRIM($A458)&lt;&gt;"Finalized",$BE458=""),"Next Step, ","")&amp;IF(AND(TRIM($A458)="Finalized",$AV458="",$AR458="",$AT458="",$AX458="",$AW458=""),"CPT outcome, ",""))-2),"")</f>
        <v/>
      </c>
      <c r="BI458" s="15" t="str">
        <f aca="false">IF($BB458="","",IFERROR(INDEX('Denial Codes'!$C:$C,MATCH(LEFT($BB458,FIND(" - ",$BB458&amp;" - ")+2)&amp;"*",'Denial Codes'!$A:$A,0)),""))</f>
        <v>Not covered by plan</v>
      </c>
      <c r="BJ458" s="15" t="str">
        <f aca="false">IF($BA458="","",IFERROR(INDEX(Lists!$B:$B,MATCH(TRIM($BA458),Lists!$A:$A,0))&amp;"",""))</f>
        <v>Confirm benefits; bill the patient if an ABN/waiver is on file, otherwise appeal or adjust.</v>
      </c>
    </row>
    <row r="459" customFormat="false" ht="15" hidden="false" customHeight="false" outlineLevel="0" collapsed="false">
      <c r="A459" s="7" t="s">
        <v>16</v>
      </c>
      <c r="B459" s="7" t="s">
        <v>1734</v>
      </c>
      <c r="C459" s="8" t="n">
        <v>564118055</v>
      </c>
      <c r="D459" s="9" t="n">
        <v>46210</v>
      </c>
      <c r="E459" s="10" t="s">
        <v>1056</v>
      </c>
      <c r="F459" s="11" t="n">
        <v>46202</v>
      </c>
      <c r="G459" s="10" t="s">
        <v>180</v>
      </c>
      <c r="H459" s="10" t="s">
        <v>180</v>
      </c>
      <c r="I459" s="10" t="s">
        <v>129</v>
      </c>
      <c r="J459" s="10" t="s">
        <v>272</v>
      </c>
      <c r="K459" s="9" t="n">
        <v>46283</v>
      </c>
      <c r="L459" s="12" t="str">
        <f aca="true">IF($O459="","",$O459-TODAY())</f>
        <v/>
      </c>
      <c r="M459" s="12" t="str">
        <f aca="true">IF(AND(TRIM($A459)="Finalized",$K459&lt;&gt;""),"",IF($D459="","",$D459+180-TODAY()))</f>
        <v/>
      </c>
      <c r="N459" s="12" t="str">
        <f aca="true">IF(AND(TRIM($A459)="Finalized",$K459&lt;&gt;""),"",IF($D459="","",$D459+365-TODAY()))</f>
        <v/>
      </c>
      <c r="O459" s="11" t="str">
        <f aca="false">IF(AND(TRIM($A459)="Finalized",$K459&lt;&gt;""),"",DATE(2026,9,27))</f>
        <v/>
      </c>
      <c r="P459" s="10" t="s">
        <v>165</v>
      </c>
      <c r="Q459" s="10" t="s">
        <v>182</v>
      </c>
      <c r="R459" s="10" t="s">
        <v>147</v>
      </c>
      <c r="S459" s="10" t="s">
        <v>116</v>
      </c>
      <c r="T459" s="10" t="s">
        <v>114</v>
      </c>
      <c r="U459" s="10" t="s">
        <v>116</v>
      </c>
      <c r="V459" s="10" t="s">
        <v>303</v>
      </c>
      <c r="W459" s="10" t="s">
        <v>119</v>
      </c>
      <c r="X459" s="10" t="s">
        <v>120</v>
      </c>
      <c r="Y459" s="10"/>
      <c r="Z459" s="10"/>
      <c r="AA459" s="10" t="s">
        <v>121</v>
      </c>
      <c r="AB459" s="8" t="n">
        <f aca="true">IF($F459="","",TODAY()-$F459)</f>
        <v>109</v>
      </c>
      <c r="AC459" s="10" t="s">
        <v>273</v>
      </c>
      <c r="AD459" s="10"/>
      <c r="AE459" s="10"/>
      <c r="AF459" s="10"/>
      <c r="AG459" s="10"/>
      <c r="AH459" s="10"/>
      <c r="AI459" s="10"/>
      <c r="AJ459" s="10" t="s">
        <v>123</v>
      </c>
      <c r="AK459" s="10"/>
      <c r="AL459" s="10"/>
      <c r="AM459" s="10"/>
      <c r="AN459" s="8"/>
      <c r="AO459" s="10" t="s">
        <v>838</v>
      </c>
      <c r="AP459" s="10" t="s">
        <v>404</v>
      </c>
      <c r="AQ459" s="11" t="n">
        <v>46205</v>
      </c>
      <c r="AR459" s="13" t="s">
        <v>273</v>
      </c>
      <c r="AS459" s="13" t="s">
        <v>1003</v>
      </c>
      <c r="AT459" s="13"/>
      <c r="AU459" s="13"/>
      <c r="AV459" s="13"/>
      <c r="AW459" s="13"/>
      <c r="AX459" s="13" t="s">
        <v>273</v>
      </c>
      <c r="AY459" s="7" t="s">
        <v>411</v>
      </c>
      <c r="AZ459" s="7"/>
      <c r="BA459" s="7" t="s">
        <v>41</v>
      </c>
      <c r="BB459" s="7" t="s">
        <v>1003</v>
      </c>
      <c r="BC459" s="7"/>
      <c r="BD459" s="9"/>
      <c r="BE459" s="7"/>
      <c r="BF459" s="14" t="str">
        <f aca="true">IF(TRIM($A459)="Finalized","Closed",IF($BD459="","No review date set",IF($BD459&lt;TODAY(),"OVERDUE",IF($BD459-TODAY()&lt;=7,"Due within 7 days","Scheduled"))))</f>
        <v>Closed</v>
      </c>
      <c r="BG459" s="14" t="n">
        <f aca="true">IF($K459="","",TODAY()-$K459)</f>
        <v>28</v>
      </c>
      <c r="BH459" s="15" t="str">
        <f aca="false">IFERROR(LEFT(IF($B459="","Notes, ","")&amp;IF($K459="","Latest Date Worked, ","")&amp;IF($AY459="","Last Action, ","")&amp;IF(AND(OR(TRIM($A459)="Denied",TRIM($A459)="Rejected"),$BA459=""),"Denial Reason, ","")&amp;IF(AND(TRIM($A459)="Denied",$BB459="",TRIM($BA459)&lt;&gt;"NO DENIAL"),"Denial Code, ","")&amp;IF(AND(TRIM($A459)&lt;&gt;"Finalized",$BD459=""),"Next Review Date, ","")&amp;IF(AND(TRIM($A459)&lt;&gt;"Finalized",$BE459=""),"Next Step, ","")&amp;IF(AND(TRIM($A459)="Finalized",$AV459="",$AR459="",$AT459="",$AX459="",$AW459=""),"CPT outcome, ",""),LEN(IF($B459="","Notes, ","")&amp;IF($K459="","Latest Date Worked, ","")&amp;IF($AY459="","Last Action, ","")&amp;IF(AND(OR(TRIM($A459)="Denied",TRIM($A459)="Rejected"),$BA459=""),"Denial Reason, ","")&amp;IF(AND(TRIM($A459)="Denied",$BB459="",TRIM($BA459)&lt;&gt;"NO DENIAL"),"Denial Code, ","")&amp;IF(AND(TRIM($A459)&lt;&gt;"Finalized",$BD459=""),"Next Review Date, ","")&amp;IF(AND(TRIM($A459)&lt;&gt;"Finalized",$BE459=""),"Next Step, ","")&amp;IF(AND(TRIM($A459)="Finalized",$AV459="",$AR459="",$AT459="",$AX459="",$AW459=""),"CPT outcome, ",""))-2),"")</f>
        <v/>
      </c>
      <c r="BI459" s="15" t="str">
        <f aca="false">IF($BB459="","",IFERROR(INDEX('Denial Codes'!$C:$C,MATCH(LEFT($BB459,FIND(" - ",$BB459&amp;" - ")+2)&amp;"*",'Denial Codes'!$A:$A,0)),""))</f>
        <v>Not covered by plan</v>
      </c>
      <c r="BJ459" s="15" t="str">
        <f aca="false">IF($BA459="","",IFERROR(INDEX(Lists!$B:$B,MATCH(TRIM($BA459),Lists!$A:$A,0))&amp;"",""))</f>
        <v>Confirm benefits; bill the patient if an ABN/waiver is on file, otherwise appeal or adjust.</v>
      </c>
    </row>
    <row r="460" customFormat="false" ht="15" hidden="false" customHeight="false" outlineLevel="0" collapsed="false">
      <c r="A460" s="7" t="s">
        <v>16</v>
      </c>
      <c r="B460" s="7" t="s">
        <v>1750</v>
      </c>
      <c r="C460" s="8" t="n">
        <v>572251311</v>
      </c>
      <c r="D460" s="9" t="n">
        <v>46289</v>
      </c>
      <c r="E460" s="10" t="s">
        <v>1052</v>
      </c>
      <c r="F460" s="11" t="n">
        <v>46202</v>
      </c>
      <c r="G460" s="10" t="s">
        <v>1053</v>
      </c>
      <c r="H460" s="10" t="s">
        <v>1053</v>
      </c>
      <c r="I460" s="10" t="s">
        <v>129</v>
      </c>
      <c r="J460" s="10" t="s">
        <v>461</v>
      </c>
      <c r="K460" s="9" t="n">
        <v>46300</v>
      </c>
      <c r="L460" s="12" t="str">
        <f aca="true">IF($O460="","",$O460-TODAY())</f>
        <v/>
      </c>
      <c r="M460" s="12" t="str">
        <f aca="true">IF(AND(TRIM($A460)="Finalized",$K460&lt;&gt;""),"",IF($D460="","",$D460+180-TODAY()))</f>
        <v/>
      </c>
      <c r="N460" s="12" t="str">
        <f aca="true">IF(AND(TRIM($A460)="Finalized",$K460&lt;&gt;""),"",IF($D460="","",$D460+365-TODAY()))</f>
        <v/>
      </c>
      <c r="O460" s="11" t="str">
        <f aca="false">IF(AND(TRIM($A460)="Finalized",$K460&lt;&gt;""),"",DATE(2026,9,27))</f>
        <v/>
      </c>
      <c r="P460" s="10" t="s">
        <v>165</v>
      </c>
      <c r="Q460" s="10" t="s">
        <v>182</v>
      </c>
      <c r="R460" s="10" t="s">
        <v>147</v>
      </c>
      <c r="S460" s="10" t="s">
        <v>116</v>
      </c>
      <c r="T460" s="10" t="s">
        <v>114</v>
      </c>
      <c r="U460" s="10" t="s">
        <v>116</v>
      </c>
      <c r="V460" s="10" t="s">
        <v>303</v>
      </c>
      <c r="W460" s="10" t="s">
        <v>119</v>
      </c>
      <c r="X460" s="10" t="s">
        <v>120</v>
      </c>
      <c r="Y460" s="10"/>
      <c r="Z460" s="10"/>
      <c r="AA460" s="10" t="s">
        <v>230</v>
      </c>
      <c r="AB460" s="8" t="n">
        <f aca="true">IF($F460="","",TODAY()-$F460)</f>
        <v>109</v>
      </c>
      <c r="AC460" s="10" t="s">
        <v>273</v>
      </c>
      <c r="AD460" s="10"/>
      <c r="AE460" s="10"/>
      <c r="AF460" s="10"/>
      <c r="AG460" s="10"/>
      <c r="AH460" s="10"/>
      <c r="AI460" s="10"/>
      <c r="AJ460" s="10" t="s">
        <v>123</v>
      </c>
      <c r="AK460" s="10"/>
      <c r="AL460" s="10"/>
      <c r="AM460" s="10"/>
      <c r="AN460" s="8"/>
      <c r="AO460" s="10" t="s">
        <v>669</v>
      </c>
      <c r="AP460" s="10" t="s">
        <v>188</v>
      </c>
      <c r="AQ460" s="11" t="n">
        <v>46217</v>
      </c>
      <c r="AR460" s="13" t="s">
        <v>273</v>
      </c>
      <c r="AS460" s="13" t="s">
        <v>1003</v>
      </c>
      <c r="AT460" s="13"/>
      <c r="AU460" s="13"/>
      <c r="AV460" s="13"/>
      <c r="AW460" s="13"/>
      <c r="AX460" s="13" t="s">
        <v>273</v>
      </c>
      <c r="AY460" s="7" t="s">
        <v>411</v>
      </c>
      <c r="AZ460" s="7" t="s">
        <v>159</v>
      </c>
      <c r="BA460" s="7" t="s">
        <v>44</v>
      </c>
      <c r="BB460" s="7" t="s">
        <v>1003</v>
      </c>
      <c r="BC460" s="7"/>
      <c r="BD460" s="9"/>
      <c r="BE460" s="7"/>
      <c r="BF460" s="14" t="str">
        <f aca="true">IF(TRIM($A460)="Finalized","Closed",IF($BD460="","No review date set",IF($BD460&lt;TODAY(),"OVERDUE",IF($BD460-TODAY()&lt;=7,"Due within 7 days","Scheduled"))))</f>
        <v>Closed</v>
      </c>
      <c r="BG460" s="14" t="n">
        <f aca="true">IF($K460="","",TODAY()-$K460)</f>
        <v>11</v>
      </c>
      <c r="BH460" s="15" t="str">
        <f aca="false">IFERROR(LEFT(IF($B460="","Notes, ","")&amp;IF($K460="","Latest Date Worked, ","")&amp;IF($AY460="","Last Action, ","")&amp;IF(AND(OR(TRIM($A460)="Denied",TRIM($A460)="Rejected"),$BA460=""),"Denial Reason, ","")&amp;IF(AND(TRIM($A460)="Denied",$BB460="",TRIM($BA460)&lt;&gt;"NO DENIAL"),"Denial Code, ","")&amp;IF(AND(TRIM($A460)&lt;&gt;"Finalized",$BD460=""),"Next Review Date, ","")&amp;IF(AND(TRIM($A460)&lt;&gt;"Finalized",$BE460=""),"Next Step, ","")&amp;IF(AND(TRIM($A460)="Finalized",$AV460="",$AR460="",$AT460="",$AX460="",$AW460=""),"CPT outcome, ",""),LEN(IF($B460="","Notes, ","")&amp;IF($K460="","Latest Date Worked, ","")&amp;IF($AY460="","Last Action, ","")&amp;IF(AND(OR(TRIM($A460)="Denied",TRIM($A460)="Rejected"),$BA460=""),"Denial Reason, ","")&amp;IF(AND(TRIM($A460)="Denied",$BB460="",TRIM($BA460)&lt;&gt;"NO DENIAL"),"Denial Code, ","")&amp;IF(AND(TRIM($A460)&lt;&gt;"Finalized",$BD460=""),"Next Review Date, ","")&amp;IF(AND(TRIM($A460)&lt;&gt;"Finalized",$BE460=""),"Next Step, ","")&amp;IF(AND(TRIM($A460)="Finalized",$AV460="",$AR460="",$AT460="",$AX460="",$AW460=""),"CPT outcome, ",""))-2),"")</f>
        <v/>
      </c>
      <c r="BI460" s="15" t="str">
        <f aca="false">IF($BB460="","",IFERROR(INDEX('Denial Codes'!$C:$C,MATCH(LEFT($BB460,FIND(" - ",$BB460&amp;" - ")+2)&amp;"*",'Denial Codes'!$A:$A,0)),""))</f>
        <v>Not covered by plan</v>
      </c>
      <c r="BJ460" s="15" t="str">
        <f aca="false">IF($BA460="","",IFERROR(INDEX(Lists!$B:$B,MATCH(TRIM($BA460),Lists!$A:$A,0))&amp;"",""))</f>
        <v>Bill the correct payer, delegated vendor or capitated group/IPA (e.g. Optum Behavioral, Preferred Homecare).</v>
      </c>
    </row>
    <row r="461" customFormat="false" ht="15" hidden="false" customHeight="false" outlineLevel="0" collapsed="false">
      <c r="A461" s="7" t="s">
        <v>16</v>
      </c>
      <c r="B461" s="7" t="s">
        <v>1751</v>
      </c>
      <c r="C461" s="8" t="n">
        <v>561204793</v>
      </c>
      <c r="D461" s="9" t="n">
        <v>46265</v>
      </c>
      <c r="E461" s="10" t="s">
        <v>1752</v>
      </c>
      <c r="F461" s="11" t="n">
        <v>46176</v>
      </c>
      <c r="G461" s="10" t="s">
        <v>427</v>
      </c>
      <c r="H461" s="10" t="s">
        <v>427</v>
      </c>
      <c r="I461" s="10" t="s">
        <v>129</v>
      </c>
      <c r="J461" s="10" t="s">
        <v>181</v>
      </c>
      <c r="K461" s="9" t="n">
        <v>46300</v>
      </c>
      <c r="L461" s="12" t="str">
        <f aca="true">IF($O461="","",$O461-TODAY())</f>
        <v/>
      </c>
      <c r="M461" s="12" t="str">
        <f aca="true">IF(AND(TRIM($A461)="Finalized",$K461&lt;&gt;""),"",IF($D461="","",$D461+365-TODAY()))</f>
        <v/>
      </c>
      <c r="N461" s="12" t="str">
        <f aca="true">IF(AND(TRIM($A461)="Finalized",$K461&lt;&gt;""),"",IF($D461="","",$D461+90-TODAY()))</f>
        <v/>
      </c>
      <c r="O461" s="11" t="str">
        <f aca="false">IF(AND(TRIM($A461)="Finalized",$K461&lt;&gt;""),"",DATE(2026,10,1))</f>
        <v/>
      </c>
      <c r="P461" s="10" t="s">
        <v>117</v>
      </c>
      <c r="Q461" s="10" t="s">
        <v>429</v>
      </c>
      <c r="R461" s="10" t="s">
        <v>114</v>
      </c>
      <c r="S461" s="10" t="s">
        <v>116</v>
      </c>
      <c r="T461" s="10" t="s">
        <v>165</v>
      </c>
      <c r="U461" s="10" t="s">
        <v>116</v>
      </c>
      <c r="V461" s="10" t="s">
        <v>303</v>
      </c>
      <c r="W461" s="10" t="s">
        <v>183</v>
      </c>
      <c r="X461" s="10"/>
      <c r="Y461" s="10"/>
      <c r="Z461" s="10"/>
      <c r="AA461" s="10" t="s">
        <v>197</v>
      </c>
      <c r="AB461" s="8" t="n">
        <f aca="true">IF($F461="","",TODAY()-$F461)</f>
        <v>135</v>
      </c>
      <c r="AC461" s="10" t="s">
        <v>184</v>
      </c>
      <c r="AD461" s="10" t="s">
        <v>185</v>
      </c>
      <c r="AE461" s="10"/>
      <c r="AF461" s="10"/>
      <c r="AG461" s="10"/>
      <c r="AH461" s="10"/>
      <c r="AI461" s="10"/>
      <c r="AJ461" s="10" t="s">
        <v>511</v>
      </c>
      <c r="AK461" s="10"/>
      <c r="AL461" s="10"/>
      <c r="AM461" s="10"/>
      <c r="AN461" s="8"/>
      <c r="AO461" s="10" t="s">
        <v>201</v>
      </c>
      <c r="AP461" s="10" t="s">
        <v>202</v>
      </c>
      <c r="AQ461" s="11" t="n">
        <v>46217</v>
      </c>
      <c r="AR461" s="13" t="s">
        <v>507</v>
      </c>
      <c r="AS461" s="13" t="s">
        <v>1696</v>
      </c>
      <c r="AT461" s="13"/>
      <c r="AU461" s="13"/>
      <c r="AV461" s="13"/>
      <c r="AW461" s="13"/>
      <c r="AX461" s="13"/>
      <c r="AY461" s="7" t="s">
        <v>465</v>
      </c>
      <c r="AZ461" s="7"/>
      <c r="BA461" s="7" t="s">
        <v>41</v>
      </c>
      <c r="BB461" s="7" t="s">
        <v>1696</v>
      </c>
      <c r="BC461" s="7"/>
      <c r="BD461" s="9"/>
      <c r="BE461" s="7"/>
      <c r="BF461" s="14" t="str">
        <f aca="true">IF(TRIM($A461)="Finalized","Closed",IF($BD461="","No review date set",IF($BD461&lt;TODAY(),"OVERDUE",IF($BD461-TODAY()&lt;=7,"Due within 7 days","Scheduled"))))</f>
        <v>Closed</v>
      </c>
      <c r="BG461" s="14" t="n">
        <f aca="true">IF($K461="","",TODAY()-$K461)</f>
        <v>11</v>
      </c>
      <c r="BH461" s="15" t="str">
        <f aca="false">IFERROR(LEFT(IF($B461="","Notes, ","")&amp;IF($K461="","Latest Date Worked, ","")&amp;IF($AY461="","Last Action, ","")&amp;IF(AND(OR(TRIM($A461)="Denied",TRIM($A461)="Rejected"),$BA461=""),"Denial Reason, ","")&amp;IF(AND(TRIM($A461)="Denied",$BB461="",TRIM($BA461)&lt;&gt;"NO DENIAL"),"Denial Code, ","")&amp;IF(AND(TRIM($A461)&lt;&gt;"Finalized",$BD461=""),"Next Review Date, ","")&amp;IF(AND(TRIM($A461)&lt;&gt;"Finalized",$BE461=""),"Next Step, ","")&amp;IF(AND(TRIM($A461)="Finalized",$AV461="",$AR461="",$AT461="",$AX461="",$AW461=""),"CPT outcome, ",""),LEN(IF($B461="","Notes, ","")&amp;IF($K461="","Latest Date Worked, ","")&amp;IF($AY461="","Last Action, ","")&amp;IF(AND(OR(TRIM($A461)="Denied",TRIM($A461)="Rejected"),$BA461=""),"Denial Reason, ","")&amp;IF(AND(TRIM($A461)="Denied",$BB461="",TRIM($BA461)&lt;&gt;"NO DENIAL"),"Denial Code, ","")&amp;IF(AND(TRIM($A461)&lt;&gt;"Finalized",$BD461=""),"Next Review Date, ","")&amp;IF(AND(TRIM($A461)&lt;&gt;"Finalized",$BE461=""),"Next Step, ","")&amp;IF(AND(TRIM($A461)="Finalized",$AV461="",$AR461="",$AT461="",$AX461="",$AW461=""),"CPT outcome, ",""))-2),"")</f>
        <v/>
      </c>
      <c r="BI461" s="15" t="str">
        <f aca="false">IF($BB461="","",IFERROR(INDEX('Denial Codes'!$C:$C,MATCH(LEFT($BB461,FIND(" - ",$BB461&amp;" - ")+2)&amp;"*",'Denial Codes'!$A:$A,0)),""))</f>
        <v>Not covered by plan</v>
      </c>
      <c r="BJ461" s="15" t="str">
        <f aca="false">IF($BA461="","",IFERROR(INDEX(Lists!$B:$B,MATCH(TRIM($BA461),Lists!$A:$A,0))&amp;"",""))</f>
        <v>Confirm benefits; bill the patient if an ABN/waiver is on file, otherwise appeal or adjust.</v>
      </c>
    </row>
    <row r="462" customFormat="false" ht="15" hidden="false" customHeight="false" outlineLevel="0" collapsed="false">
      <c r="A462" s="7" t="s">
        <v>16</v>
      </c>
      <c r="B462" s="7" t="s">
        <v>1753</v>
      </c>
      <c r="C462" s="8" t="n">
        <v>565101339</v>
      </c>
      <c r="D462" s="9" t="n">
        <v>46238</v>
      </c>
      <c r="E462" s="10" t="s">
        <v>1754</v>
      </c>
      <c r="F462" s="11" t="n">
        <v>46181</v>
      </c>
      <c r="G462" s="10" t="s">
        <v>111</v>
      </c>
      <c r="H462" s="10" t="s">
        <v>111</v>
      </c>
      <c r="I462" s="10" t="s">
        <v>129</v>
      </c>
      <c r="J462" s="10" t="s">
        <v>1755</v>
      </c>
      <c r="K462" s="9" t="n">
        <v>46300</v>
      </c>
      <c r="L462" s="12" t="str">
        <f aca="true">IF($O462="","",$O462-TODAY())</f>
        <v/>
      </c>
      <c r="M462" s="12" t="str">
        <f aca="true">IF(AND(TRIM($A462)="Finalized",$K462&lt;&gt;""),"",IF($D462="","",$D462+180-TODAY()))</f>
        <v/>
      </c>
      <c r="N462" s="12" t="str">
        <f aca="true">IF(AND(TRIM($A462)="Finalized",$K462&lt;&gt;""),"",IF($D462="","",$D462+180-TODAY()))</f>
        <v/>
      </c>
      <c r="O462" s="11" t="str">
        <f aca="false">IF(AND(TRIM($A462)="Finalized",$K462&lt;&gt;""),"",DATE(2026,10,6))</f>
        <v/>
      </c>
      <c r="P462" s="10" t="s">
        <v>117</v>
      </c>
      <c r="Q462" s="10" t="s">
        <v>609</v>
      </c>
      <c r="R462" s="10" t="s">
        <v>147</v>
      </c>
      <c r="S462" s="10" t="s">
        <v>116</v>
      </c>
      <c r="T462" s="10" t="s">
        <v>147</v>
      </c>
      <c r="U462" s="10" t="s">
        <v>116</v>
      </c>
      <c r="V462" s="10" t="s">
        <v>303</v>
      </c>
      <c r="W462" s="10" t="s">
        <v>434</v>
      </c>
      <c r="X462" s="10" t="s">
        <v>619</v>
      </c>
      <c r="Y462" s="10" t="s">
        <v>479</v>
      </c>
      <c r="Z462" s="10" t="s">
        <v>436</v>
      </c>
      <c r="AA462" s="10" t="s">
        <v>797</v>
      </c>
      <c r="AB462" s="8" t="n">
        <f aca="true">IF($F462="","",TODAY()-$F462)</f>
        <v>130</v>
      </c>
      <c r="AC462" s="10" t="s">
        <v>657</v>
      </c>
      <c r="AD462" s="10" t="s">
        <v>443</v>
      </c>
      <c r="AE462" s="10" t="s">
        <v>441</v>
      </c>
      <c r="AF462" s="10" t="s">
        <v>438</v>
      </c>
      <c r="AG462" s="10" t="s">
        <v>442</v>
      </c>
      <c r="AH462" s="10" t="s">
        <v>439</v>
      </c>
      <c r="AI462" s="10" t="s">
        <v>440</v>
      </c>
      <c r="AJ462" s="10" t="s">
        <v>444</v>
      </c>
      <c r="AK462" s="10" t="s">
        <v>445</v>
      </c>
      <c r="AL462" s="10" t="s">
        <v>446</v>
      </c>
      <c r="AM462" s="10"/>
      <c r="AN462" s="8"/>
      <c r="AO462" s="10" t="s">
        <v>447</v>
      </c>
      <c r="AP462" s="10" t="s">
        <v>175</v>
      </c>
      <c r="AQ462" s="11" t="n">
        <v>46216</v>
      </c>
      <c r="AR462" s="13" t="s">
        <v>952</v>
      </c>
      <c r="AS462" s="13" t="s">
        <v>1756</v>
      </c>
      <c r="AT462" s="13"/>
      <c r="AU462" s="13"/>
      <c r="AV462" s="13" t="s">
        <v>1757</v>
      </c>
      <c r="AW462" s="13"/>
      <c r="AX462" s="13" t="s">
        <v>1757</v>
      </c>
      <c r="AY462" s="7" t="s">
        <v>465</v>
      </c>
      <c r="AZ462" s="7"/>
      <c r="BA462" s="7" t="s">
        <v>41</v>
      </c>
      <c r="BB462" s="7" t="s">
        <v>1758</v>
      </c>
      <c r="BC462" s="7"/>
      <c r="BD462" s="9"/>
      <c r="BE462" s="7"/>
      <c r="BF462" s="14" t="str">
        <f aca="true">IF(TRIM($A462)="Finalized","Closed",IF($BD462="","No review date set",IF($BD462&lt;TODAY(),"OVERDUE",IF($BD462-TODAY()&lt;=7,"Due within 7 days","Scheduled"))))</f>
        <v>Closed</v>
      </c>
      <c r="BG462" s="14" t="n">
        <f aca="true">IF($K462="","",TODAY()-$K462)</f>
        <v>11</v>
      </c>
      <c r="BH462" s="15" t="str">
        <f aca="false">IFERROR(LEFT(IF($B462="","Notes, ","")&amp;IF($K462="","Latest Date Worked, ","")&amp;IF($AY462="","Last Action, ","")&amp;IF(AND(OR(TRIM($A462)="Denied",TRIM($A462)="Rejected"),$BA462=""),"Denial Reason, ","")&amp;IF(AND(TRIM($A462)="Denied",$BB462="",TRIM($BA462)&lt;&gt;"NO DENIAL"),"Denial Code, ","")&amp;IF(AND(TRIM($A462)&lt;&gt;"Finalized",$BD462=""),"Next Review Date, ","")&amp;IF(AND(TRIM($A462)&lt;&gt;"Finalized",$BE462=""),"Next Step, ","")&amp;IF(AND(TRIM($A462)="Finalized",$AV462="",$AR462="",$AT462="",$AX462="",$AW462=""),"CPT outcome, ",""),LEN(IF($B462="","Notes, ","")&amp;IF($K462="","Latest Date Worked, ","")&amp;IF($AY462="","Last Action, ","")&amp;IF(AND(OR(TRIM($A462)="Denied",TRIM($A462)="Rejected"),$BA462=""),"Denial Reason, ","")&amp;IF(AND(TRIM($A462)="Denied",$BB462="",TRIM($BA462)&lt;&gt;"NO DENIAL"),"Denial Code, ","")&amp;IF(AND(TRIM($A462)&lt;&gt;"Finalized",$BD462=""),"Next Review Date, ","")&amp;IF(AND(TRIM($A462)&lt;&gt;"Finalized",$BE462=""),"Next Step, ","")&amp;IF(AND(TRIM($A462)="Finalized",$AV462="",$AR462="",$AT462="",$AX462="",$AW462=""),"CPT outcome, ",""))-2),"")</f>
        <v/>
      </c>
      <c r="BI462" s="15" t="str">
        <f aca="false">IF($BB462="","",IFERROR(INDEX('Denial Codes'!$C:$C,MATCH(LEFT($BB462,FIND(" - ",$BB462&amp;" - ")+2)&amp;"*",'Denial Codes'!$A:$A,0)),""))</f>
        <v>Not covered by plan</v>
      </c>
      <c r="BJ462" s="15" t="str">
        <f aca="false">IF($BA462="","",IFERROR(INDEX(Lists!$B:$B,MATCH(TRIM($BA462),Lists!$A:$A,0))&amp;"",""))</f>
        <v>Confirm benefits; bill the patient if an ABN/waiver is on file, otherwise appeal or adjust.</v>
      </c>
    </row>
    <row r="463" customFormat="false" ht="15" hidden="false" customHeight="false" outlineLevel="0" collapsed="false">
      <c r="A463" s="7" t="s">
        <v>16</v>
      </c>
      <c r="B463" s="7" t="s">
        <v>1753</v>
      </c>
      <c r="C463" s="8" t="n">
        <v>565104933</v>
      </c>
      <c r="D463" s="9" t="n">
        <v>46238</v>
      </c>
      <c r="E463" s="10" t="s">
        <v>1759</v>
      </c>
      <c r="F463" s="11" t="n">
        <v>46188</v>
      </c>
      <c r="G463" s="10" t="s">
        <v>111</v>
      </c>
      <c r="H463" s="10" t="s">
        <v>111</v>
      </c>
      <c r="I463" s="10" t="s">
        <v>129</v>
      </c>
      <c r="J463" s="10" t="s">
        <v>1760</v>
      </c>
      <c r="K463" s="9" t="n">
        <v>46300</v>
      </c>
      <c r="L463" s="12" t="str">
        <f aca="true">IF($O463="","",$O463-TODAY())</f>
        <v/>
      </c>
      <c r="M463" s="12" t="str">
        <f aca="true">IF(AND(TRIM($A463)="Finalized",$K463&lt;&gt;""),"",IF($D463="","",$D463+180-TODAY()))</f>
        <v/>
      </c>
      <c r="N463" s="12" t="str">
        <f aca="true">IF(AND(TRIM($A463)="Finalized",$K463&lt;&gt;""),"",IF($D463="","",$D463+180-TODAY()))</f>
        <v/>
      </c>
      <c r="O463" s="11" t="str">
        <f aca="false">IF(AND(TRIM($A463)="Finalized",$K463&lt;&gt;""),"",DATE(2026,10,13))</f>
        <v/>
      </c>
      <c r="P463" s="10" t="s">
        <v>117</v>
      </c>
      <c r="Q463" s="10" t="s">
        <v>609</v>
      </c>
      <c r="R463" s="10" t="s">
        <v>147</v>
      </c>
      <c r="S463" s="10" t="s">
        <v>116</v>
      </c>
      <c r="T463" s="10" t="s">
        <v>147</v>
      </c>
      <c r="U463" s="10" t="s">
        <v>116</v>
      </c>
      <c r="V463" s="10" t="s">
        <v>303</v>
      </c>
      <c r="W463" s="10" t="s">
        <v>434</v>
      </c>
      <c r="X463" s="10" t="s">
        <v>619</v>
      </c>
      <c r="Y463" s="10" t="s">
        <v>758</v>
      </c>
      <c r="Z463" s="10" t="s">
        <v>436</v>
      </c>
      <c r="AA463" s="10" t="s">
        <v>759</v>
      </c>
      <c r="AB463" s="8" t="n">
        <f aca="true">IF($F463="","",TODAY()-$F463)</f>
        <v>123</v>
      </c>
      <c r="AC463" s="10" t="s">
        <v>438</v>
      </c>
      <c r="AD463" s="10" t="s">
        <v>657</v>
      </c>
      <c r="AE463" s="10" t="s">
        <v>440</v>
      </c>
      <c r="AF463" s="10" t="s">
        <v>443</v>
      </c>
      <c r="AG463" s="10" t="s">
        <v>442</v>
      </c>
      <c r="AH463" s="10" t="s">
        <v>441</v>
      </c>
      <c r="AI463" s="10" t="s">
        <v>439</v>
      </c>
      <c r="AJ463" s="10" t="s">
        <v>444</v>
      </c>
      <c r="AK463" s="10" t="s">
        <v>445</v>
      </c>
      <c r="AL463" s="10" t="s">
        <v>446</v>
      </c>
      <c r="AM463" s="10"/>
      <c r="AN463" s="8"/>
      <c r="AO463" s="10" t="s">
        <v>447</v>
      </c>
      <c r="AP463" s="10" t="s">
        <v>327</v>
      </c>
      <c r="AQ463" s="11" t="n">
        <v>46216</v>
      </c>
      <c r="AR463" s="13" t="s">
        <v>952</v>
      </c>
      <c r="AS463" s="13" t="s">
        <v>1756</v>
      </c>
      <c r="AT463" s="13"/>
      <c r="AU463" s="13"/>
      <c r="AV463" s="13" t="s">
        <v>1761</v>
      </c>
      <c r="AW463" s="13"/>
      <c r="AX463" s="13" t="s">
        <v>1761</v>
      </c>
      <c r="AY463" s="7" t="s">
        <v>465</v>
      </c>
      <c r="AZ463" s="7"/>
      <c r="BA463" s="7" t="s">
        <v>41</v>
      </c>
      <c r="BB463" s="7" t="s">
        <v>1758</v>
      </c>
      <c r="BC463" s="7"/>
      <c r="BD463" s="9"/>
      <c r="BE463" s="7"/>
      <c r="BF463" s="14" t="str">
        <f aca="true">IF(TRIM($A463)="Finalized","Closed",IF($BD463="","No review date set",IF($BD463&lt;TODAY(),"OVERDUE",IF($BD463-TODAY()&lt;=7,"Due within 7 days","Scheduled"))))</f>
        <v>Closed</v>
      </c>
      <c r="BG463" s="14" t="n">
        <f aca="true">IF($K463="","",TODAY()-$K463)</f>
        <v>11</v>
      </c>
      <c r="BH463" s="15" t="str">
        <f aca="false">IFERROR(LEFT(IF($B463="","Notes, ","")&amp;IF($K463="","Latest Date Worked, ","")&amp;IF($AY463="","Last Action, ","")&amp;IF(AND(OR(TRIM($A463)="Denied",TRIM($A463)="Rejected"),$BA463=""),"Denial Reason, ","")&amp;IF(AND(TRIM($A463)="Denied",$BB463="",TRIM($BA463)&lt;&gt;"NO DENIAL"),"Denial Code, ","")&amp;IF(AND(TRIM($A463)&lt;&gt;"Finalized",$BD463=""),"Next Review Date, ","")&amp;IF(AND(TRIM($A463)&lt;&gt;"Finalized",$BE463=""),"Next Step, ","")&amp;IF(AND(TRIM($A463)="Finalized",$AV463="",$AR463="",$AT463="",$AX463="",$AW463=""),"CPT outcome, ",""),LEN(IF($B463="","Notes, ","")&amp;IF($K463="","Latest Date Worked, ","")&amp;IF($AY463="","Last Action, ","")&amp;IF(AND(OR(TRIM($A463)="Denied",TRIM($A463)="Rejected"),$BA463=""),"Denial Reason, ","")&amp;IF(AND(TRIM($A463)="Denied",$BB463="",TRIM($BA463)&lt;&gt;"NO DENIAL"),"Denial Code, ","")&amp;IF(AND(TRIM($A463)&lt;&gt;"Finalized",$BD463=""),"Next Review Date, ","")&amp;IF(AND(TRIM($A463)&lt;&gt;"Finalized",$BE463=""),"Next Step, ","")&amp;IF(AND(TRIM($A463)="Finalized",$AV463="",$AR463="",$AT463="",$AX463="",$AW463=""),"CPT outcome, ",""))-2),"")</f>
        <v/>
      </c>
      <c r="BI463" s="15" t="str">
        <f aca="false">IF($BB463="","",IFERROR(INDEX('Denial Codes'!$C:$C,MATCH(LEFT($BB463,FIND(" - ",$BB463&amp;" - ")+2)&amp;"*",'Denial Codes'!$A:$A,0)),""))</f>
        <v>Not covered by plan</v>
      </c>
      <c r="BJ463" s="15" t="str">
        <f aca="false">IF($BA463="","",IFERROR(INDEX(Lists!$B:$B,MATCH(TRIM($BA463),Lists!$A:$A,0))&amp;"",""))</f>
        <v>Confirm benefits; bill the patient if an ABN/waiver is on file, otherwise appeal or adjust.</v>
      </c>
    </row>
    <row r="464" customFormat="false" ht="15" hidden="false" customHeight="false" outlineLevel="0" collapsed="false">
      <c r="A464" s="7" t="s">
        <v>16</v>
      </c>
      <c r="B464" s="7" t="s">
        <v>1708</v>
      </c>
      <c r="C464" s="8" t="n">
        <v>563071059</v>
      </c>
      <c r="D464" s="9" t="n">
        <v>46227</v>
      </c>
      <c r="E464" s="10" t="s">
        <v>1762</v>
      </c>
      <c r="F464" s="11" t="n">
        <v>46190</v>
      </c>
      <c r="G464" s="10" t="s">
        <v>672</v>
      </c>
      <c r="H464" s="10" t="s">
        <v>672</v>
      </c>
      <c r="I464" s="10" t="s">
        <v>129</v>
      </c>
      <c r="J464" s="10" t="s">
        <v>724</v>
      </c>
      <c r="K464" s="9" t="n">
        <v>46300</v>
      </c>
      <c r="L464" s="12" t="str">
        <f aca="true">IF($O464="","",$O464-TODAY())</f>
        <v/>
      </c>
      <c r="M464" s="12" t="str">
        <f aca="true">IF(AND(TRIM($A464)="Finalized",$K464&lt;&gt;""),"",IF($D464="","",$D464+180-TODAY()))</f>
        <v/>
      </c>
      <c r="N464" s="12" t="str">
        <f aca="true">IF(AND(TRIM($A464)="Finalized",$K464&lt;&gt;""),"",IF($D464="","",$D464+180-TODAY()))</f>
        <v/>
      </c>
      <c r="O464" s="11" t="str">
        <f aca="false">IF(AND(TRIM($A464)="Finalized",$K464&lt;&gt;""),"",DATE(2026,10,15))</f>
        <v/>
      </c>
      <c r="P464" s="10" t="s">
        <v>117</v>
      </c>
      <c r="Q464" s="10" t="s">
        <v>740</v>
      </c>
      <c r="R464" s="10" t="s">
        <v>147</v>
      </c>
      <c r="S464" s="10" t="s">
        <v>116</v>
      </c>
      <c r="T464" s="10" t="s">
        <v>147</v>
      </c>
      <c r="U464" s="10" t="s">
        <v>116</v>
      </c>
      <c r="V464" s="10" t="s">
        <v>303</v>
      </c>
      <c r="W464" s="10" t="s">
        <v>196</v>
      </c>
      <c r="X464" s="10"/>
      <c r="Y464" s="10"/>
      <c r="Z464" s="10"/>
      <c r="AA464" s="10" t="s">
        <v>197</v>
      </c>
      <c r="AB464" s="8" t="n">
        <f aca="true">IF($F464="","",TODAY()-$F464)</f>
        <v>121</v>
      </c>
      <c r="AC464" s="10" t="s">
        <v>487</v>
      </c>
      <c r="AD464" s="10"/>
      <c r="AE464" s="10"/>
      <c r="AF464" s="10"/>
      <c r="AG464" s="10"/>
      <c r="AH464" s="10"/>
      <c r="AI464" s="10"/>
      <c r="AJ464" s="10" t="s">
        <v>375</v>
      </c>
      <c r="AK464" s="10"/>
      <c r="AL464" s="10"/>
      <c r="AM464" s="10"/>
      <c r="AN464" s="8"/>
      <c r="AO464" s="10" t="s">
        <v>255</v>
      </c>
      <c r="AP464" s="10" t="s">
        <v>268</v>
      </c>
      <c r="AQ464" s="11" t="n">
        <v>46195</v>
      </c>
      <c r="AR464" s="13" t="s">
        <v>487</v>
      </c>
      <c r="AS464" s="13" t="s">
        <v>1634</v>
      </c>
      <c r="AT464" s="13"/>
      <c r="AU464" s="13"/>
      <c r="AV464" s="13"/>
      <c r="AW464" s="13"/>
      <c r="AX464" s="13"/>
      <c r="AY464" s="7" t="s">
        <v>465</v>
      </c>
      <c r="AZ464" s="7"/>
      <c r="BA464" s="7" t="s">
        <v>37</v>
      </c>
      <c r="BB464" s="7" t="s">
        <v>1634</v>
      </c>
      <c r="BC464" s="7"/>
      <c r="BD464" s="9"/>
      <c r="BE464" s="7"/>
      <c r="BF464" s="14" t="str">
        <f aca="true">IF(TRIM($A464)="Finalized","Closed",IF($BD464="","No review date set",IF($BD464&lt;TODAY(),"OVERDUE",IF($BD464-TODAY()&lt;=7,"Due within 7 days","Scheduled"))))</f>
        <v>Closed</v>
      </c>
      <c r="BG464" s="14" t="n">
        <f aca="true">IF($K464="","",TODAY()-$K464)</f>
        <v>11</v>
      </c>
      <c r="BH464" s="15" t="str">
        <f aca="false">IFERROR(LEFT(IF($B464="","Notes, ","")&amp;IF($K464="","Latest Date Worked, ","")&amp;IF($AY464="","Last Action, ","")&amp;IF(AND(OR(TRIM($A464)="Denied",TRIM($A464)="Rejected"),$BA464=""),"Denial Reason, ","")&amp;IF(AND(TRIM($A464)="Denied",$BB464="",TRIM($BA464)&lt;&gt;"NO DENIAL"),"Denial Code, ","")&amp;IF(AND(TRIM($A464)&lt;&gt;"Finalized",$BD464=""),"Next Review Date, ","")&amp;IF(AND(TRIM($A464)&lt;&gt;"Finalized",$BE464=""),"Next Step, ","")&amp;IF(AND(TRIM($A464)="Finalized",$AV464="",$AR464="",$AT464="",$AX464="",$AW464=""),"CPT outcome, ",""),LEN(IF($B464="","Notes, ","")&amp;IF($K464="","Latest Date Worked, ","")&amp;IF($AY464="","Last Action, ","")&amp;IF(AND(OR(TRIM($A464)="Denied",TRIM($A464)="Rejected"),$BA464=""),"Denial Reason, ","")&amp;IF(AND(TRIM($A464)="Denied",$BB464="",TRIM($BA464)&lt;&gt;"NO DENIAL"),"Denial Code, ","")&amp;IF(AND(TRIM($A464)&lt;&gt;"Finalized",$BD464=""),"Next Review Date, ","")&amp;IF(AND(TRIM($A464)&lt;&gt;"Finalized",$BE464=""),"Next Step, ","")&amp;IF(AND(TRIM($A464)="Finalized",$AV464="",$AR464="",$AT464="",$AX464="",$AW464=""),"CPT outcome, ",""))-2),"")</f>
        <v/>
      </c>
      <c r="BI464" s="15" t="str">
        <f aca="false">IF($BB464="","",IFERROR(INDEX('Denial Codes'!$C:$C,MATCH(LEFT($BB464,FIND(" - ",$BB464&amp;" - ")+2)&amp;"*",'Denial Codes'!$A:$A,0)),""))</f>
        <v>Bundled / NCCI edit</v>
      </c>
      <c r="BJ464" s="15" t="str">
        <f aca="false">IF($BA464="","",IFERROR(INDEX(Lists!$B:$B,MATCH(TRIM($BA464),Lists!$A:$A,0))&amp;"",""))</f>
        <v>Check the NCCI pair; if the service was distinct, add 59/XU (or XS) and resubmit; otherwise adjust.</v>
      </c>
    </row>
    <row r="465" customFormat="false" ht="15" hidden="false" customHeight="false" outlineLevel="0" collapsed="false">
      <c r="A465" s="7" t="s">
        <v>16</v>
      </c>
      <c r="B465" s="7" t="s">
        <v>1763</v>
      </c>
      <c r="C465" s="8" t="n">
        <v>558686908</v>
      </c>
      <c r="D465" s="9" t="n">
        <v>46162</v>
      </c>
      <c r="E465" s="10" t="s">
        <v>1764</v>
      </c>
      <c r="F465" s="11" t="n">
        <v>46132</v>
      </c>
      <c r="G465" s="10" t="s">
        <v>1131</v>
      </c>
      <c r="H465" s="10" t="s">
        <v>1131</v>
      </c>
      <c r="I465" s="10" t="s">
        <v>129</v>
      </c>
      <c r="J465" s="10" t="s">
        <v>1765</v>
      </c>
      <c r="K465" s="9" t="n">
        <v>46278</v>
      </c>
      <c r="L465" s="12" t="str">
        <f aca="true">IF($O465="","",$O465-TODAY())</f>
        <v/>
      </c>
      <c r="M465" s="12" t="str">
        <f aca="true">IF(AND(TRIM($A465)="Finalized",$K465&lt;&gt;""),"",IF($F465="","",$F465+365-TODAY()))</f>
        <v/>
      </c>
      <c r="N465" s="12" t="str">
        <f aca="true">IF(AND(TRIM($A465)="Finalized",$K465&lt;&gt;""),"",IF($F465="","",$F465+365-TODAY()))</f>
        <v/>
      </c>
      <c r="O465" s="11" t="str">
        <f aca="false">IF(AND(TRIM($A465)="Finalized",$K465&lt;&gt;""),"",DATE(2026,10,17))</f>
        <v/>
      </c>
      <c r="P465" s="10" t="s">
        <v>147</v>
      </c>
      <c r="Q465" s="10" t="s">
        <v>1138</v>
      </c>
      <c r="R465" s="10" t="s">
        <v>114</v>
      </c>
      <c r="S465" s="10" t="s">
        <v>149</v>
      </c>
      <c r="T465" s="10" t="s">
        <v>114</v>
      </c>
      <c r="U465" s="10" t="s">
        <v>149</v>
      </c>
      <c r="V465" s="10" t="s">
        <v>221</v>
      </c>
      <c r="W465" s="10" t="s">
        <v>434</v>
      </c>
      <c r="X465" s="10" t="s">
        <v>478</v>
      </c>
      <c r="Y465" s="10" t="s">
        <v>930</v>
      </c>
      <c r="Z465" s="10" t="s">
        <v>436</v>
      </c>
      <c r="AA465" s="10" t="s">
        <v>480</v>
      </c>
      <c r="AB465" s="8" t="n">
        <f aca="true">IF($F465="","",TODAY()-$F465)</f>
        <v>179</v>
      </c>
      <c r="AC465" s="10" t="s">
        <v>439</v>
      </c>
      <c r="AD465" s="10" t="s">
        <v>657</v>
      </c>
      <c r="AE465" s="10" t="s">
        <v>441</v>
      </c>
      <c r="AF465" s="10"/>
      <c r="AG465" s="10"/>
      <c r="AH465" s="10"/>
      <c r="AI465" s="10"/>
      <c r="AJ465" s="10" t="s">
        <v>444</v>
      </c>
      <c r="AK465" s="10" t="s">
        <v>445</v>
      </c>
      <c r="AL465" s="10" t="s">
        <v>446</v>
      </c>
      <c r="AM465" s="10"/>
      <c r="AN465" s="8"/>
      <c r="AO465" s="10" t="s">
        <v>447</v>
      </c>
      <c r="AP465" s="10" t="s">
        <v>327</v>
      </c>
      <c r="AQ465" s="11" t="n">
        <v>46152</v>
      </c>
      <c r="AR465" s="13" t="s">
        <v>1766</v>
      </c>
      <c r="AS465" s="13" t="s">
        <v>1767</v>
      </c>
      <c r="AT465" s="13"/>
      <c r="AU465" s="13"/>
      <c r="AV465" s="13"/>
      <c r="AW465" s="13"/>
      <c r="AX465" s="13"/>
      <c r="AY465" s="7" t="s">
        <v>465</v>
      </c>
      <c r="AZ465" s="7"/>
      <c r="BA465" s="7" t="s">
        <v>55</v>
      </c>
      <c r="BB465" s="7" t="s">
        <v>1767</v>
      </c>
      <c r="BC465" s="7"/>
      <c r="BD465" s="9"/>
      <c r="BE465" s="7"/>
      <c r="BF465" s="14" t="str">
        <f aca="true">IF(TRIM($A465)="Finalized","Closed",IF($BD465="","No review date set",IF($BD465&lt;TODAY(),"OVERDUE",IF($BD465-TODAY()&lt;=7,"Due within 7 days","Scheduled"))))</f>
        <v>Closed</v>
      </c>
      <c r="BG465" s="14" t="n">
        <f aca="true">IF($K465="","",TODAY()-$K465)</f>
        <v>33</v>
      </c>
      <c r="BH465" s="15" t="str">
        <f aca="false">IFERROR(LEFT(IF($B465="","Notes, ","")&amp;IF($K465="","Latest Date Worked, ","")&amp;IF($AY465="","Last Action, ","")&amp;IF(AND(OR(TRIM($A465)="Denied",TRIM($A465)="Rejected"),$BA465=""),"Denial Reason, ","")&amp;IF(AND(TRIM($A465)="Denied",$BB465="",TRIM($BA465)&lt;&gt;"NO DENIAL"),"Denial Code, ","")&amp;IF(AND(TRIM($A465)&lt;&gt;"Finalized",$BD465=""),"Next Review Date, ","")&amp;IF(AND(TRIM($A465)&lt;&gt;"Finalized",$BE465=""),"Next Step, ","")&amp;IF(AND(TRIM($A465)="Finalized",$AV465="",$AR465="",$AT465="",$AX465="",$AW465=""),"CPT outcome, ",""),LEN(IF($B465="","Notes, ","")&amp;IF($K465="","Latest Date Worked, ","")&amp;IF($AY465="","Last Action, ","")&amp;IF(AND(OR(TRIM($A465)="Denied",TRIM($A465)="Rejected"),$BA465=""),"Denial Reason, ","")&amp;IF(AND(TRIM($A465)="Denied",$BB465="",TRIM($BA465)&lt;&gt;"NO DENIAL"),"Denial Code, ","")&amp;IF(AND(TRIM($A465)&lt;&gt;"Finalized",$BD465=""),"Next Review Date, ","")&amp;IF(AND(TRIM($A465)&lt;&gt;"Finalized",$BE465=""),"Next Step, ","")&amp;IF(AND(TRIM($A465)="Finalized",$AV465="",$AR465="",$AT465="",$AX465="",$AW465=""),"CPT outcome, ",""))-2),"")</f>
        <v/>
      </c>
      <c r="BI465" s="15" t="str">
        <f aca="false">IF($BB465="","",IFERROR(INDEX('Denial Codes'!$C:$C,MATCH(LEFT($BB465,FIND(" - ",$BB465&amp;" - ")+2)&amp;"*",'Denial Codes'!$A:$A,0)),""))</f>
        <v>Other</v>
      </c>
      <c r="BJ465" s="15" t="str">
        <f aca="false">IF($BA465="","",IFERROR(INDEX(Lists!$B:$B,MATCH(TRIM($BA465),Lists!$A:$A,0))&amp;"",""))</f>
        <v/>
      </c>
    </row>
    <row r="466" customFormat="false" ht="15" hidden="false" customHeight="false" outlineLevel="0" collapsed="false">
      <c r="A466" s="7" t="s">
        <v>16</v>
      </c>
      <c r="B466" s="7" t="s">
        <v>1543</v>
      </c>
      <c r="C466" s="8" t="n">
        <v>563945778</v>
      </c>
      <c r="D466" s="9" t="n">
        <v>46217</v>
      </c>
      <c r="E466" s="10" t="s">
        <v>1768</v>
      </c>
      <c r="F466" s="11" t="n">
        <v>46193</v>
      </c>
      <c r="G466" s="10" t="s">
        <v>111</v>
      </c>
      <c r="H466" s="10" t="s">
        <v>111</v>
      </c>
      <c r="I466" s="10" t="s">
        <v>129</v>
      </c>
      <c r="J466" s="10" t="s">
        <v>1315</v>
      </c>
      <c r="K466" s="9" t="n">
        <v>46300</v>
      </c>
      <c r="L466" s="12" t="str">
        <f aca="true">IF($O466="","",$O466-TODAY())</f>
        <v/>
      </c>
      <c r="M466" s="12" t="str">
        <f aca="true">IF(AND(TRIM($A466)="Finalized",$K466&lt;&gt;""),"",IF($D466="","",$D466+180-TODAY()))</f>
        <v/>
      </c>
      <c r="N466" s="12" t="str">
        <f aca="true">IF(AND(TRIM($A466)="Finalized",$K466&lt;&gt;""),"",IF($D466="","",$D466+180-TODAY()))</f>
        <v/>
      </c>
      <c r="O466" s="11" t="str">
        <f aca="false">IF(AND(TRIM($A466)="Finalized",$K466&lt;&gt;""),"",DATE(2026,10,18))</f>
        <v/>
      </c>
      <c r="P466" s="10" t="s">
        <v>117</v>
      </c>
      <c r="Q466" s="10" t="s">
        <v>609</v>
      </c>
      <c r="R466" s="10" t="s">
        <v>147</v>
      </c>
      <c r="S466" s="10" t="s">
        <v>116</v>
      </c>
      <c r="T466" s="10" t="s">
        <v>147</v>
      </c>
      <c r="U466" s="10" t="s">
        <v>116</v>
      </c>
      <c r="V466" s="10" t="s">
        <v>303</v>
      </c>
      <c r="W466" s="10" t="s">
        <v>132</v>
      </c>
      <c r="X466" s="10" t="s">
        <v>621</v>
      </c>
      <c r="Y466" s="10"/>
      <c r="Z466" s="10"/>
      <c r="AA466" s="10" t="s">
        <v>197</v>
      </c>
      <c r="AB466" s="8" t="n">
        <f aca="true">IF($F466="","",TODAY()-$F466)</f>
        <v>118</v>
      </c>
      <c r="AC466" s="10" t="s">
        <v>246</v>
      </c>
      <c r="AD466" s="10"/>
      <c r="AE466" s="10"/>
      <c r="AF466" s="10"/>
      <c r="AG466" s="10"/>
      <c r="AH466" s="10"/>
      <c r="AI466" s="10"/>
      <c r="AJ466" s="10" t="s">
        <v>124</v>
      </c>
      <c r="AK466" s="10"/>
      <c r="AL466" s="10"/>
      <c r="AM466" s="10"/>
      <c r="AN466" s="8"/>
      <c r="AO466" s="10" t="s">
        <v>359</v>
      </c>
      <c r="AP466" s="10" t="s">
        <v>175</v>
      </c>
      <c r="AQ466" s="11" t="n">
        <v>46205</v>
      </c>
      <c r="AR466" s="13"/>
      <c r="AS466" s="13"/>
      <c r="AT466" s="13" t="s">
        <v>246</v>
      </c>
      <c r="AU466" s="13" t="s">
        <v>464</v>
      </c>
      <c r="AV466" s="13"/>
      <c r="AW466" s="13"/>
      <c r="AX466" s="13"/>
      <c r="AY466" s="7" t="s">
        <v>465</v>
      </c>
      <c r="AZ466" s="7"/>
      <c r="BA466" s="7" t="s">
        <v>34</v>
      </c>
      <c r="BB466" s="7" t="s">
        <v>464</v>
      </c>
      <c r="BC466" s="7"/>
      <c r="BD466" s="9"/>
      <c r="BE466" s="7"/>
      <c r="BF466" s="14" t="str">
        <f aca="true">IF(TRIM($A466)="Finalized","Closed",IF($BD466="","No review date set",IF($BD466&lt;TODAY(),"OVERDUE",IF($BD466-TODAY()&lt;=7,"Due within 7 days","Scheduled"))))</f>
        <v>Closed</v>
      </c>
      <c r="BG466" s="14" t="n">
        <f aca="true">IF($K466="","",TODAY()-$K466)</f>
        <v>11</v>
      </c>
      <c r="BH466" s="15" t="str">
        <f aca="false">IFERROR(LEFT(IF($B466="","Notes, ","")&amp;IF($K466="","Latest Date Worked, ","")&amp;IF($AY466="","Last Action, ","")&amp;IF(AND(OR(TRIM($A466)="Denied",TRIM($A466)="Rejected"),$BA466=""),"Denial Reason, ","")&amp;IF(AND(TRIM($A466)="Denied",$BB466="",TRIM($BA466)&lt;&gt;"NO DENIAL"),"Denial Code, ","")&amp;IF(AND(TRIM($A466)&lt;&gt;"Finalized",$BD466=""),"Next Review Date, ","")&amp;IF(AND(TRIM($A466)&lt;&gt;"Finalized",$BE466=""),"Next Step, ","")&amp;IF(AND(TRIM($A466)="Finalized",$AV466="",$AR466="",$AT466="",$AX466="",$AW466=""),"CPT outcome, ",""),LEN(IF($B466="","Notes, ","")&amp;IF($K466="","Latest Date Worked, ","")&amp;IF($AY466="","Last Action, ","")&amp;IF(AND(OR(TRIM($A466)="Denied",TRIM($A466)="Rejected"),$BA466=""),"Denial Reason, ","")&amp;IF(AND(TRIM($A466)="Denied",$BB466="",TRIM($BA466)&lt;&gt;"NO DENIAL"),"Denial Code, ","")&amp;IF(AND(TRIM($A466)&lt;&gt;"Finalized",$BD466=""),"Next Review Date, ","")&amp;IF(AND(TRIM($A466)&lt;&gt;"Finalized",$BE466=""),"Next Step, ","")&amp;IF(AND(TRIM($A466)="Finalized",$AV466="",$AR466="",$AT466="",$AX466="",$AW466=""),"CPT outcome, ",""))-2),"")</f>
        <v/>
      </c>
      <c r="BI466" s="15" t="str">
        <f aca="false">IF($BB466="","",IFERROR(INDEX('Denial Codes'!$C:$C,MATCH(LEFT($BB466,FIND(" - ",$BB466&amp;" - ")+2)&amp;"*",'Denial Codes'!$A:$A,0)),""))</f>
        <v>No authorization</v>
      </c>
      <c r="BJ466" s="15" t="str">
        <f aca="false">IF($BA466="","",IFERROR(INDEX(Lists!$B:$B,MATCH(TRIM($BA466),Lists!$A:$A,0))&amp;"",""))</f>
        <v>Check the portal for an auth; request a retro-auth or file an appeal with the auth number, then resubmit.</v>
      </c>
    </row>
    <row r="467" customFormat="false" ht="15" hidden="false" customHeight="false" outlineLevel="0" collapsed="false">
      <c r="A467" s="7" t="s">
        <v>16</v>
      </c>
      <c r="B467" s="7" t="s">
        <v>1753</v>
      </c>
      <c r="C467" s="8" t="n">
        <v>565098145</v>
      </c>
      <c r="D467" s="9" t="n">
        <v>46238</v>
      </c>
      <c r="E467" s="10" t="s">
        <v>1769</v>
      </c>
      <c r="F467" s="11" t="n">
        <v>46202</v>
      </c>
      <c r="G467" s="10" t="s">
        <v>1770</v>
      </c>
      <c r="H467" s="10" t="s">
        <v>1770</v>
      </c>
      <c r="I467" s="10" t="s">
        <v>129</v>
      </c>
      <c r="J467" s="10" t="s">
        <v>1771</v>
      </c>
      <c r="K467" s="9" t="n">
        <v>46300</v>
      </c>
      <c r="L467" s="12" t="str">
        <f aca="true">IF($O467="","",$O467-TODAY())</f>
        <v/>
      </c>
      <c r="M467" s="12" t="str">
        <f aca="true">IF(AND(TRIM($A467)="Finalized",$K467&lt;&gt;""),"",IF($D467="","",$D467+180-TODAY()))</f>
        <v/>
      </c>
      <c r="N467" s="12" t="str">
        <f aca="true">IF(AND(TRIM($A467)="Finalized",$K467&lt;&gt;""),"",IF($D467="","",$D467+180-TODAY()))</f>
        <v/>
      </c>
      <c r="O467" s="11" t="str">
        <f aca="false">IF(AND(TRIM($A467)="Finalized",$K467&lt;&gt;""),"",DATE(2026,10,27))</f>
        <v/>
      </c>
      <c r="P467" s="10" t="s">
        <v>117</v>
      </c>
      <c r="Q467" s="10" t="s">
        <v>609</v>
      </c>
      <c r="R467" s="10" t="s">
        <v>147</v>
      </c>
      <c r="S467" s="10" t="s">
        <v>116</v>
      </c>
      <c r="T467" s="10" t="s">
        <v>147</v>
      </c>
      <c r="U467" s="10" t="s">
        <v>116</v>
      </c>
      <c r="V467" s="10" t="s">
        <v>303</v>
      </c>
      <c r="W467" s="10" t="s">
        <v>434</v>
      </c>
      <c r="X467" s="10" t="s">
        <v>478</v>
      </c>
      <c r="Y467" s="10" t="s">
        <v>930</v>
      </c>
      <c r="Z467" s="10" t="s">
        <v>436</v>
      </c>
      <c r="AA467" s="10" t="s">
        <v>1201</v>
      </c>
      <c r="AB467" s="8" t="n">
        <f aca="true">IF($F467="","",TODAY()-$F467)</f>
        <v>109</v>
      </c>
      <c r="AC467" s="10" t="s">
        <v>441</v>
      </c>
      <c r="AD467" s="10" t="s">
        <v>657</v>
      </c>
      <c r="AE467" s="10" t="s">
        <v>440</v>
      </c>
      <c r="AF467" s="10" t="s">
        <v>439</v>
      </c>
      <c r="AG467" s="10" t="s">
        <v>443</v>
      </c>
      <c r="AH467" s="10"/>
      <c r="AI467" s="10"/>
      <c r="AJ467" s="10" t="s">
        <v>444</v>
      </c>
      <c r="AK467" s="10" t="s">
        <v>445</v>
      </c>
      <c r="AL467" s="10" t="s">
        <v>446</v>
      </c>
      <c r="AM467" s="10"/>
      <c r="AN467" s="8"/>
      <c r="AO467" s="10" t="s">
        <v>447</v>
      </c>
      <c r="AP467" s="10" t="s">
        <v>327</v>
      </c>
      <c r="AQ467" s="11" t="n">
        <v>46216</v>
      </c>
      <c r="AR467" s="13" t="s">
        <v>443</v>
      </c>
      <c r="AS467" s="13" t="s">
        <v>1772</v>
      </c>
      <c r="AT467" s="13"/>
      <c r="AU467" s="13"/>
      <c r="AV467" s="13" t="s">
        <v>1773</v>
      </c>
      <c r="AW467" s="13"/>
      <c r="AX467" s="13" t="s">
        <v>1773</v>
      </c>
      <c r="AY467" s="7" t="s">
        <v>465</v>
      </c>
      <c r="AZ467" s="7"/>
      <c r="BA467" s="7" t="s">
        <v>41</v>
      </c>
      <c r="BB467" s="7" t="s">
        <v>1772</v>
      </c>
      <c r="BC467" s="7"/>
      <c r="BD467" s="9"/>
      <c r="BE467" s="7"/>
      <c r="BF467" s="14" t="str">
        <f aca="true">IF(TRIM($A467)="Finalized","Closed",IF($BD467="","No review date set",IF($BD467&lt;TODAY(),"OVERDUE",IF($BD467-TODAY()&lt;=7,"Due within 7 days","Scheduled"))))</f>
        <v>Closed</v>
      </c>
      <c r="BG467" s="14" t="n">
        <f aca="true">IF($K467="","",TODAY()-$K467)</f>
        <v>11</v>
      </c>
      <c r="BH467" s="15" t="str">
        <f aca="false">IFERROR(LEFT(IF($B467="","Notes, ","")&amp;IF($K467="","Latest Date Worked, ","")&amp;IF($AY467="","Last Action, ","")&amp;IF(AND(OR(TRIM($A467)="Denied",TRIM($A467)="Rejected"),$BA467=""),"Denial Reason, ","")&amp;IF(AND(TRIM($A467)="Denied",$BB467="",TRIM($BA467)&lt;&gt;"NO DENIAL"),"Denial Code, ","")&amp;IF(AND(TRIM($A467)&lt;&gt;"Finalized",$BD467=""),"Next Review Date, ","")&amp;IF(AND(TRIM($A467)&lt;&gt;"Finalized",$BE467=""),"Next Step, ","")&amp;IF(AND(TRIM($A467)="Finalized",$AV467="",$AR467="",$AT467="",$AX467="",$AW467=""),"CPT outcome, ",""),LEN(IF($B467="","Notes, ","")&amp;IF($K467="","Latest Date Worked, ","")&amp;IF($AY467="","Last Action, ","")&amp;IF(AND(OR(TRIM($A467)="Denied",TRIM($A467)="Rejected"),$BA467=""),"Denial Reason, ","")&amp;IF(AND(TRIM($A467)="Denied",$BB467="",TRIM($BA467)&lt;&gt;"NO DENIAL"),"Denial Code, ","")&amp;IF(AND(TRIM($A467)&lt;&gt;"Finalized",$BD467=""),"Next Review Date, ","")&amp;IF(AND(TRIM($A467)&lt;&gt;"Finalized",$BE467=""),"Next Step, ","")&amp;IF(AND(TRIM($A467)="Finalized",$AV467="",$AR467="",$AT467="",$AX467="",$AW467=""),"CPT outcome, ",""))-2),"")</f>
        <v/>
      </c>
      <c r="BI467" s="15" t="str">
        <f aca="false">IF($BB467="","",IFERROR(INDEX('Denial Codes'!$C:$C,MATCH(LEFT($BB467,FIND(" - ",$BB467&amp;" - ")+2)&amp;"*",'Denial Codes'!$A:$A,0)),""))</f>
        <v>Not covered by plan</v>
      </c>
      <c r="BJ467" s="15" t="str">
        <f aca="false">IF($BA467="","",IFERROR(INDEX(Lists!$B:$B,MATCH(TRIM($BA467),Lists!$A:$A,0))&amp;"",""))</f>
        <v>Confirm benefits; bill the patient if an ABN/waiver is on file, otherwise appeal or adjust.</v>
      </c>
    </row>
    <row r="468" customFormat="false" ht="15" hidden="false" customHeight="false" outlineLevel="0" collapsed="false">
      <c r="A468" s="7" t="s">
        <v>16</v>
      </c>
      <c r="B468" s="7" t="s">
        <v>1774</v>
      </c>
      <c r="C468" s="8" t="n">
        <v>559248529</v>
      </c>
      <c r="D468" s="9" t="n">
        <v>46170</v>
      </c>
      <c r="E468" s="10" t="s">
        <v>1113</v>
      </c>
      <c r="F468" s="11" t="n">
        <v>46156</v>
      </c>
      <c r="G468" s="10" t="s">
        <v>1114</v>
      </c>
      <c r="H468" s="10" t="s">
        <v>1114</v>
      </c>
      <c r="I468" s="10" t="s">
        <v>129</v>
      </c>
      <c r="J468" s="10" t="s">
        <v>250</v>
      </c>
      <c r="K468" s="9" t="n">
        <v>46252</v>
      </c>
      <c r="L468" s="12" t="str">
        <f aca="true">IF($O468="","",$O468-TODAY())</f>
        <v/>
      </c>
      <c r="M468" s="12" t="str">
        <f aca="true">IF(AND(TRIM($A468)="Finalized",$K468&lt;&gt;""),"",IF($F468="","",$F468+180-TODAY()))</f>
        <v/>
      </c>
      <c r="N468" s="12" t="str">
        <f aca="true">IF(AND(TRIM($A468)="Finalized",$K468&lt;&gt;""),"",IF($D468="","",$D468+180-TODAY()))</f>
        <v/>
      </c>
      <c r="O468" s="11" t="str">
        <f aca="false">IF(AND(TRIM($A468)="Finalized",$K468&lt;&gt;""),"",DATE(2026,11,10))</f>
        <v/>
      </c>
      <c r="P468" s="10" t="s">
        <v>147</v>
      </c>
      <c r="Q468" s="10" t="s">
        <v>1115</v>
      </c>
      <c r="R468" s="10" t="s">
        <v>147</v>
      </c>
      <c r="S468" s="10" t="s">
        <v>149</v>
      </c>
      <c r="T468" s="10" t="s">
        <v>147</v>
      </c>
      <c r="U468" s="10" t="s">
        <v>116</v>
      </c>
      <c r="V468" s="10" t="s">
        <v>266</v>
      </c>
      <c r="W468" s="10" t="s">
        <v>132</v>
      </c>
      <c r="X468" s="10"/>
      <c r="Y468" s="10"/>
      <c r="Z468" s="10"/>
      <c r="AA468" s="10" t="s">
        <v>197</v>
      </c>
      <c r="AB468" s="8" t="n">
        <f aca="true">IF($F468="","",TODAY()-$F468)</f>
        <v>155</v>
      </c>
      <c r="AC468" s="10" t="s">
        <v>251</v>
      </c>
      <c r="AD468" s="10"/>
      <c r="AE468" s="10"/>
      <c r="AF468" s="10"/>
      <c r="AG468" s="10"/>
      <c r="AH468" s="10"/>
      <c r="AI468" s="10"/>
      <c r="AJ468" s="10" t="s">
        <v>362</v>
      </c>
      <c r="AK468" s="10"/>
      <c r="AL468" s="10"/>
      <c r="AM468" s="10"/>
      <c r="AN468" s="8"/>
      <c r="AO468" s="10" t="s">
        <v>201</v>
      </c>
      <c r="AP468" s="10" t="s">
        <v>327</v>
      </c>
      <c r="AQ468" s="11" t="n">
        <v>46157</v>
      </c>
      <c r="AR468" s="13"/>
      <c r="AS468" s="13"/>
      <c r="AT468" s="13" t="s">
        <v>251</v>
      </c>
      <c r="AU468" s="13" t="s">
        <v>464</v>
      </c>
      <c r="AV468" s="13"/>
      <c r="AW468" s="13"/>
      <c r="AX468" s="13"/>
      <c r="AY468" s="7" t="s">
        <v>465</v>
      </c>
      <c r="AZ468" s="7"/>
      <c r="BA468" s="7" t="s">
        <v>34</v>
      </c>
      <c r="BB468" s="7" t="s">
        <v>464</v>
      </c>
      <c r="BC468" s="7" t="s">
        <v>1775</v>
      </c>
      <c r="BD468" s="9"/>
      <c r="BE468" s="7"/>
      <c r="BF468" s="14" t="str">
        <f aca="true">IF(TRIM($A468)="Finalized","Closed",IF($BD468="","No review date set",IF($BD468&lt;TODAY(),"OVERDUE",IF($BD468-TODAY()&lt;=7,"Due within 7 days","Scheduled"))))</f>
        <v>Closed</v>
      </c>
      <c r="BG468" s="14" t="n">
        <f aca="true">IF($K468="","",TODAY()-$K468)</f>
        <v>59</v>
      </c>
      <c r="BH468" s="15" t="str">
        <f aca="false">IFERROR(LEFT(IF($B468="","Notes, ","")&amp;IF($K468="","Latest Date Worked, ","")&amp;IF($AY468="","Last Action, ","")&amp;IF(AND(OR(TRIM($A468)="Denied",TRIM($A468)="Rejected"),$BA468=""),"Denial Reason, ","")&amp;IF(AND(TRIM($A468)="Denied",$BB468="",TRIM($BA468)&lt;&gt;"NO DENIAL"),"Denial Code, ","")&amp;IF(AND(TRIM($A468)&lt;&gt;"Finalized",$BD468=""),"Next Review Date, ","")&amp;IF(AND(TRIM($A468)&lt;&gt;"Finalized",$BE468=""),"Next Step, ","")&amp;IF(AND(TRIM($A468)="Finalized",$AV468="",$AR468="",$AT468="",$AX468="",$AW468=""),"CPT outcome, ",""),LEN(IF($B468="","Notes, ","")&amp;IF($K468="","Latest Date Worked, ","")&amp;IF($AY468="","Last Action, ","")&amp;IF(AND(OR(TRIM($A468)="Denied",TRIM($A468)="Rejected"),$BA468=""),"Denial Reason, ","")&amp;IF(AND(TRIM($A468)="Denied",$BB468="",TRIM($BA468)&lt;&gt;"NO DENIAL"),"Denial Code, ","")&amp;IF(AND(TRIM($A468)&lt;&gt;"Finalized",$BD468=""),"Next Review Date, ","")&amp;IF(AND(TRIM($A468)&lt;&gt;"Finalized",$BE468=""),"Next Step, ","")&amp;IF(AND(TRIM($A468)="Finalized",$AV468="",$AR468="",$AT468="",$AX468="",$AW468=""),"CPT outcome, ",""))-2),"")</f>
        <v/>
      </c>
      <c r="BI468" s="15" t="str">
        <f aca="false">IF($BB468="","",IFERROR(INDEX('Denial Codes'!$C:$C,MATCH(LEFT($BB468,FIND(" - ",$BB468&amp;" - ")+2)&amp;"*",'Denial Codes'!$A:$A,0)),""))</f>
        <v>No authorization</v>
      </c>
      <c r="BJ468" s="15" t="str">
        <f aca="false">IF($BA468="","",IFERROR(INDEX(Lists!$B:$B,MATCH(TRIM($BA468),Lists!$A:$A,0))&amp;"",""))</f>
        <v>Check the portal for an auth; request a retro-auth or file an appeal with the auth number, then resubmit.</v>
      </c>
    </row>
    <row r="469" customFormat="false" ht="15" hidden="false" customHeight="false" outlineLevel="0" collapsed="false">
      <c r="A469" s="7" t="s">
        <v>16</v>
      </c>
      <c r="B469" s="7" t="s">
        <v>1776</v>
      </c>
      <c r="C469" s="8" t="n">
        <v>557650217</v>
      </c>
      <c r="D469" s="9" t="n">
        <v>46160</v>
      </c>
      <c r="E469" s="10" t="s">
        <v>1777</v>
      </c>
      <c r="F469" s="11" t="n">
        <v>46031</v>
      </c>
      <c r="G469" s="10" t="s">
        <v>112</v>
      </c>
      <c r="H469" s="10" t="s">
        <v>112</v>
      </c>
      <c r="I469" s="10" t="s">
        <v>227</v>
      </c>
      <c r="J469" s="10" t="s">
        <v>450</v>
      </c>
      <c r="K469" s="9" t="n">
        <v>46261</v>
      </c>
      <c r="L469" s="12" t="str">
        <f aca="true">IF($O469="","",$O469-TODAY())</f>
        <v/>
      </c>
      <c r="M469" s="12" t="str">
        <f aca="true">IF(AND(TRIM($A469)="Finalized",$K469&lt;&gt;""),"",IF($D469="","",$D469+365-TODAY()))</f>
        <v/>
      </c>
      <c r="N469" s="12" t="str">
        <f aca="true">IF(AND(TRIM($A469)="Finalized",$K469&lt;&gt;""),"",IF($D469="","",$D469+120-TODAY()))</f>
        <v/>
      </c>
      <c r="O469" s="11" t="str">
        <f aca="false">IF(AND(TRIM($A469)="Finalized",$K469&lt;&gt;""),"",DATE(2027,1,9))</f>
        <v/>
      </c>
      <c r="P469" s="10" t="s">
        <v>114</v>
      </c>
      <c r="Q469" s="10" t="s">
        <v>115</v>
      </c>
      <c r="R469" s="10" t="s">
        <v>114</v>
      </c>
      <c r="S469" s="10" t="s">
        <v>116</v>
      </c>
      <c r="T469" s="10" t="s">
        <v>117</v>
      </c>
      <c r="U469" s="10" t="s">
        <v>116</v>
      </c>
      <c r="V469" s="10" t="s">
        <v>118</v>
      </c>
      <c r="W469" s="10" t="s">
        <v>119</v>
      </c>
      <c r="X469" s="10" t="s">
        <v>304</v>
      </c>
      <c r="Y469" s="10"/>
      <c r="Z469" s="10"/>
      <c r="AA469" s="10" t="s">
        <v>197</v>
      </c>
      <c r="AB469" s="8" t="n">
        <f aca="true">IF($F469="","",TODAY()-$F469)</f>
        <v>280</v>
      </c>
      <c r="AC469" s="10" t="s">
        <v>451</v>
      </c>
      <c r="AD469" s="10"/>
      <c r="AE469" s="10"/>
      <c r="AF469" s="10"/>
      <c r="AG469" s="10"/>
      <c r="AH469" s="10"/>
      <c r="AI469" s="10"/>
      <c r="AJ469" s="10" t="s">
        <v>124</v>
      </c>
      <c r="AK469" s="10"/>
      <c r="AL469" s="10"/>
      <c r="AM469" s="10"/>
      <c r="AN469" s="8"/>
      <c r="AO469" s="10" t="s">
        <v>125</v>
      </c>
      <c r="AP469" s="10" t="s">
        <v>126</v>
      </c>
      <c r="AQ469" s="11" t="n">
        <v>46036</v>
      </c>
      <c r="AR469" s="13"/>
      <c r="AS469" s="13"/>
      <c r="AT469" s="13"/>
      <c r="AU469" s="13"/>
      <c r="AV469" s="13" t="s">
        <v>451</v>
      </c>
      <c r="AW469" s="13"/>
      <c r="AX469" s="13" t="s">
        <v>451</v>
      </c>
      <c r="AY469" s="7" t="s">
        <v>363</v>
      </c>
      <c r="AZ469" s="7"/>
      <c r="BA469" s="7" t="s">
        <v>47</v>
      </c>
      <c r="BB469" s="7"/>
      <c r="BC469" s="7" t="s">
        <v>1778</v>
      </c>
      <c r="BD469" s="9"/>
      <c r="BE469" s="7"/>
      <c r="BF469" s="14" t="str">
        <f aca="true">IF(TRIM($A469)="Finalized","Closed",IF($BD469="","No review date set",IF($BD469&lt;TODAY(),"OVERDUE",IF($BD469-TODAY()&lt;=7,"Due within 7 days","Scheduled"))))</f>
        <v>Closed</v>
      </c>
      <c r="BG469" s="14" t="n">
        <f aca="true">IF($K469="","",TODAY()-$K469)</f>
        <v>50</v>
      </c>
      <c r="BH469" s="15" t="str">
        <f aca="false">IFERROR(LEFT(IF($B469="","Notes, ","")&amp;IF($K469="","Latest Date Worked, ","")&amp;IF($AY469="","Last Action, ","")&amp;IF(AND(OR(TRIM($A469)="Denied",TRIM($A469)="Rejected"),$BA469=""),"Denial Reason, ","")&amp;IF(AND(TRIM($A469)="Denied",$BB469="",TRIM($BA469)&lt;&gt;"NO DENIAL"),"Denial Code, ","")&amp;IF(AND(TRIM($A469)&lt;&gt;"Finalized",$BD469=""),"Next Review Date, ","")&amp;IF(AND(TRIM($A469)&lt;&gt;"Finalized",$BE469=""),"Next Step, ","")&amp;IF(AND(TRIM($A469)="Finalized",$AV469="",$AR469="",$AT469="",$AX469="",$AW469=""),"CPT outcome, ",""),LEN(IF($B469="","Notes, ","")&amp;IF($K469="","Latest Date Worked, ","")&amp;IF($AY469="","Last Action, ","")&amp;IF(AND(OR(TRIM($A469)="Denied",TRIM($A469)="Rejected"),$BA469=""),"Denial Reason, ","")&amp;IF(AND(TRIM($A469)="Denied",$BB469="",TRIM($BA469)&lt;&gt;"NO DENIAL"),"Denial Code, ","")&amp;IF(AND(TRIM($A469)&lt;&gt;"Finalized",$BD469=""),"Next Review Date, ","")&amp;IF(AND(TRIM($A469)&lt;&gt;"Finalized",$BE469=""),"Next Step, ","")&amp;IF(AND(TRIM($A469)="Finalized",$AV469="",$AR469="",$AT469="",$AX469="",$AW469=""),"CPT outcome, ",""))-2),"")</f>
        <v/>
      </c>
      <c r="BI469" s="15" t="str">
        <f aca="false">IF($BB469="","",IFERROR(INDEX('Denial Codes'!$C:$C,MATCH(LEFT($BB469,FIND(" - ",$BB469&amp;" - ")+2)&amp;"*",'Denial Codes'!$A:$A,0)),""))</f>
        <v/>
      </c>
      <c r="BJ469" s="15" t="str">
        <f aca="false">IF($BA469="","",IFERROR(INDEX(Lists!$B:$B,MATCH(TRIM($BA469),Lists!$A:$A,0))&amp;"",""))</f>
        <v>Check provider enrollment, NPI/TIN and network status; appeal once credentialing is confirmed.</v>
      </c>
    </row>
    <row r="470" customFormat="false" ht="15" hidden="false" customHeight="false" outlineLevel="0" collapsed="false">
      <c r="A470" s="7" t="s">
        <v>16</v>
      </c>
      <c r="B470" s="7" t="s">
        <v>1776</v>
      </c>
      <c r="C470" s="8" t="n">
        <v>546883608</v>
      </c>
      <c r="D470" s="9" t="n">
        <v>46086</v>
      </c>
      <c r="E470" s="10" t="s">
        <v>1779</v>
      </c>
      <c r="F470" s="11" t="n">
        <v>46041</v>
      </c>
      <c r="G470" s="10" t="s">
        <v>112</v>
      </c>
      <c r="H470" s="10" t="s">
        <v>112</v>
      </c>
      <c r="I470" s="10" t="s">
        <v>271</v>
      </c>
      <c r="J470" s="10" t="s">
        <v>272</v>
      </c>
      <c r="K470" s="9" t="n">
        <v>46261</v>
      </c>
      <c r="L470" s="12" t="str">
        <f aca="true">IF($O470="","",$O470-TODAY())</f>
        <v/>
      </c>
      <c r="M470" s="12" t="str">
        <f aca="true">IF(AND(TRIM($A470)="Finalized",$K470&lt;&gt;""),"",IF($D470="","",$D470+365-TODAY()))</f>
        <v/>
      </c>
      <c r="N470" s="12" t="str">
        <f aca="true">IF(AND(TRIM($A470)="Finalized",$K470&lt;&gt;""),"",IF($D470="","",$D470+120-TODAY()))</f>
        <v/>
      </c>
      <c r="O470" s="11" t="str">
        <f aca="false">IF(AND(TRIM($A470)="Finalized",$K470&lt;&gt;""),"",DATE(2027,1,19))</f>
        <v/>
      </c>
      <c r="P470" s="10" t="s">
        <v>114</v>
      </c>
      <c r="Q470" s="10" t="s">
        <v>115</v>
      </c>
      <c r="R470" s="10" t="s">
        <v>114</v>
      </c>
      <c r="S470" s="10" t="s">
        <v>116</v>
      </c>
      <c r="T470" s="10" t="s">
        <v>117</v>
      </c>
      <c r="U470" s="10" t="s">
        <v>116</v>
      </c>
      <c r="V470" s="10" t="s">
        <v>118</v>
      </c>
      <c r="W470" s="10" t="s">
        <v>119</v>
      </c>
      <c r="X470" s="10" t="s">
        <v>120</v>
      </c>
      <c r="Y470" s="10"/>
      <c r="Z470" s="10"/>
      <c r="AA470" s="10" t="s">
        <v>121</v>
      </c>
      <c r="AB470" s="8" t="n">
        <f aca="true">IF($F470="","",TODAY()-$F470)</f>
        <v>270</v>
      </c>
      <c r="AC470" s="10" t="s">
        <v>273</v>
      </c>
      <c r="AD470" s="10"/>
      <c r="AE470" s="10"/>
      <c r="AF470" s="10"/>
      <c r="AG470" s="10"/>
      <c r="AH470" s="10"/>
      <c r="AI470" s="10"/>
      <c r="AJ470" s="10" t="s">
        <v>123</v>
      </c>
      <c r="AK470" s="10" t="s">
        <v>139</v>
      </c>
      <c r="AL470" s="10"/>
      <c r="AM470" s="10"/>
      <c r="AN470" s="8"/>
      <c r="AO470" s="10" t="s">
        <v>125</v>
      </c>
      <c r="AP470" s="10" t="s">
        <v>126</v>
      </c>
      <c r="AQ470" s="11" t="n">
        <v>46043</v>
      </c>
      <c r="AR470" s="13"/>
      <c r="AS470" s="13"/>
      <c r="AT470" s="13"/>
      <c r="AU470" s="13"/>
      <c r="AV470" s="13" t="s">
        <v>273</v>
      </c>
      <c r="AW470" s="13"/>
      <c r="AX470" s="13" t="s">
        <v>273</v>
      </c>
      <c r="AY470" s="7" t="s">
        <v>363</v>
      </c>
      <c r="AZ470" s="7"/>
      <c r="BA470" s="7" t="s">
        <v>47</v>
      </c>
      <c r="BB470" s="7"/>
      <c r="BC470" s="7" t="s">
        <v>1778</v>
      </c>
      <c r="BD470" s="9"/>
      <c r="BE470" s="7"/>
      <c r="BF470" s="14" t="str">
        <f aca="true">IF(TRIM($A470)="Finalized","Closed",IF($BD470="","No review date set",IF($BD470&lt;TODAY(),"OVERDUE",IF($BD470-TODAY()&lt;=7,"Due within 7 days","Scheduled"))))</f>
        <v>Closed</v>
      </c>
      <c r="BG470" s="14" t="n">
        <f aca="true">IF($K470="","",TODAY()-$K470)</f>
        <v>50</v>
      </c>
      <c r="BH470" s="15" t="str">
        <f aca="false">IFERROR(LEFT(IF($B470="","Notes, ","")&amp;IF($K470="","Latest Date Worked, ","")&amp;IF($AY470="","Last Action, ","")&amp;IF(AND(OR(TRIM($A470)="Denied",TRIM($A470)="Rejected"),$BA470=""),"Denial Reason, ","")&amp;IF(AND(TRIM($A470)="Denied",$BB470="",TRIM($BA470)&lt;&gt;"NO DENIAL"),"Denial Code, ","")&amp;IF(AND(TRIM($A470)&lt;&gt;"Finalized",$BD470=""),"Next Review Date, ","")&amp;IF(AND(TRIM($A470)&lt;&gt;"Finalized",$BE470=""),"Next Step, ","")&amp;IF(AND(TRIM($A470)="Finalized",$AV470="",$AR470="",$AT470="",$AX470="",$AW470=""),"CPT outcome, ",""),LEN(IF($B470="","Notes, ","")&amp;IF($K470="","Latest Date Worked, ","")&amp;IF($AY470="","Last Action, ","")&amp;IF(AND(OR(TRIM($A470)="Denied",TRIM($A470)="Rejected"),$BA470=""),"Denial Reason, ","")&amp;IF(AND(TRIM($A470)="Denied",$BB470="",TRIM($BA470)&lt;&gt;"NO DENIAL"),"Denial Code, ","")&amp;IF(AND(TRIM($A470)&lt;&gt;"Finalized",$BD470=""),"Next Review Date, ","")&amp;IF(AND(TRIM($A470)&lt;&gt;"Finalized",$BE470=""),"Next Step, ","")&amp;IF(AND(TRIM($A470)="Finalized",$AV470="",$AR470="",$AT470="",$AX470="",$AW470=""),"CPT outcome, ",""))-2),"")</f>
        <v/>
      </c>
      <c r="BI470" s="15" t="str">
        <f aca="false">IF($BB470="","",IFERROR(INDEX('Denial Codes'!$C:$C,MATCH(LEFT($BB470,FIND(" - ",$BB470&amp;" - ")+2)&amp;"*",'Denial Codes'!$A:$A,0)),""))</f>
        <v/>
      </c>
      <c r="BJ470" s="15" t="str">
        <f aca="false">IF($BA470="","",IFERROR(INDEX(Lists!$B:$B,MATCH(TRIM($BA470),Lists!$A:$A,0))&amp;"",""))</f>
        <v>Check provider enrollment, NPI/TIN and network status; appeal once credentialing is confirmed.</v>
      </c>
    </row>
    <row r="471" customFormat="false" ht="15" hidden="false" customHeight="false" outlineLevel="0" collapsed="false">
      <c r="A471" s="7" t="s">
        <v>16</v>
      </c>
      <c r="B471" s="7" t="s">
        <v>1776</v>
      </c>
      <c r="C471" s="8" t="n">
        <v>546884583</v>
      </c>
      <c r="D471" s="9" t="n">
        <v>46071</v>
      </c>
      <c r="E471" s="10" t="s">
        <v>1780</v>
      </c>
      <c r="F471" s="11" t="n">
        <v>46041</v>
      </c>
      <c r="G471" s="10" t="s">
        <v>112</v>
      </c>
      <c r="H471" s="10" t="s">
        <v>112</v>
      </c>
      <c r="I471" s="10" t="s">
        <v>163</v>
      </c>
      <c r="J471" s="10" t="s">
        <v>272</v>
      </c>
      <c r="K471" s="9" t="n">
        <v>46261</v>
      </c>
      <c r="L471" s="12" t="str">
        <f aca="true">IF($O471="","",$O471-TODAY())</f>
        <v/>
      </c>
      <c r="M471" s="12" t="str">
        <f aca="true">IF(AND(TRIM($A471)="Finalized",$K471&lt;&gt;""),"",IF($D471="","",$D471+365-TODAY()))</f>
        <v/>
      </c>
      <c r="N471" s="12" t="str">
        <f aca="true">IF(AND(TRIM($A471)="Finalized",$K471&lt;&gt;""),"",IF($D471="","",$D471+120-TODAY()))</f>
        <v/>
      </c>
      <c r="O471" s="11" t="str">
        <f aca="false">IF(AND(TRIM($A471)="Finalized",$K471&lt;&gt;""),"",DATE(2027,1,19))</f>
        <v/>
      </c>
      <c r="P471" s="10" t="s">
        <v>114</v>
      </c>
      <c r="Q471" s="10" t="s">
        <v>115</v>
      </c>
      <c r="R471" s="10" t="s">
        <v>114</v>
      </c>
      <c r="S471" s="10" t="s">
        <v>116</v>
      </c>
      <c r="T471" s="10" t="s">
        <v>117</v>
      </c>
      <c r="U471" s="10" t="s">
        <v>116</v>
      </c>
      <c r="V471" s="10" t="s">
        <v>118</v>
      </c>
      <c r="W471" s="10" t="s">
        <v>119</v>
      </c>
      <c r="X471" s="10" t="s">
        <v>120</v>
      </c>
      <c r="Y471" s="10"/>
      <c r="Z471" s="10"/>
      <c r="AA471" s="10" t="s">
        <v>121</v>
      </c>
      <c r="AB471" s="8" t="n">
        <f aca="true">IF($F471="","",TODAY()-$F471)</f>
        <v>270</v>
      </c>
      <c r="AC471" s="10" t="s">
        <v>273</v>
      </c>
      <c r="AD471" s="10"/>
      <c r="AE471" s="10"/>
      <c r="AF471" s="10"/>
      <c r="AG471" s="10"/>
      <c r="AH471" s="10"/>
      <c r="AI471" s="10"/>
      <c r="AJ471" s="10" t="s">
        <v>123</v>
      </c>
      <c r="AK471" s="10" t="s">
        <v>1781</v>
      </c>
      <c r="AL471" s="10"/>
      <c r="AM471" s="10"/>
      <c r="AN471" s="8"/>
      <c r="AO471" s="10" t="s">
        <v>125</v>
      </c>
      <c r="AP471" s="10" t="s">
        <v>126</v>
      </c>
      <c r="AQ471" s="11" t="n">
        <v>46043</v>
      </c>
      <c r="AR471" s="13"/>
      <c r="AS471" s="13"/>
      <c r="AT471" s="13"/>
      <c r="AU471" s="13"/>
      <c r="AV471" s="13" t="s">
        <v>273</v>
      </c>
      <c r="AW471" s="13"/>
      <c r="AX471" s="13" t="s">
        <v>273</v>
      </c>
      <c r="AY471" s="7" t="s">
        <v>363</v>
      </c>
      <c r="AZ471" s="7"/>
      <c r="BA471" s="7" t="s">
        <v>47</v>
      </c>
      <c r="BB471" s="7"/>
      <c r="BC471" s="7" t="s">
        <v>1778</v>
      </c>
      <c r="BD471" s="9"/>
      <c r="BE471" s="7"/>
      <c r="BF471" s="14" t="str">
        <f aca="true">IF(TRIM($A471)="Finalized","Closed",IF($BD471="","No review date set",IF($BD471&lt;TODAY(),"OVERDUE",IF($BD471-TODAY()&lt;=7,"Due within 7 days","Scheduled"))))</f>
        <v>Closed</v>
      </c>
      <c r="BG471" s="14" t="n">
        <f aca="true">IF($K471="","",TODAY()-$K471)</f>
        <v>50</v>
      </c>
      <c r="BH471" s="15" t="str">
        <f aca="false">IFERROR(LEFT(IF($B471="","Notes, ","")&amp;IF($K471="","Latest Date Worked, ","")&amp;IF($AY471="","Last Action, ","")&amp;IF(AND(OR(TRIM($A471)="Denied",TRIM($A471)="Rejected"),$BA471=""),"Denial Reason, ","")&amp;IF(AND(TRIM($A471)="Denied",$BB471="",TRIM($BA471)&lt;&gt;"NO DENIAL"),"Denial Code, ","")&amp;IF(AND(TRIM($A471)&lt;&gt;"Finalized",$BD471=""),"Next Review Date, ","")&amp;IF(AND(TRIM($A471)&lt;&gt;"Finalized",$BE471=""),"Next Step, ","")&amp;IF(AND(TRIM($A471)="Finalized",$AV471="",$AR471="",$AT471="",$AX471="",$AW471=""),"CPT outcome, ",""),LEN(IF($B471="","Notes, ","")&amp;IF($K471="","Latest Date Worked, ","")&amp;IF($AY471="","Last Action, ","")&amp;IF(AND(OR(TRIM($A471)="Denied",TRIM($A471)="Rejected"),$BA471=""),"Denial Reason, ","")&amp;IF(AND(TRIM($A471)="Denied",$BB471="",TRIM($BA471)&lt;&gt;"NO DENIAL"),"Denial Code, ","")&amp;IF(AND(TRIM($A471)&lt;&gt;"Finalized",$BD471=""),"Next Review Date, ","")&amp;IF(AND(TRIM($A471)&lt;&gt;"Finalized",$BE471=""),"Next Step, ","")&amp;IF(AND(TRIM($A471)="Finalized",$AV471="",$AR471="",$AT471="",$AX471="",$AW471=""),"CPT outcome, ",""))-2),"")</f>
        <v/>
      </c>
      <c r="BI471" s="15" t="str">
        <f aca="false">IF($BB471="","",IFERROR(INDEX('Denial Codes'!$C:$C,MATCH(LEFT($BB471,FIND(" - ",$BB471&amp;" - ")+2)&amp;"*",'Denial Codes'!$A:$A,0)),""))</f>
        <v/>
      </c>
      <c r="BJ471" s="15" t="str">
        <f aca="false">IF($BA471="","",IFERROR(INDEX(Lists!$B:$B,MATCH(TRIM($BA471),Lists!$A:$A,0))&amp;"",""))</f>
        <v>Check provider enrollment, NPI/TIN and network status; appeal once credentialing is confirmed.</v>
      </c>
    </row>
    <row r="472" customFormat="false" ht="15" hidden="false" customHeight="false" outlineLevel="0" collapsed="false">
      <c r="A472" s="7" t="s">
        <v>16</v>
      </c>
      <c r="B472" s="7" t="s">
        <v>465</v>
      </c>
      <c r="C472" s="8" t="n">
        <v>553677900</v>
      </c>
      <c r="D472" s="9" t="n">
        <v>46133</v>
      </c>
      <c r="E472" s="10" t="s">
        <v>1782</v>
      </c>
      <c r="F472" s="11" t="n">
        <v>46063</v>
      </c>
      <c r="G472" s="10" t="s">
        <v>112</v>
      </c>
      <c r="H472" s="10" t="s">
        <v>112</v>
      </c>
      <c r="I472" s="10" t="s">
        <v>163</v>
      </c>
      <c r="J472" s="10" t="s">
        <v>646</v>
      </c>
      <c r="K472" s="9" t="n">
        <v>46300</v>
      </c>
      <c r="L472" s="12" t="str">
        <f aca="true">IF($O472="","",$O472-TODAY())</f>
        <v/>
      </c>
      <c r="M472" s="12" t="str">
        <f aca="true">IF(AND(TRIM($A472)="Finalized",$K472&lt;&gt;""),"",IF($D472="","",$D472+365-TODAY()))</f>
        <v/>
      </c>
      <c r="N472" s="12" t="str">
        <f aca="true">IF(AND(TRIM($A472)="Finalized",$K472&lt;&gt;""),"",IF($D472="","",$D472+120-TODAY()))</f>
        <v/>
      </c>
      <c r="O472" s="11" t="str">
        <f aca="false">IF(AND(TRIM($A472)="Finalized",$K472&lt;&gt;""),"",DATE(2027,2,10))</f>
        <v/>
      </c>
      <c r="P472" s="10" t="s">
        <v>114</v>
      </c>
      <c r="Q472" s="10" t="s">
        <v>115</v>
      </c>
      <c r="R472" s="10" t="s">
        <v>114</v>
      </c>
      <c r="S472" s="10" t="s">
        <v>116</v>
      </c>
      <c r="T472" s="10" t="s">
        <v>117</v>
      </c>
      <c r="U472" s="10" t="s">
        <v>116</v>
      </c>
      <c r="V472" s="10" t="s">
        <v>150</v>
      </c>
      <c r="W472" s="10" t="s">
        <v>119</v>
      </c>
      <c r="X472" s="10" t="s">
        <v>229</v>
      </c>
      <c r="Y472" s="10"/>
      <c r="Z472" s="10"/>
      <c r="AA472" s="10" t="s">
        <v>230</v>
      </c>
      <c r="AB472" s="8" t="n">
        <f aca="true">IF($F472="","",TODAY()-$F472)</f>
        <v>248</v>
      </c>
      <c r="AC472" s="10" t="s">
        <v>273</v>
      </c>
      <c r="AD472" s="10"/>
      <c r="AE472" s="10"/>
      <c r="AF472" s="10"/>
      <c r="AG472" s="10"/>
      <c r="AH472" s="10"/>
      <c r="AI472" s="10"/>
      <c r="AJ472" s="10" t="s">
        <v>123</v>
      </c>
      <c r="AK472" s="10"/>
      <c r="AL472" s="10"/>
      <c r="AM472" s="10"/>
      <c r="AN472" s="8"/>
      <c r="AO472" s="10" t="s">
        <v>231</v>
      </c>
      <c r="AP472" s="10" t="s">
        <v>232</v>
      </c>
      <c r="AQ472" s="11" t="n">
        <v>46105</v>
      </c>
      <c r="AR472" s="13" t="s">
        <v>273</v>
      </c>
      <c r="AS472" s="13" t="s">
        <v>215</v>
      </c>
      <c r="AT472" s="13"/>
      <c r="AU472" s="13"/>
      <c r="AV472" s="13"/>
      <c r="AW472" s="13"/>
      <c r="AX472" s="13"/>
      <c r="AY472" s="7" t="s">
        <v>465</v>
      </c>
      <c r="AZ472" s="7"/>
      <c r="BA472" s="7" t="s">
        <v>37</v>
      </c>
      <c r="BB472" s="7" t="s">
        <v>215</v>
      </c>
      <c r="BC472" s="7"/>
      <c r="BD472" s="9"/>
      <c r="BE472" s="7"/>
      <c r="BF472" s="14" t="str">
        <f aca="true">IF(TRIM($A472)="Finalized","Closed",IF($BD472="","No review date set",IF($BD472&lt;TODAY(),"OVERDUE",IF($BD472-TODAY()&lt;=7,"Due within 7 days","Scheduled"))))</f>
        <v>Closed</v>
      </c>
      <c r="BG472" s="14" t="n">
        <f aca="true">IF($K472="","",TODAY()-$K472)</f>
        <v>11</v>
      </c>
      <c r="BH472" s="15" t="str">
        <f aca="false">IFERROR(LEFT(IF($B472="","Notes, ","")&amp;IF($K472="","Latest Date Worked, ","")&amp;IF($AY472="","Last Action, ","")&amp;IF(AND(OR(TRIM($A472)="Denied",TRIM($A472)="Rejected"),$BA472=""),"Denial Reason, ","")&amp;IF(AND(TRIM($A472)="Denied",$BB472="",TRIM($BA472)&lt;&gt;"NO DENIAL"),"Denial Code, ","")&amp;IF(AND(TRIM($A472)&lt;&gt;"Finalized",$BD472=""),"Next Review Date, ","")&amp;IF(AND(TRIM($A472)&lt;&gt;"Finalized",$BE472=""),"Next Step, ","")&amp;IF(AND(TRIM($A472)="Finalized",$AV472="",$AR472="",$AT472="",$AX472="",$AW472=""),"CPT outcome, ",""),LEN(IF($B472="","Notes, ","")&amp;IF($K472="","Latest Date Worked, ","")&amp;IF($AY472="","Last Action, ","")&amp;IF(AND(OR(TRIM($A472)="Denied",TRIM($A472)="Rejected"),$BA472=""),"Denial Reason, ","")&amp;IF(AND(TRIM($A472)="Denied",$BB472="",TRIM($BA472)&lt;&gt;"NO DENIAL"),"Denial Code, ","")&amp;IF(AND(TRIM($A472)&lt;&gt;"Finalized",$BD472=""),"Next Review Date, ","")&amp;IF(AND(TRIM($A472)&lt;&gt;"Finalized",$BE472=""),"Next Step, ","")&amp;IF(AND(TRIM($A472)="Finalized",$AV472="",$AR472="",$AT472="",$AX472="",$AW472=""),"CPT outcome, ",""))-2),"")</f>
        <v/>
      </c>
      <c r="BI472" s="15" t="str">
        <f aca="false">IF($BB472="","",IFERROR(INDEX('Denial Codes'!$C:$C,MATCH(LEFT($BB472,FIND(" - ",$BB472&amp;" - ")+2)&amp;"*",'Denial Codes'!$A:$A,0)),""))</f>
        <v>Bundled / NCCI edit</v>
      </c>
      <c r="BJ472" s="15" t="str">
        <f aca="false">IF($BA472="","",IFERROR(INDEX(Lists!$B:$B,MATCH(TRIM($BA472),Lists!$A:$A,0))&amp;"",""))</f>
        <v>Check the NCCI pair; if the service was distinct, add 59/XU (or XS) and resubmit; otherwise adjust.</v>
      </c>
    </row>
    <row r="473" customFormat="false" ht="15" hidden="false" customHeight="false" outlineLevel="0" collapsed="false">
      <c r="A473" s="7" t="s">
        <v>16</v>
      </c>
      <c r="B473" s="7" t="s">
        <v>1783</v>
      </c>
      <c r="C473" s="8" t="n">
        <v>553095408</v>
      </c>
      <c r="D473" s="9" t="n">
        <v>46121</v>
      </c>
      <c r="E473" s="10" t="s">
        <v>1784</v>
      </c>
      <c r="F473" s="11" t="n">
        <v>46069</v>
      </c>
      <c r="G473" s="10" t="s">
        <v>1785</v>
      </c>
      <c r="H473" s="10" t="s">
        <v>112</v>
      </c>
      <c r="I473" s="10" t="s">
        <v>1785</v>
      </c>
      <c r="J473" s="10" t="s">
        <v>394</v>
      </c>
      <c r="K473" s="9" t="n">
        <v>46246</v>
      </c>
      <c r="L473" s="12" t="str">
        <f aca="true">IF($O473="","",$O473-TODAY())</f>
        <v/>
      </c>
      <c r="M473" s="12" t="str">
        <f aca="true">IF(AND(TRIM($A473)="Finalized",$K473&lt;&gt;""),"",IF($D473="","",$D473+365-TODAY()))</f>
        <v/>
      </c>
      <c r="N473" s="12" t="str">
        <f aca="true">IF(AND(TRIM($A473)="Finalized",$K473&lt;&gt;""),"",IF($D473="","",$D473+120-TODAY()))</f>
        <v/>
      </c>
      <c r="O473" s="11" t="str">
        <f aca="false">IF(AND(TRIM($A473)="Finalized",$K473&lt;&gt;""),"",DATE(2027,2,16))</f>
        <v/>
      </c>
      <c r="P473" s="10" t="s">
        <v>114</v>
      </c>
      <c r="Q473" s="10" t="s">
        <v>115</v>
      </c>
      <c r="R473" s="10" t="s">
        <v>114</v>
      </c>
      <c r="S473" s="10" t="s">
        <v>116</v>
      </c>
      <c r="T473" s="10" t="s">
        <v>117</v>
      </c>
      <c r="U473" s="10" t="s">
        <v>116</v>
      </c>
      <c r="V473" s="10" t="s">
        <v>150</v>
      </c>
      <c r="W473" s="10" t="s">
        <v>119</v>
      </c>
      <c r="X473" s="10" t="s">
        <v>229</v>
      </c>
      <c r="Y473" s="10"/>
      <c r="Z473" s="10"/>
      <c r="AA473" s="10" t="s">
        <v>121</v>
      </c>
      <c r="AB473" s="8" t="n">
        <f aca="true">IF($F473="","",TODAY()-$F473)</f>
        <v>242</v>
      </c>
      <c r="AC473" s="10" t="s">
        <v>122</v>
      </c>
      <c r="AD473" s="10"/>
      <c r="AE473" s="10"/>
      <c r="AF473" s="10"/>
      <c r="AG473" s="10"/>
      <c r="AH473" s="10"/>
      <c r="AI473" s="10"/>
      <c r="AJ473" s="10" t="s">
        <v>123</v>
      </c>
      <c r="AK473" s="10" t="s">
        <v>254</v>
      </c>
      <c r="AL473" s="10"/>
      <c r="AM473" s="10"/>
      <c r="AN473" s="8" t="n">
        <v>557144068</v>
      </c>
      <c r="AO473" s="10" t="s">
        <v>125</v>
      </c>
      <c r="AP473" s="10" t="s">
        <v>126</v>
      </c>
      <c r="AQ473" s="11" t="n">
        <v>46099</v>
      </c>
      <c r="AR473" s="13"/>
      <c r="AS473" s="13"/>
      <c r="AT473" s="13"/>
      <c r="AU473" s="13"/>
      <c r="AV473" s="13" t="s">
        <v>122</v>
      </c>
      <c r="AW473" s="13"/>
      <c r="AX473" s="13" t="s">
        <v>122</v>
      </c>
      <c r="AY473" s="7" t="s">
        <v>363</v>
      </c>
      <c r="AZ473" s="7"/>
      <c r="BA473" s="7" t="s">
        <v>47</v>
      </c>
      <c r="BB473" s="7"/>
      <c r="BC473" s="7"/>
      <c r="BD473" s="9"/>
      <c r="BE473" s="7"/>
      <c r="BF473" s="14" t="str">
        <f aca="true">IF(TRIM($A473)="Finalized","Closed",IF($BD473="","No review date set",IF($BD473&lt;TODAY(),"OVERDUE",IF($BD473-TODAY()&lt;=7,"Due within 7 days","Scheduled"))))</f>
        <v>Closed</v>
      </c>
      <c r="BG473" s="14" t="n">
        <f aca="true">IF($K473="","",TODAY()-$K473)</f>
        <v>65</v>
      </c>
      <c r="BH473" s="15" t="str">
        <f aca="false">IFERROR(LEFT(IF($B473="","Notes, ","")&amp;IF($K473="","Latest Date Worked, ","")&amp;IF($AY473="","Last Action, ","")&amp;IF(AND(OR(TRIM($A473)="Denied",TRIM($A473)="Rejected"),$BA473=""),"Denial Reason, ","")&amp;IF(AND(TRIM($A473)="Denied",$BB473="",TRIM($BA473)&lt;&gt;"NO DENIAL"),"Denial Code, ","")&amp;IF(AND(TRIM($A473)&lt;&gt;"Finalized",$BD473=""),"Next Review Date, ","")&amp;IF(AND(TRIM($A473)&lt;&gt;"Finalized",$BE473=""),"Next Step, ","")&amp;IF(AND(TRIM($A473)="Finalized",$AV473="",$AR473="",$AT473="",$AX473="",$AW473=""),"CPT outcome, ",""),LEN(IF($B473="","Notes, ","")&amp;IF($K473="","Latest Date Worked, ","")&amp;IF($AY473="","Last Action, ","")&amp;IF(AND(OR(TRIM($A473)="Denied",TRIM($A473)="Rejected"),$BA473=""),"Denial Reason, ","")&amp;IF(AND(TRIM($A473)="Denied",$BB473="",TRIM($BA473)&lt;&gt;"NO DENIAL"),"Denial Code, ","")&amp;IF(AND(TRIM($A473)&lt;&gt;"Finalized",$BD473=""),"Next Review Date, ","")&amp;IF(AND(TRIM($A473)&lt;&gt;"Finalized",$BE473=""),"Next Step, ","")&amp;IF(AND(TRIM($A473)="Finalized",$AV473="",$AR473="",$AT473="",$AX473="",$AW473=""),"CPT outcome, ",""))-2),"")</f>
        <v/>
      </c>
      <c r="BI473" s="15" t="str">
        <f aca="false">IF($BB473="","",IFERROR(INDEX('Denial Codes'!$C:$C,MATCH(LEFT($BB473,FIND(" - ",$BB473&amp;" - ")+2)&amp;"*",'Denial Codes'!$A:$A,0)),""))</f>
        <v/>
      </c>
      <c r="BJ473" s="15" t="str">
        <f aca="false">IF($BA473="","",IFERROR(INDEX(Lists!$B:$B,MATCH(TRIM($BA473),Lists!$A:$A,0))&amp;"",""))</f>
        <v>Check provider enrollment, NPI/TIN and network status; appeal once credentialing is confirmed.</v>
      </c>
    </row>
    <row r="474" customFormat="false" ht="15" hidden="false" customHeight="false" outlineLevel="0" collapsed="false">
      <c r="A474" s="7" t="s">
        <v>16</v>
      </c>
      <c r="B474" s="7" t="s">
        <v>1786</v>
      </c>
      <c r="C474" s="8" t="n">
        <v>550127169</v>
      </c>
      <c r="D474" s="9" t="n">
        <v>46101</v>
      </c>
      <c r="E474" s="10" t="s">
        <v>1787</v>
      </c>
      <c r="F474" s="11" t="n">
        <v>46071</v>
      </c>
      <c r="G474" s="10" t="s">
        <v>112</v>
      </c>
      <c r="H474" s="10" t="s">
        <v>112</v>
      </c>
      <c r="I474" s="10" t="s">
        <v>637</v>
      </c>
      <c r="J474" s="10" t="s">
        <v>1242</v>
      </c>
      <c r="K474" s="9" t="n">
        <v>46300</v>
      </c>
      <c r="L474" s="12" t="str">
        <f aca="true">IF($O474="","",$O474-TODAY())</f>
        <v/>
      </c>
      <c r="M474" s="12" t="str">
        <f aca="true">IF(AND(TRIM($A474)="Finalized",$K474&lt;&gt;""),"",IF($D474="","",$D474+365-TODAY()))</f>
        <v/>
      </c>
      <c r="N474" s="12" t="str">
        <f aca="true">IF(AND(TRIM($A474)="Finalized",$K474&lt;&gt;""),"",IF($D474="","",$D474+120-TODAY()))</f>
        <v/>
      </c>
      <c r="O474" s="11" t="str">
        <f aca="false">IF(AND(TRIM($A474)="Finalized",$K474&lt;&gt;""),"",DATE(2027,2,18))</f>
        <v/>
      </c>
      <c r="P474" s="10" t="s">
        <v>114</v>
      </c>
      <c r="Q474" s="10" t="s">
        <v>115</v>
      </c>
      <c r="R474" s="10" t="s">
        <v>114</v>
      </c>
      <c r="S474" s="10" t="s">
        <v>116</v>
      </c>
      <c r="T474" s="10" t="s">
        <v>117</v>
      </c>
      <c r="U474" s="10" t="s">
        <v>116</v>
      </c>
      <c r="V474" s="10" t="s">
        <v>150</v>
      </c>
      <c r="W474" s="10" t="s">
        <v>119</v>
      </c>
      <c r="X474" s="10" t="s">
        <v>304</v>
      </c>
      <c r="Y474" s="10"/>
      <c r="Z474" s="10"/>
      <c r="AA474" s="10" t="s">
        <v>197</v>
      </c>
      <c r="AB474" s="8" t="n">
        <f aca="true">IF($F474="","",TODAY()-$F474)</f>
        <v>240</v>
      </c>
      <c r="AC474" s="10" t="s">
        <v>584</v>
      </c>
      <c r="AD474" s="10"/>
      <c r="AE474" s="10"/>
      <c r="AF474" s="10"/>
      <c r="AG474" s="10"/>
      <c r="AH474" s="10"/>
      <c r="AI474" s="10"/>
      <c r="AJ474" s="10" t="s">
        <v>1336</v>
      </c>
      <c r="AK474" s="10"/>
      <c r="AL474" s="10"/>
      <c r="AM474" s="10"/>
      <c r="AN474" s="8"/>
      <c r="AO474" s="10" t="s">
        <v>274</v>
      </c>
      <c r="AP474" s="10" t="s">
        <v>275</v>
      </c>
      <c r="AQ474" s="11" t="n">
        <v>46093</v>
      </c>
      <c r="AR474" s="13"/>
      <c r="AS474" s="13"/>
      <c r="AT474" s="13"/>
      <c r="AU474" s="13"/>
      <c r="AV474" s="13"/>
      <c r="AW474" s="13"/>
      <c r="AX474" s="13" t="s">
        <v>584</v>
      </c>
      <c r="AY474" s="7" t="s">
        <v>411</v>
      </c>
      <c r="AZ474" s="7"/>
      <c r="BA474" s="7" t="s">
        <v>49</v>
      </c>
      <c r="BB474" s="7" t="s">
        <v>1788</v>
      </c>
      <c r="BC474" s="7"/>
      <c r="BD474" s="9"/>
      <c r="BE474" s="7"/>
      <c r="BF474" s="14" t="str">
        <f aca="true">IF(TRIM($A474)="Finalized","Closed",IF($BD474="","No review date set",IF($BD474&lt;TODAY(),"OVERDUE",IF($BD474-TODAY()&lt;=7,"Due within 7 days","Scheduled"))))</f>
        <v>Closed</v>
      </c>
      <c r="BG474" s="14" t="n">
        <f aca="true">IF($K474="","",TODAY()-$K474)</f>
        <v>11</v>
      </c>
      <c r="BH474" s="15" t="str">
        <f aca="false">IFERROR(LEFT(IF($B474="","Notes, ","")&amp;IF($K474="","Latest Date Worked, ","")&amp;IF($AY474="","Last Action, ","")&amp;IF(AND(OR(TRIM($A474)="Denied",TRIM($A474)="Rejected"),$BA474=""),"Denial Reason, ","")&amp;IF(AND(TRIM($A474)="Denied",$BB474="",TRIM($BA474)&lt;&gt;"NO DENIAL"),"Denial Code, ","")&amp;IF(AND(TRIM($A474)&lt;&gt;"Finalized",$BD474=""),"Next Review Date, ","")&amp;IF(AND(TRIM($A474)&lt;&gt;"Finalized",$BE474=""),"Next Step, ","")&amp;IF(AND(TRIM($A474)="Finalized",$AV474="",$AR474="",$AT474="",$AX474="",$AW474=""),"CPT outcome, ",""),LEN(IF($B474="","Notes, ","")&amp;IF($K474="","Latest Date Worked, ","")&amp;IF($AY474="","Last Action, ","")&amp;IF(AND(OR(TRIM($A474)="Denied",TRIM($A474)="Rejected"),$BA474=""),"Denial Reason, ","")&amp;IF(AND(TRIM($A474)="Denied",$BB474="",TRIM($BA474)&lt;&gt;"NO DENIAL"),"Denial Code, ","")&amp;IF(AND(TRIM($A474)&lt;&gt;"Finalized",$BD474=""),"Next Review Date, ","")&amp;IF(AND(TRIM($A474)&lt;&gt;"Finalized",$BE474=""),"Next Step, ","")&amp;IF(AND(TRIM($A474)="Finalized",$AV474="",$AR474="",$AT474="",$AX474="",$AW474=""),"CPT outcome, ",""))-2),"")</f>
        <v/>
      </c>
      <c r="BI474" s="15" t="str">
        <f aca="false">IF($BB474="","",IFERROR(INDEX('Denial Codes'!$C:$C,MATCH(LEFT($BB474,FIND(" - ",$BB474&amp;" - ")+2)&amp;"*",'Denial Codes'!$A:$A,0)),""))</f>
        <v>Same or similar equipment (DME)</v>
      </c>
      <c r="BJ474" s="15" t="str">
        <f aca="false">IF($BA474="","",IFERROR(INDEX(Lists!$B:$B,MATCH(TRIM($BA474),Lists!$A:$A,0))&amp;"",""))</f>
        <v>Confirm the prior supplier and date; if an ABN was signed, shift to the patient, otherwise adjust.</v>
      </c>
    </row>
    <row r="475" customFormat="false" ht="15" hidden="false" customHeight="false" outlineLevel="0" collapsed="false">
      <c r="A475" s="7" t="s">
        <v>16</v>
      </c>
      <c r="B475" s="7" t="s">
        <v>1789</v>
      </c>
      <c r="C475" s="8" t="n">
        <v>551389428</v>
      </c>
      <c r="D475" s="9" t="n">
        <v>46141</v>
      </c>
      <c r="E475" s="10" t="s">
        <v>1790</v>
      </c>
      <c r="F475" s="11" t="n">
        <v>46083</v>
      </c>
      <c r="G475" s="10" t="s">
        <v>1791</v>
      </c>
      <c r="H475" s="10" t="s">
        <v>260</v>
      </c>
      <c r="I475" s="10" t="s">
        <v>1791</v>
      </c>
      <c r="J475" s="10" t="s">
        <v>181</v>
      </c>
      <c r="K475" s="9" t="n">
        <v>46268</v>
      </c>
      <c r="L475" s="12" t="str">
        <f aca="true">IF($O475="","",$O475-TODAY())</f>
        <v/>
      </c>
      <c r="M475" s="12" t="str">
        <f aca="true">IF(AND(TRIM($A475)="Finalized",$K475&lt;&gt;""),"",IF($D475="","",$D475+365-TODAY()))</f>
        <v/>
      </c>
      <c r="N475" s="12" t="str">
        <f aca="true">IF(AND(TRIM($A475)="Finalized",$K475&lt;&gt;""),"",IF($D475="","",$D475+120-TODAY()))</f>
        <v/>
      </c>
      <c r="O475" s="11" t="str">
        <f aca="false">IF(AND(TRIM($A475)="Finalized",$K475&lt;&gt;""),"",DATE(2027,3,2))</f>
        <v/>
      </c>
      <c r="P475" s="10" t="s">
        <v>114</v>
      </c>
      <c r="Q475" s="10" t="s">
        <v>115</v>
      </c>
      <c r="R475" s="10" t="s">
        <v>114</v>
      </c>
      <c r="S475" s="10" t="s">
        <v>116</v>
      </c>
      <c r="T475" s="10" t="s">
        <v>117</v>
      </c>
      <c r="U475" s="10" t="s">
        <v>116</v>
      </c>
      <c r="V475" s="10" t="s">
        <v>167</v>
      </c>
      <c r="W475" s="10" t="s">
        <v>183</v>
      </c>
      <c r="X475" s="10"/>
      <c r="Y475" s="10"/>
      <c r="Z475" s="10"/>
      <c r="AA475" s="10" t="s">
        <v>197</v>
      </c>
      <c r="AB475" s="8" t="n">
        <f aca="true">IF($F475="","",TODAY()-$F475)</f>
        <v>228</v>
      </c>
      <c r="AC475" s="10" t="s">
        <v>184</v>
      </c>
      <c r="AD475" s="10" t="s">
        <v>185</v>
      </c>
      <c r="AE475" s="10"/>
      <c r="AF475" s="10"/>
      <c r="AG475" s="10"/>
      <c r="AH475" s="10"/>
      <c r="AI475" s="10"/>
      <c r="AJ475" s="10" t="s">
        <v>340</v>
      </c>
      <c r="AK475" s="10"/>
      <c r="AL475" s="10"/>
      <c r="AM475" s="10"/>
      <c r="AN475" s="8" t="n">
        <v>559119307</v>
      </c>
      <c r="AO475" s="10" t="s">
        <v>213</v>
      </c>
      <c r="AP475" s="10" t="s">
        <v>308</v>
      </c>
      <c r="AQ475" s="11" t="n">
        <v>46119</v>
      </c>
      <c r="AR475" s="13"/>
      <c r="AS475" s="13"/>
      <c r="AT475" s="13"/>
      <c r="AU475" s="13"/>
      <c r="AV475" s="13" t="s">
        <v>507</v>
      </c>
      <c r="AW475" s="13"/>
      <c r="AX475" s="13" t="s">
        <v>507</v>
      </c>
      <c r="AY475" s="7" t="s">
        <v>363</v>
      </c>
      <c r="AZ475" s="7"/>
      <c r="BA475" s="7"/>
      <c r="BB475" s="7"/>
      <c r="BC475" s="7"/>
      <c r="BD475" s="9"/>
      <c r="BE475" s="7"/>
      <c r="BF475" s="14" t="str">
        <f aca="true">IF(TRIM($A475)="Finalized","Closed",IF($BD475="","No review date set",IF($BD475&lt;TODAY(),"OVERDUE",IF($BD475-TODAY()&lt;=7,"Due within 7 days","Scheduled"))))</f>
        <v>Closed</v>
      </c>
      <c r="BG475" s="14" t="n">
        <f aca="true">IF($K475="","",TODAY()-$K475)</f>
        <v>43</v>
      </c>
      <c r="BH475" s="15" t="str">
        <f aca="false">IFERROR(LEFT(IF($B475="","Notes, ","")&amp;IF($K475="","Latest Date Worked, ","")&amp;IF($AY475="","Last Action, ","")&amp;IF(AND(OR(TRIM($A475)="Denied",TRIM($A475)="Rejected"),$BA475=""),"Denial Reason, ","")&amp;IF(AND(TRIM($A475)="Denied",$BB475="",TRIM($BA475)&lt;&gt;"NO DENIAL"),"Denial Code, ","")&amp;IF(AND(TRIM($A475)&lt;&gt;"Finalized",$BD475=""),"Next Review Date, ","")&amp;IF(AND(TRIM($A475)&lt;&gt;"Finalized",$BE475=""),"Next Step, ","")&amp;IF(AND(TRIM($A475)="Finalized",$AV475="",$AR475="",$AT475="",$AX475="",$AW475=""),"CPT outcome, ",""),LEN(IF($B475="","Notes, ","")&amp;IF($K475="","Latest Date Worked, ","")&amp;IF($AY475="","Last Action, ","")&amp;IF(AND(OR(TRIM($A475)="Denied",TRIM($A475)="Rejected"),$BA475=""),"Denial Reason, ","")&amp;IF(AND(TRIM($A475)="Denied",$BB475="",TRIM($BA475)&lt;&gt;"NO DENIAL"),"Denial Code, ","")&amp;IF(AND(TRIM($A475)&lt;&gt;"Finalized",$BD475=""),"Next Review Date, ","")&amp;IF(AND(TRIM($A475)&lt;&gt;"Finalized",$BE475=""),"Next Step, ","")&amp;IF(AND(TRIM($A475)="Finalized",$AV475="",$AR475="",$AT475="",$AX475="",$AW475=""),"CPT outcome, ",""))-2),"")</f>
        <v/>
      </c>
      <c r="BI475" s="15" t="str">
        <f aca="false">IF($BB475="","",IFERROR(INDEX('Denial Codes'!$C:$C,MATCH(LEFT($BB475,FIND(" - ",$BB475&amp;" - ")+2)&amp;"*",'Denial Codes'!$A:$A,0)),""))</f>
        <v/>
      </c>
      <c r="BJ475" s="15" t="str">
        <f aca="false">IF($BA475="","",IFERROR(INDEX(Lists!$B:$B,MATCH(TRIM($BA475),Lists!$A:$A,0))&amp;"",""))</f>
        <v/>
      </c>
    </row>
    <row r="476" customFormat="false" ht="15" hidden="false" customHeight="false" outlineLevel="0" collapsed="false">
      <c r="A476" s="7" t="s">
        <v>16</v>
      </c>
      <c r="B476" s="7" t="s">
        <v>1792</v>
      </c>
      <c r="C476" s="8" t="n">
        <v>551735634</v>
      </c>
      <c r="D476" s="9" t="n">
        <v>46141</v>
      </c>
      <c r="E476" s="10" t="s">
        <v>1793</v>
      </c>
      <c r="F476" s="11" t="n">
        <v>46085</v>
      </c>
      <c r="G476" s="10" t="s">
        <v>112</v>
      </c>
      <c r="H476" s="10" t="s">
        <v>112</v>
      </c>
      <c r="I476" s="10" t="s">
        <v>1363</v>
      </c>
      <c r="J476" s="10" t="s">
        <v>1794</v>
      </c>
      <c r="K476" s="9" t="n">
        <v>46300</v>
      </c>
      <c r="L476" s="12" t="str">
        <f aca="true">IF($O476="","",$O476-TODAY())</f>
        <v/>
      </c>
      <c r="M476" s="12" t="str">
        <f aca="true">IF(AND(TRIM($A476)="Finalized",$K476&lt;&gt;""),"",IF($D476="","",$D476+365-TODAY()))</f>
        <v/>
      </c>
      <c r="N476" s="12" t="str">
        <f aca="true">IF(AND(TRIM($A476)="Finalized",$K476&lt;&gt;""),"",IF($D476="","",$D476+120-TODAY()))</f>
        <v/>
      </c>
      <c r="O476" s="11" t="str">
        <f aca="false">IF(AND(TRIM($A476)="Finalized",$K476&lt;&gt;""),"",DATE(2027,3,4))</f>
        <v/>
      </c>
      <c r="P476" s="10" t="s">
        <v>114</v>
      </c>
      <c r="Q476" s="10" t="s">
        <v>115</v>
      </c>
      <c r="R476" s="10" t="s">
        <v>114</v>
      </c>
      <c r="S476" s="10" t="s">
        <v>116</v>
      </c>
      <c r="T476" s="10" t="s">
        <v>117</v>
      </c>
      <c r="U476" s="10" t="s">
        <v>116</v>
      </c>
      <c r="V476" s="10" t="s">
        <v>167</v>
      </c>
      <c r="W476" s="10" t="s">
        <v>119</v>
      </c>
      <c r="X476" s="10" t="s">
        <v>304</v>
      </c>
      <c r="Y476" s="10"/>
      <c r="Z476" s="10"/>
      <c r="AA476" s="10" t="s">
        <v>197</v>
      </c>
      <c r="AB476" s="8" t="n">
        <f aca="true">IF($F476="","",TODAY()-$F476)</f>
        <v>226</v>
      </c>
      <c r="AC476" s="10" t="s">
        <v>710</v>
      </c>
      <c r="AD476" s="10"/>
      <c r="AE476" s="10"/>
      <c r="AF476" s="10"/>
      <c r="AG476" s="10"/>
      <c r="AH476" s="10"/>
      <c r="AI476" s="10"/>
      <c r="AJ476" s="10" t="s">
        <v>444</v>
      </c>
      <c r="AK476" s="10"/>
      <c r="AL476" s="10"/>
      <c r="AM476" s="10"/>
      <c r="AN476" s="8"/>
      <c r="AO476" s="10" t="s">
        <v>274</v>
      </c>
      <c r="AP476" s="10" t="s">
        <v>126</v>
      </c>
      <c r="AQ476" s="11" t="n">
        <v>46099</v>
      </c>
      <c r="AR476" s="13"/>
      <c r="AS476" s="13"/>
      <c r="AT476" s="13" t="s">
        <v>710</v>
      </c>
      <c r="AU476" s="13" t="s">
        <v>464</v>
      </c>
      <c r="AV476" s="13"/>
      <c r="AW476" s="13"/>
      <c r="AX476" s="13"/>
      <c r="AY476" s="7" t="s">
        <v>465</v>
      </c>
      <c r="AZ476" s="7"/>
      <c r="BA476" s="7" t="s">
        <v>34</v>
      </c>
      <c r="BB476" s="7" t="s">
        <v>464</v>
      </c>
      <c r="BC476" s="7"/>
      <c r="BD476" s="9"/>
      <c r="BE476" s="7"/>
      <c r="BF476" s="14" t="str">
        <f aca="true">IF(TRIM($A476)="Finalized","Closed",IF($BD476="","No review date set",IF($BD476&lt;TODAY(),"OVERDUE",IF($BD476-TODAY()&lt;=7,"Due within 7 days","Scheduled"))))</f>
        <v>Closed</v>
      </c>
      <c r="BG476" s="14" t="n">
        <f aca="true">IF($K476="","",TODAY()-$K476)</f>
        <v>11</v>
      </c>
      <c r="BH476" s="15" t="str">
        <f aca="false">IFERROR(LEFT(IF($B476="","Notes, ","")&amp;IF($K476="","Latest Date Worked, ","")&amp;IF($AY476="","Last Action, ","")&amp;IF(AND(OR(TRIM($A476)="Denied",TRIM($A476)="Rejected"),$BA476=""),"Denial Reason, ","")&amp;IF(AND(TRIM($A476)="Denied",$BB476="",TRIM($BA476)&lt;&gt;"NO DENIAL"),"Denial Code, ","")&amp;IF(AND(TRIM($A476)&lt;&gt;"Finalized",$BD476=""),"Next Review Date, ","")&amp;IF(AND(TRIM($A476)&lt;&gt;"Finalized",$BE476=""),"Next Step, ","")&amp;IF(AND(TRIM($A476)="Finalized",$AV476="",$AR476="",$AT476="",$AX476="",$AW476=""),"CPT outcome, ",""),LEN(IF($B476="","Notes, ","")&amp;IF($K476="","Latest Date Worked, ","")&amp;IF($AY476="","Last Action, ","")&amp;IF(AND(OR(TRIM($A476)="Denied",TRIM($A476)="Rejected"),$BA476=""),"Denial Reason, ","")&amp;IF(AND(TRIM($A476)="Denied",$BB476="",TRIM($BA476)&lt;&gt;"NO DENIAL"),"Denial Code, ","")&amp;IF(AND(TRIM($A476)&lt;&gt;"Finalized",$BD476=""),"Next Review Date, ","")&amp;IF(AND(TRIM($A476)&lt;&gt;"Finalized",$BE476=""),"Next Step, ","")&amp;IF(AND(TRIM($A476)="Finalized",$AV476="",$AR476="",$AT476="",$AX476="",$AW476=""),"CPT outcome, ",""))-2),"")</f>
        <v/>
      </c>
      <c r="BI476" s="15" t="str">
        <f aca="false">IF($BB476="","",IFERROR(INDEX('Denial Codes'!$C:$C,MATCH(LEFT($BB476,FIND(" - ",$BB476&amp;" - ")+2)&amp;"*",'Denial Codes'!$A:$A,0)),""))</f>
        <v>No authorization</v>
      </c>
      <c r="BJ476" s="15" t="str">
        <f aca="false">IF($BA476="","",IFERROR(INDEX(Lists!$B:$B,MATCH(TRIM($BA476),Lists!$A:$A,0))&amp;"",""))</f>
        <v>Check the portal for an auth; request a retro-auth or file an appeal with the auth number, then resubmit.</v>
      </c>
    </row>
    <row r="477" customFormat="false" ht="15" hidden="false" customHeight="false" outlineLevel="0" collapsed="false">
      <c r="A477" s="7" t="s">
        <v>16</v>
      </c>
      <c r="B477" s="7" t="s">
        <v>1789</v>
      </c>
      <c r="C477" s="8" t="n">
        <v>552404210</v>
      </c>
      <c r="D477" s="9" t="n">
        <v>46141</v>
      </c>
      <c r="E477" s="10" t="s">
        <v>1795</v>
      </c>
      <c r="F477" s="11" t="n">
        <v>46092</v>
      </c>
      <c r="G477" s="10" t="s">
        <v>163</v>
      </c>
      <c r="H477" s="10" t="s">
        <v>260</v>
      </c>
      <c r="I477" s="10" t="s">
        <v>163</v>
      </c>
      <c r="J477" s="10" t="s">
        <v>424</v>
      </c>
      <c r="K477" s="9" t="n">
        <v>46268</v>
      </c>
      <c r="L477" s="12" t="str">
        <f aca="true">IF($O477="","",$O477-TODAY())</f>
        <v/>
      </c>
      <c r="M477" s="12" t="str">
        <f aca="true">IF(AND(TRIM($A477)="Finalized",$K477&lt;&gt;""),"",IF($D477="","",$D477+365-TODAY()))</f>
        <v/>
      </c>
      <c r="N477" s="12" t="str">
        <f aca="true">IF(AND(TRIM($A477)="Finalized",$K477&lt;&gt;""),"",IF($D477="","",$D477+120-TODAY()))</f>
        <v/>
      </c>
      <c r="O477" s="11" t="str">
        <f aca="false">IF(AND(TRIM($A477)="Finalized",$K477&lt;&gt;""),"",DATE(2027,3,11))</f>
        <v/>
      </c>
      <c r="P477" s="10" t="s">
        <v>114</v>
      </c>
      <c r="Q477" s="10" t="s">
        <v>115</v>
      </c>
      <c r="R477" s="10" t="s">
        <v>114</v>
      </c>
      <c r="S477" s="10" t="s">
        <v>116</v>
      </c>
      <c r="T477" s="10" t="s">
        <v>117</v>
      </c>
      <c r="U477" s="10" t="s">
        <v>116</v>
      </c>
      <c r="V477" s="10" t="s">
        <v>167</v>
      </c>
      <c r="W477" s="10" t="s">
        <v>183</v>
      </c>
      <c r="X477" s="10"/>
      <c r="Y477" s="10"/>
      <c r="Z477" s="10"/>
      <c r="AA477" s="10" t="s">
        <v>197</v>
      </c>
      <c r="AB477" s="8" t="n">
        <f aca="true">IF($F477="","",TODAY()-$F477)</f>
        <v>219</v>
      </c>
      <c r="AC477" s="10" t="s">
        <v>211</v>
      </c>
      <c r="AD477" s="10" t="s">
        <v>184</v>
      </c>
      <c r="AE477" s="10"/>
      <c r="AF477" s="10"/>
      <c r="AG477" s="10"/>
      <c r="AH477" s="10"/>
      <c r="AI477" s="10"/>
      <c r="AJ477" s="10" t="s">
        <v>380</v>
      </c>
      <c r="AK477" s="10"/>
      <c r="AL477" s="10"/>
      <c r="AM477" s="10"/>
      <c r="AN477" s="8" t="n">
        <v>559120113</v>
      </c>
      <c r="AO477" s="10" t="s">
        <v>213</v>
      </c>
      <c r="AP477" s="10" t="s">
        <v>188</v>
      </c>
      <c r="AQ477" s="11" t="n">
        <v>46119</v>
      </c>
      <c r="AR477" s="13"/>
      <c r="AS477" s="13"/>
      <c r="AT477" s="13"/>
      <c r="AU477" s="13"/>
      <c r="AV477" s="13" t="s">
        <v>214</v>
      </c>
      <c r="AW477" s="13"/>
      <c r="AX477" s="13" t="s">
        <v>214</v>
      </c>
      <c r="AY477" s="7" t="s">
        <v>363</v>
      </c>
      <c r="AZ477" s="7"/>
      <c r="BA477" s="7"/>
      <c r="BB477" s="7"/>
      <c r="BC477" s="7"/>
      <c r="BD477" s="9"/>
      <c r="BE477" s="7"/>
      <c r="BF477" s="14" t="str">
        <f aca="true">IF(TRIM($A477)="Finalized","Closed",IF($BD477="","No review date set",IF($BD477&lt;TODAY(),"OVERDUE",IF($BD477-TODAY()&lt;=7,"Due within 7 days","Scheduled"))))</f>
        <v>Closed</v>
      </c>
      <c r="BG477" s="14" t="n">
        <f aca="true">IF($K477="","",TODAY()-$K477)</f>
        <v>43</v>
      </c>
      <c r="BH477" s="15" t="str">
        <f aca="false">IFERROR(LEFT(IF($B477="","Notes, ","")&amp;IF($K477="","Latest Date Worked, ","")&amp;IF($AY477="","Last Action, ","")&amp;IF(AND(OR(TRIM($A477)="Denied",TRIM($A477)="Rejected"),$BA477=""),"Denial Reason, ","")&amp;IF(AND(TRIM($A477)="Denied",$BB477="",TRIM($BA477)&lt;&gt;"NO DENIAL"),"Denial Code, ","")&amp;IF(AND(TRIM($A477)&lt;&gt;"Finalized",$BD477=""),"Next Review Date, ","")&amp;IF(AND(TRIM($A477)&lt;&gt;"Finalized",$BE477=""),"Next Step, ","")&amp;IF(AND(TRIM($A477)="Finalized",$AV477="",$AR477="",$AT477="",$AX477="",$AW477=""),"CPT outcome, ",""),LEN(IF($B477="","Notes, ","")&amp;IF($K477="","Latest Date Worked, ","")&amp;IF($AY477="","Last Action, ","")&amp;IF(AND(OR(TRIM($A477)="Denied",TRIM($A477)="Rejected"),$BA477=""),"Denial Reason, ","")&amp;IF(AND(TRIM($A477)="Denied",$BB477="",TRIM($BA477)&lt;&gt;"NO DENIAL"),"Denial Code, ","")&amp;IF(AND(TRIM($A477)&lt;&gt;"Finalized",$BD477=""),"Next Review Date, ","")&amp;IF(AND(TRIM($A477)&lt;&gt;"Finalized",$BE477=""),"Next Step, ","")&amp;IF(AND(TRIM($A477)="Finalized",$AV477="",$AR477="",$AT477="",$AX477="",$AW477=""),"CPT outcome, ",""))-2),"")</f>
        <v/>
      </c>
      <c r="BI477" s="15" t="str">
        <f aca="false">IF($BB477="","",IFERROR(INDEX('Denial Codes'!$C:$C,MATCH(LEFT($BB477,FIND(" - ",$BB477&amp;" - ")+2)&amp;"*",'Denial Codes'!$A:$A,0)),""))</f>
        <v/>
      </c>
      <c r="BJ477" s="15" t="str">
        <f aca="false">IF($BA477="","",IFERROR(INDEX(Lists!$B:$B,MATCH(TRIM($BA477),Lists!$A:$A,0))&amp;"",""))</f>
        <v/>
      </c>
    </row>
    <row r="478" customFormat="false" ht="15" hidden="false" customHeight="false" outlineLevel="0" collapsed="false">
      <c r="A478" s="7" t="s">
        <v>16</v>
      </c>
      <c r="B478" s="7" t="s">
        <v>1789</v>
      </c>
      <c r="C478" s="8" t="n">
        <v>552606577</v>
      </c>
      <c r="D478" s="9" t="n">
        <v>46141</v>
      </c>
      <c r="E478" s="10" t="s">
        <v>1796</v>
      </c>
      <c r="F478" s="11" t="n">
        <v>46094</v>
      </c>
      <c r="G478" s="10" t="s">
        <v>1163</v>
      </c>
      <c r="H478" s="10" t="s">
        <v>260</v>
      </c>
      <c r="I478" s="10" t="s">
        <v>1163</v>
      </c>
      <c r="J478" s="10" t="s">
        <v>181</v>
      </c>
      <c r="K478" s="9" t="n">
        <v>46268</v>
      </c>
      <c r="L478" s="12" t="str">
        <f aca="true">IF($O478="","",$O478-TODAY())</f>
        <v/>
      </c>
      <c r="M478" s="12" t="str">
        <f aca="true">IF(AND(TRIM($A478)="Finalized",$K478&lt;&gt;""),"",IF($D478="","",$D478+365-TODAY()))</f>
        <v/>
      </c>
      <c r="N478" s="12" t="str">
        <f aca="true">IF(AND(TRIM($A478)="Finalized",$K478&lt;&gt;""),"",IF($D478="","",$D478+120-TODAY()))</f>
        <v/>
      </c>
      <c r="O478" s="11" t="str">
        <f aca="false">IF(AND(TRIM($A478)="Finalized",$K478&lt;&gt;""),"",DATE(2027,3,13))</f>
        <v/>
      </c>
      <c r="P478" s="10" t="s">
        <v>114</v>
      </c>
      <c r="Q478" s="10" t="s">
        <v>115</v>
      </c>
      <c r="R478" s="10" t="s">
        <v>114</v>
      </c>
      <c r="S478" s="10" t="s">
        <v>116</v>
      </c>
      <c r="T478" s="10" t="s">
        <v>117</v>
      </c>
      <c r="U478" s="10" t="s">
        <v>116</v>
      </c>
      <c r="V478" s="10" t="s">
        <v>167</v>
      </c>
      <c r="W478" s="10" t="s">
        <v>183</v>
      </c>
      <c r="X478" s="10"/>
      <c r="Y478" s="10"/>
      <c r="Z478" s="10"/>
      <c r="AA478" s="10" t="s">
        <v>197</v>
      </c>
      <c r="AB478" s="8" t="n">
        <f aca="true">IF($F478="","",TODAY()-$F478)</f>
        <v>217</v>
      </c>
      <c r="AC478" s="10" t="s">
        <v>184</v>
      </c>
      <c r="AD478" s="10" t="s">
        <v>185</v>
      </c>
      <c r="AE478" s="10"/>
      <c r="AF478" s="10"/>
      <c r="AG478" s="10"/>
      <c r="AH478" s="10"/>
      <c r="AI478" s="10"/>
      <c r="AJ478" s="10" t="s">
        <v>511</v>
      </c>
      <c r="AK478" s="10"/>
      <c r="AL478" s="10"/>
      <c r="AM478" s="10"/>
      <c r="AN478" s="8" t="n">
        <v>559120100</v>
      </c>
      <c r="AO478" s="10" t="s">
        <v>201</v>
      </c>
      <c r="AP478" s="10" t="s">
        <v>202</v>
      </c>
      <c r="AQ478" s="11" t="n">
        <v>46119</v>
      </c>
      <c r="AR478" s="13"/>
      <c r="AS478" s="13"/>
      <c r="AT478" s="13"/>
      <c r="AU478" s="13"/>
      <c r="AV478" s="13" t="s">
        <v>507</v>
      </c>
      <c r="AW478" s="13"/>
      <c r="AX478" s="13" t="s">
        <v>507</v>
      </c>
      <c r="AY478" s="7" t="s">
        <v>363</v>
      </c>
      <c r="AZ478" s="7"/>
      <c r="BA478" s="7"/>
      <c r="BB478" s="7"/>
      <c r="BC478" s="7"/>
      <c r="BD478" s="9"/>
      <c r="BE478" s="7"/>
      <c r="BF478" s="14" t="str">
        <f aca="true">IF(TRIM($A478)="Finalized","Closed",IF($BD478="","No review date set",IF($BD478&lt;TODAY(),"OVERDUE",IF($BD478-TODAY()&lt;=7,"Due within 7 days","Scheduled"))))</f>
        <v>Closed</v>
      </c>
      <c r="BG478" s="14" t="n">
        <f aca="true">IF($K478="","",TODAY()-$K478)</f>
        <v>43</v>
      </c>
      <c r="BH478" s="15" t="str">
        <f aca="false">IFERROR(LEFT(IF($B478="","Notes, ","")&amp;IF($K478="","Latest Date Worked, ","")&amp;IF($AY478="","Last Action, ","")&amp;IF(AND(OR(TRIM($A478)="Denied",TRIM($A478)="Rejected"),$BA478=""),"Denial Reason, ","")&amp;IF(AND(TRIM($A478)="Denied",$BB478="",TRIM($BA478)&lt;&gt;"NO DENIAL"),"Denial Code, ","")&amp;IF(AND(TRIM($A478)&lt;&gt;"Finalized",$BD478=""),"Next Review Date, ","")&amp;IF(AND(TRIM($A478)&lt;&gt;"Finalized",$BE478=""),"Next Step, ","")&amp;IF(AND(TRIM($A478)="Finalized",$AV478="",$AR478="",$AT478="",$AX478="",$AW478=""),"CPT outcome, ",""),LEN(IF($B478="","Notes, ","")&amp;IF($K478="","Latest Date Worked, ","")&amp;IF($AY478="","Last Action, ","")&amp;IF(AND(OR(TRIM($A478)="Denied",TRIM($A478)="Rejected"),$BA478=""),"Denial Reason, ","")&amp;IF(AND(TRIM($A478)="Denied",$BB478="",TRIM($BA478)&lt;&gt;"NO DENIAL"),"Denial Code, ","")&amp;IF(AND(TRIM($A478)&lt;&gt;"Finalized",$BD478=""),"Next Review Date, ","")&amp;IF(AND(TRIM($A478)&lt;&gt;"Finalized",$BE478=""),"Next Step, ","")&amp;IF(AND(TRIM($A478)="Finalized",$AV478="",$AR478="",$AT478="",$AX478="",$AW478=""),"CPT outcome, ",""))-2),"")</f>
        <v/>
      </c>
      <c r="BI478" s="15" t="str">
        <f aca="false">IF($BB478="","",IFERROR(INDEX('Denial Codes'!$C:$C,MATCH(LEFT($BB478,FIND(" - ",$BB478&amp;" - ")+2)&amp;"*",'Denial Codes'!$A:$A,0)),""))</f>
        <v/>
      </c>
      <c r="BJ478" s="15" t="str">
        <f aca="false">IF($BA478="","",IFERROR(INDEX(Lists!$B:$B,MATCH(TRIM($BA478),Lists!$A:$A,0))&amp;"",""))</f>
        <v/>
      </c>
    </row>
    <row r="479" customFormat="false" ht="15" hidden="false" customHeight="false" outlineLevel="0" collapsed="false">
      <c r="A479" s="7" t="s">
        <v>16</v>
      </c>
      <c r="B479" s="7" t="s">
        <v>1625</v>
      </c>
      <c r="C479" s="8" t="n">
        <v>552857208</v>
      </c>
      <c r="D479" s="9" t="n">
        <v>46210</v>
      </c>
      <c r="E479" s="10" t="s">
        <v>1797</v>
      </c>
      <c r="F479" s="11" t="n">
        <v>46094</v>
      </c>
      <c r="G479" s="10" t="s">
        <v>1245</v>
      </c>
      <c r="H479" s="10" t="s">
        <v>260</v>
      </c>
      <c r="I479" s="10" t="s">
        <v>1245</v>
      </c>
      <c r="J479" s="10" t="s">
        <v>400</v>
      </c>
      <c r="K479" s="9" t="n">
        <v>46268</v>
      </c>
      <c r="L479" s="12" t="str">
        <f aca="true">IF($O479="","",$O479-TODAY())</f>
        <v/>
      </c>
      <c r="M479" s="12" t="str">
        <f aca="true">IF(AND(TRIM($A479)="Finalized",$K479&lt;&gt;""),"",IF($D479="","",$D479+365-TODAY()))</f>
        <v/>
      </c>
      <c r="N479" s="12" t="str">
        <f aca="true">IF(AND(TRIM($A479)="Finalized",$K479&lt;&gt;""),"",IF($D479="","",$D479+120-TODAY()))</f>
        <v/>
      </c>
      <c r="O479" s="11" t="str">
        <f aca="false">IF(AND(TRIM($A479)="Finalized",$K479&lt;&gt;""),"",DATE(2027,3,13))</f>
        <v/>
      </c>
      <c r="P479" s="10" t="s">
        <v>114</v>
      </c>
      <c r="Q479" s="10" t="s">
        <v>115</v>
      </c>
      <c r="R479" s="10" t="s">
        <v>114</v>
      </c>
      <c r="S479" s="10" t="s">
        <v>116</v>
      </c>
      <c r="T479" s="10" t="s">
        <v>117</v>
      </c>
      <c r="U479" s="10" t="s">
        <v>116</v>
      </c>
      <c r="V479" s="10" t="s">
        <v>167</v>
      </c>
      <c r="W479" s="10" t="s">
        <v>183</v>
      </c>
      <c r="X479" s="10"/>
      <c r="Y479" s="10"/>
      <c r="Z479" s="10"/>
      <c r="AA479" s="10" t="s">
        <v>197</v>
      </c>
      <c r="AB479" s="8" t="n">
        <f aca="true">IF($F479="","",TODAY()-$F479)</f>
        <v>217</v>
      </c>
      <c r="AC479" s="10" t="s">
        <v>185</v>
      </c>
      <c r="AD479" s="10" t="s">
        <v>184</v>
      </c>
      <c r="AE479" s="10"/>
      <c r="AF479" s="10"/>
      <c r="AG479" s="10"/>
      <c r="AH479" s="10"/>
      <c r="AI479" s="10"/>
      <c r="AJ479" s="10" t="s">
        <v>340</v>
      </c>
      <c r="AK479" s="10"/>
      <c r="AL479" s="10"/>
      <c r="AM479" s="10"/>
      <c r="AN479" s="8" t="n">
        <v>559120090</v>
      </c>
      <c r="AO479" s="10" t="s">
        <v>359</v>
      </c>
      <c r="AP479" s="10" t="s">
        <v>188</v>
      </c>
      <c r="AQ479" s="11" t="n">
        <v>46119</v>
      </c>
      <c r="AR479" s="13"/>
      <c r="AS479" s="13"/>
      <c r="AT479" s="13"/>
      <c r="AU479" s="13"/>
      <c r="AV479" s="13" t="s">
        <v>189</v>
      </c>
      <c r="AW479" s="13"/>
      <c r="AX479" s="13" t="s">
        <v>189</v>
      </c>
      <c r="AY479" s="7" t="s">
        <v>363</v>
      </c>
      <c r="AZ479" s="7"/>
      <c r="BA479" s="7" t="s">
        <v>41</v>
      </c>
      <c r="BB479" s="7"/>
      <c r="BC479" s="7"/>
      <c r="BD479" s="9"/>
      <c r="BE479" s="7"/>
      <c r="BF479" s="14" t="str">
        <f aca="true">IF(TRIM($A479)="Finalized","Closed",IF($BD479="","No review date set",IF($BD479&lt;TODAY(),"OVERDUE",IF($BD479-TODAY()&lt;=7,"Due within 7 days","Scheduled"))))</f>
        <v>Closed</v>
      </c>
      <c r="BG479" s="14" t="n">
        <f aca="true">IF($K479="","",TODAY()-$K479)</f>
        <v>43</v>
      </c>
      <c r="BH479" s="15" t="str">
        <f aca="false">IFERROR(LEFT(IF($B479="","Notes, ","")&amp;IF($K479="","Latest Date Worked, ","")&amp;IF($AY479="","Last Action, ","")&amp;IF(AND(OR(TRIM($A479)="Denied",TRIM($A479)="Rejected"),$BA479=""),"Denial Reason, ","")&amp;IF(AND(TRIM($A479)="Denied",$BB479="",TRIM($BA479)&lt;&gt;"NO DENIAL"),"Denial Code, ","")&amp;IF(AND(TRIM($A479)&lt;&gt;"Finalized",$BD479=""),"Next Review Date, ","")&amp;IF(AND(TRIM($A479)&lt;&gt;"Finalized",$BE479=""),"Next Step, ","")&amp;IF(AND(TRIM($A479)="Finalized",$AV479="",$AR479="",$AT479="",$AX479="",$AW479=""),"CPT outcome, ",""),LEN(IF($B479="","Notes, ","")&amp;IF($K479="","Latest Date Worked, ","")&amp;IF($AY479="","Last Action, ","")&amp;IF(AND(OR(TRIM($A479)="Denied",TRIM($A479)="Rejected"),$BA479=""),"Denial Reason, ","")&amp;IF(AND(TRIM($A479)="Denied",$BB479="",TRIM($BA479)&lt;&gt;"NO DENIAL"),"Denial Code, ","")&amp;IF(AND(TRIM($A479)&lt;&gt;"Finalized",$BD479=""),"Next Review Date, ","")&amp;IF(AND(TRIM($A479)&lt;&gt;"Finalized",$BE479=""),"Next Step, ","")&amp;IF(AND(TRIM($A479)="Finalized",$AV479="",$AR479="",$AT479="",$AX479="",$AW479=""),"CPT outcome, ",""))-2),"")</f>
        <v/>
      </c>
      <c r="BI479" s="15" t="str">
        <f aca="false">IF($BB479="","",IFERROR(INDEX('Denial Codes'!$C:$C,MATCH(LEFT($BB479,FIND(" - ",$BB479&amp;" - ")+2)&amp;"*",'Denial Codes'!$A:$A,0)),""))</f>
        <v/>
      </c>
      <c r="BJ479" s="15" t="str">
        <f aca="false">IF($BA479="","",IFERROR(INDEX(Lists!$B:$B,MATCH(TRIM($BA479),Lists!$A:$A,0))&amp;"",""))</f>
        <v>Confirm benefits; bill the patient if an ABN/waiver is on file, otherwise appeal or adjust.</v>
      </c>
    </row>
    <row r="480" customFormat="false" ht="15" hidden="false" customHeight="false" outlineLevel="0" collapsed="false">
      <c r="A480" s="7" t="s">
        <v>16</v>
      </c>
      <c r="B480" s="7" t="s">
        <v>1792</v>
      </c>
      <c r="C480" s="8" t="n">
        <v>553103783</v>
      </c>
      <c r="D480" s="9" t="n">
        <v>46121</v>
      </c>
      <c r="E480" s="10" t="s">
        <v>1798</v>
      </c>
      <c r="F480" s="11" t="n">
        <v>46097</v>
      </c>
      <c r="G480" s="10" t="s">
        <v>112</v>
      </c>
      <c r="H480" s="10" t="s">
        <v>112</v>
      </c>
      <c r="I480" s="10" t="s">
        <v>333</v>
      </c>
      <c r="J480" s="10" t="s">
        <v>1242</v>
      </c>
      <c r="K480" s="9" t="n">
        <v>46300</v>
      </c>
      <c r="L480" s="12" t="str">
        <f aca="true">IF($O480="","",$O480-TODAY())</f>
        <v/>
      </c>
      <c r="M480" s="12" t="str">
        <f aca="true">IF(AND(TRIM($A480)="Finalized",$K480&lt;&gt;""),"",IF($D480="","",$D480+365-TODAY()))</f>
        <v/>
      </c>
      <c r="N480" s="12" t="str">
        <f aca="true">IF(AND(TRIM($A480)="Finalized",$K480&lt;&gt;""),"",IF($D480="","",$D480+120-TODAY()))</f>
        <v/>
      </c>
      <c r="O480" s="11" t="str">
        <f aca="false">IF(AND(TRIM($A480)="Finalized",$K480&lt;&gt;""),"",DATE(2027,3,16))</f>
        <v/>
      </c>
      <c r="P480" s="10" t="s">
        <v>114</v>
      </c>
      <c r="Q480" s="10" t="s">
        <v>115</v>
      </c>
      <c r="R480" s="10" t="s">
        <v>114</v>
      </c>
      <c r="S480" s="10" t="s">
        <v>116</v>
      </c>
      <c r="T480" s="10" t="s">
        <v>117</v>
      </c>
      <c r="U480" s="10" t="s">
        <v>116</v>
      </c>
      <c r="V480" s="10" t="s">
        <v>167</v>
      </c>
      <c r="W480" s="10" t="s">
        <v>119</v>
      </c>
      <c r="X480" s="10" t="s">
        <v>304</v>
      </c>
      <c r="Y480" s="10"/>
      <c r="Z480" s="10"/>
      <c r="AA480" s="10" t="s">
        <v>197</v>
      </c>
      <c r="AB480" s="8" t="n">
        <f aca="true">IF($F480="","",TODAY()-$F480)</f>
        <v>214</v>
      </c>
      <c r="AC480" s="10" t="s">
        <v>584</v>
      </c>
      <c r="AD480" s="10"/>
      <c r="AE480" s="10"/>
      <c r="AF480" s="10"/>
      <c r="AG480" s="10"/>
      <c r="AH480" s="10"/>
      <c r="AI480" s="10"/>
      <c r="AJ480" s="10" t="s">
        <v>139</v>
      </c>
      <c r="AK480" s="10" t="s">
        <v>124</v>
      </c>
      <c r="AL480" s="10"/>
      <c r="AM480" s="10"/>
      <c r="AN480" s="8"/>
      <c r="AO480" s="10" t="s">
        <v>274</v>
      </c>
      <c r="AP480" s="10" t="s">
        <v>275</v>
      </c>
      <c r="AQ480" s="11" t="n">
        <v>46099</v>
      </c>
      <c r="AR480" s="13"/>
      <c r="AS480" s="13"/>
      <c r="AT480" s="13" t="s">
        <v>584</v>
      </c>
      <c r="AU480" s="13" t="s">
        <v>464</v>
      </c>
      <c r="AV480" s="13"/>
      <c r="AW480" s="13"/>
      <c r="AX480" s="13"/>
      <c r="AY480" s="7" t="s">
        <v>465</v>
      </c>
      <c r="AZ480" s="7"/>
      <c r="BA480" s="7" t="s">
        <v>34</v>
      </c>
      <c r="BB480" s="7" t="s">
        <v>464</v>
      </c>
      <c r="BC480" s="7"/>
      <c r="BD480" s="9"/>
      <c r="BE480" s="7"/>
      <c r="BF480" s="14" t="str">
        <f aca="true">IF(TRIM($A480)="Finalized","Closed",IF($BD480="","No review date set",IF($BD480&lt;TODAY(),"OVERDUE",IF($BD480-TODAY()&lt;=7,"Due within 7 days","Scheduled"))))</f>
        <v>Closed</v>
      </c>
      <c r="BG480" s="14" t="n">
        <f aca="true">IF($K480="","",TODAY()-$K480)</f>
        <v>11</v>
      </c>
      <c r="BH480" s="15" t="str">
        <f aca="false">IFERROR(LEFT(IF($B480="","Notes, ","")&amp;IF($K480="","Latest Date Worked, ","")&amp;IF($AY480="","Last Action, ","")&amp;IF(AND(OR(TRIM($A480)="Denied",TRIM($A480)="Rejected"),$BA480=""),"Denial Reason, ","")&amp;IF(AND(TRIM($A480)="Denied",$BB480="",TRIM($BA480)&lt;&gt;"NO DENIAL"),"Denial Code, ","")&amp;IF(AND(TRIM($A480)&lt;&gt;"Finalized",$BD480=""),"Next Review Date, ","")&amp;IF(AND(TRIM($A480)&lt;&gt;"Finalized",$BE480=""),"Next Step, ","")&amp;IF(AND(TRIM($A480)="Finalized",$AV480="",$AR480="",$AT480="",$AX480="",$AW480=""),"CPT outcome, ",""),LEN(IF($B480="","Notes, ","")&amp;IF($K480="","Latest Date Worked, ","")&amp;IF($AY480="","Last Action, ","")&amp;IF(AND(OR(TRIM($A480)="Denied",TRIM($A480)="Rejected"),$BA480=""),"Denial Reason, ","")&amp;IF(AND(TRIM($A480)="Denied",$BB480="",TRIM($BA480)&lt;&gt;"NO DENIAL"),"Denial Code, ","")&amp;IF(AND(TRIM($A480)&lt;&gt;"Finalized",$BD480=""),"Next Review Date, ","")&amp;IF(AND(TRIM($A480)&lt;&gt;"Finalized",$BE480=""),"Next Step, ","")&amp;IF(AND(TRIM($A480)="Finalized",$AV480="",$AR480="",$AT480="",$AX480="",$AW480=""),"CPT outcome, ",""))-2),"")</f>
        <v/>
      </c>
      <c r="BI480" s="15" t="str">
        <f aca="false">IF($BB480="","",IFERROR(INDEX('Denial Codes'!$C:$C,MATCH(LEFT($BB480,FIND(" - ",$BB480&amp;" - ")+2)&amp;"*",'Denial Codes'!$A:$A,0)),""))</f>
        <v>No authorization</v>
      </c>
      <c r="BJ480" s="15" t="str">
        <f aca="false">IF($BA480="","",IFERROR(INDEX(Lists!$B:$B,MATCH(TRIM($BA480),Lists!$A:$A,0))&amp;"",""))</f>
        <v>Check the portal for an auth; request a retro-auth or file an appeal with the auth number, then resubmit.</v>
      </c>
    </row>
    <row r="481" customFormat="false" ht="15" hidden="false" customHeight="false" outlineLevel="0" collapsed="false">
      <c r="A481" s="7" t="s">
        <v>16</v>
      </c>
      <c r="B481" s="7" t="s">
        <v>1799</v>
      </c>
      <c r="C481" s="8" t="n">
        <v>556757813</v>
      </c>
      <c r="D481" s="9" t="n">
        <v>46156</v>
      </c>
      <c r="E481" s="10" t="s">
        <v>1800</v>
      </c>
      <c r="F481" s="11" t="n">
        <v>46104</v>
      </c>
      <c r="G481" s="10" t="s">
        <v>1295</v>
      </c>
      <c r="H481" s="10" t="s">
        <v>1295</v>
      </c>
      <c r="I481" s="10" t="s">
        <v>271</v>
      </c>
      <c r="J481" s="10" t="s">
        <v>261</v>
      </c>
      <c r="K481" s="9" t="n">
        <v>46300</v>
      </c>
      <c r="L481" s="12" t="str">
        <f aca="true">IF($O481="","",$O481-TODAY())</f>
        <v/>
      </c>
      <c r="M481" s="12" t="str">
        <f aca="true">IF(AND(TRIM($A481)="Finalized",$K481&lt;&gt;""),"",IF($D481="","",$D481+365-TODAY()))</f>
        <v/>
      </c>
      <c r="N481" s="12" t="str">
        <f aca="true">IF(AND(TRIM($A481)="Finalized",$K481&lt;&gt;""),"",IF($D481="","",$D481+120-TODAY()))</f>
        <v/>
      </c>
      <c r="O481" s="11" t="str">
        <f aca="false">IF(AND(TRIM($A481)="Finalized",$K481&lt;&gt;""),"",DATE(2027,3,23))</f>
        <v/>
      </c>
      <c r="P481" s="10" t="s">
        <v>114</v>
      </c>
      <c r="Q481" s="10" t="s">
        <v>115</v>
      </c>
      <c r="R481" s="10" t="s">
        <v>114</v>
      </c>
      <c r="S481" s="10" t="s">
        <v>116</v>
      </c>
      <c r="T481" s="10" t="s">
        <v>117</v>
      </c>
      <c r="U481" s="10" t="s">
        <v>116</v>
      </c>
      <c r="V481" s="10" t="s">
        <v>167</v>
      </c>
      <c r="W481" s="10" t="s">
        <v>119</v>
      </c>
      <c r="X481" s="10" t="s">
        <v>120</v>
      </c>
      <c r="Y481" s="10"/>
      <c r="Z481" s="10"/>
      <c r="AA481" s="10" t="s">
        <v>230</v>
      </c>
      <c r="AB481" s="8" t="n">
        <f aca="true">IF($F481="","",TODAY()-$F481)</f>
        <v>207</v>
      </c>
      <c r="AC481" s="10" t="s">
        <v>122</v>
      </c>
      <c r="AD481" s="10"/>
      <c r="AE481" s="10"/>
      <c r="AF481" s="10"/>
      <c r="AG481" s="10"/>
      <c r="AH481" s="10"/>
      <c r="AI481" s="10"/>
      <c r="AJ481" s="10" t="s">
        <v>123</v>
      </c>
      <c r="AK481" s="10" t="s">
        <v>124</v>
      </c>
      <c r="AL481" s="10"/>
      <c r="AM481" s="10"/>
      <c r="AN481" s="8"/>
      <c r="AO481" s="10" t="s">
        <v>359</v>
      </c>
      <c r="AP481" s="10" t="s">
        <v>404</v>
      </c>
      <c r="AQ481" s="11" t="n">
        <v>46133</v>
      </c>
      <c r="AR481" s="13"/>
      <c r="AS481" s="13"/>
      <c r="AT481" s="13"/>
      <c r="AU481" s="13"/>
      <c r="AV481" s="13"/>
      <c r="AW481" s="13"/>
      <c r="AX481" s="13" t="s">
        <v>122</v>
      </c>
      <c r="AY481" s="7" t="s">
        <v>411</v>
      </c>
      <c r="AZ481" s="7"/>
      <c r="BA481" s="7" t="s">
        <v>41</v>
      </c>
      <c r="BB481" s="7"/>
      <c r="BC481" s="7"/>
      <c r="BD481" s="9"/>
      <c r="BE481" s="7"/>
      <c r="BF481" s="14" t="str">
        <f aca="true">IF(TRIM($A481)="Finalized","Closed",IF($BD481="","No review date set",IF($BD481&lt;TODAY(),"OVERDUE",IF($BD481-TODAY()&lt;=7,"Due within 7 days","Scheduled"))))</f>
        <v>Closed</v>
      </c>
      <c r="BG481" s="14" t="n">
        <f aca="true">IF($K481="","",TODAY()-$K481)</f>
        <v>11</v>
      </c>
      <c r="BH481" s="15" t="str">
        <f aca="false">IFERROR(LEFT(IF($B481="","Notes, ","")&amp;IF($K481="","Latest Date Worked, ","")&amp;IF($AY481="","Last Action, ","")&amp;IF(AND(OR(TRIM($A481)="Denied",TRIM($A481)="Rejected"),$BA481=""),"Denial Reason, ","")&amp;IF(AND(TRIM($A481)="Denied",$BB481="",TRIM($BA481)&lt;&gt;"NO DENIAL"),"Denial Code, ","")&amp;IF(AND(TRIM($A481)&lt;&gt;"Finalized",$BD481=""),"Next Review Date, ","")&amp;IF(AND(TRIM($A481)&lt;&gt;"Finalized",$BE481=""),"Next Step, ","")&amp;IF(AND(TRIM($A481)="Finalized",$AV481="",$AR481="",$AT481="",$AX481="",$AW481=""),"CPT outcome, ",""),LEN(IF($B481="","Notes, ","")&amp;IF($K481="","Latest Date Worked, ","")&amp;IF($AY481="","Last Action, ","")&amp;IF(AND(OR(TRIM($A481)="Denied",TRIM($A481)="Rejected"),$BA481=""),"Denial Reason, ","")&amp;IF(AND(TRIM($A481)="Denied",$BB481="",TRIM($BA481)&lt;&gt;"NO DENIAL"),"Denial Code, ","")&amp;IF(AND(TRIM($A481)&lt;&gt;"Finalized",$BD481=""),"Next Review Date, ","")&amp;IF(AND(TRIM($A481)&lt;&gt;"Finalized",$BE481=""),"Next Step, ","")&amp;IF(AND(TRIM($A481)="Finalized",$AV481="",$AR481="",$AT481="",$AX481="",$AW481=""),"CPT outcome, ",""))-2),"")</f>
        <v/>
      </c>
      <c r="BI481" s="15" t="str">
        <f aca="false">IF($BB481="","",IFERROR(INDEX('Denial Codes'!$C:$C,MATCH(LEFT($BB481,FIND(" - ",$BB481&amp;" - ")+2)&amp;"*",'Denial Codes'!$A:$A,0)),""))</f>
        <v/>
      </c>
      <c r="BJ481" s="15" t="str">
        <f aca="false">IF($BA481="","",IFERROR(INDEX(Lists!$B:$B,MATCH(TRIM($BA481),Lists!$A:$A,0))&amp;"",""))</f>
        <v>Confirm benefits; bill the patient if an ABN/waiver is on file, otherwise appeal or adjust.</v>
      </c>
    </row>
    <row r="482" customFormat="false" ht="15" hidden="false" customHeight="false" outlineLevel="0" collapsed="false">
      <c r="A482" s="7" t="s">
        <v>16</v>
      </c>
      <c r="B482" s="7" t="s">
        <v>1801</v>
      </c>
      <c r="C482" s="8" t="n">
        <v>554941943</v>
      </c>
      <c r="D482" s="9" t="n">
        <v>46121</v>
      </c>
      <c r="E482" s="10" t="s">
        <v>1802</v>
      </c>
      <c r="F482" s="11" t="n">
        <v>46112</v>
      </c>
      <c r="G482" s="10" t="s">
        <v>112</v>
      </c>
      <c r="H482" s="10" t="s">
        <v>112</v>
      </c>
      <c r="I482" s="10" t="s">
        <v>1302</v>
      </c>
      <c r="J482" s="10" t="s">
        <v>1242</v>
      </c>
      <c r="K482" s="9" t="n">
        <v>46300</v>
      </c>
      <c r="L482" s="12" t="str">
        <f aca="true">IF($O482="","",$O482-TODAY())</f>
        <v/>
      </c>
      <c r="M482" s="12" t="str">
        <f aca="true">IF(AND(TRIM($A482)="Finalized",$K482&lt;&gt;""),"",IF($D482="","",$D482+365-TODAY()))</f>
        <v/>
      </c>
      <c r="N482" s="12" t="str">
        <f aca="true">IF(AND(TRIM($A482)="Finalized",$K482&lt;&gt;""),"",IF($D482="","",$D482+120-TODAY()))</f>
        <v/>
      </c>
      <c r="O482" s="11" t="str">
        <f aca="false">IF(AND(TRIM($A482)="Finalized",$K482&lt;&gt;""),"",DATE(2027,3,31))</f>
        <v/>
      </c>
      <c r="P482" s="10" t="s">
        <v>114</v>
      </c>
      <c r="Q482" s="10" t="s">
        <v>115</v>
      </c>
      <c r="R482" s="10" t="s">
        <v>114</v>
      </c>
      <c r="S482" s="10" t="s">
        <v>116</v>
      </c>
      <c r="T482" s="10" t="s">
        <v>117</v>
      </c>
      <c r="U482" s="10" t="s">
        <v>116</v>
      </c>
      <c r="V482" s="10" t="s">
        <v>167</v>
      </c>
      <c r="W482" s="10" t="s">
        <v>119</v>
      </c>
      <c r="X482" s="10" t="s">
        <v>304</v>
      </c>
      <c r="Y482" s="10"/>
      <c r="Z482" s="10"/>
      <c r="AA482" s="10" t="s">
        <v>197</v>
      </c>
      <c r="AB482" s="8" t="n">
        <f aca="true">IF($F482="","",TODAY()-$F482)</f>
        <v>199</v>
      </c>
      <c r="AC482" s="10" t="s">
        <v>584</v>
      </c>
      <c r="AD482" s="10"/>
      <c r="AE482" s="10"/>
      <c r="AF482" s="10"/>
      <c r="AG482" s="10"/>
      <c r="AH482" s="10"/>
      <c r="AI482" s="10"/>
      <c r="AJ482" s="10" t="s">
        <v>123</v>
      </c>
      <c r="AK482" s="10" t="s">
        <v>883</v>
      </c>
      <c r="AL482" s="10" t="s">
        <v>1803</v>
      </c>
      <c r="AM482" s="10"/>
      <c r="AN482" s="8"/>
      <c r="AO482" s="10" t="s">
        <v>274</v>
      </c>
      <c r="AP482" s="10" t="s">
        <v>1211</v>
      </c>
      <c r="AQ482" s="11" t="n">
        <v>46118</v>
      </c>
      <c r="AR482" s="13"/>
      <c r="AS482" s="13"/>
      <c r="AT482" s="13"/>
      <c r="AU482" s="13"/>
      <c r="AV482" s="13"/>
      <c r="AW482" s="13"/>
      <c r="AX482" s="13" t="s">
        <v>584</v>
      </c>
      <c r="AY482" s="7" t="s">
        <v>411</v>
      </c>
      <c r="AZ482" s="7"/>
      <c r="BA482" s="7" t="s">
        <v>49</v>
      </c>
      <c r="BB482" s="7" t="s">
        <v>1788</v>
      </c>
      <c r="BC482" s="7"/>
      <c r="BD482" s="9"/>
      <c r="BE482" s="7"/>
      <c r="BF482" s="14" t="str">
        <f aca="true">IF(TRIM($A482)="Finalized","Closed",IF($BD482="","No review date set",IF($BD482&lt;TODAY(),"OVERDUE",IF($BD482-TODAY()&lt;=7,"Due within 7 days","Scheduled"))))</f>
        <v>Closed</v>
      </c>
      <c r="BG482" s="14" t="n">
        <f aca="true">IF($K482="","",TODAY()-$K482)</f>
        <v>11</v>
      </c>
      <c r="BH482" s="15" t="str">
        <f aca="false">IFERROR(LEFT(IF($B482="","Notes, ","")&amp;IF($K482="","Latest Date Worked, ","")&amp;IF($AY482="","Last Action, ","")&amp;IF(AND(OR(TRIM($A482)="Denied",TRIM($A482)="Rejected"),$BA482=""),"Denial Reason, ","")&amp;IF(AND(TRIM($A482)="Denied",$BB482="",TRIM($BA482)&lt;&gt;"NO DENIAL"),"Denial Code, ","")&amp;IF(AND(TRIM($A482)&lt;&gt;"Finalized",$BD482=""),"Next Review Date, ","")&amp;IF(AND(TRIM($A482)&lt;&gt;"Finalized",$BE482=""),"Next Step, ","")&amp;IF(AND(TRIM($A482)="Finalized",$AV482="",$AR482="",$AT482="",$AX482="",$AW482=""),"CPT outcome, ",""),LEN(IF($B482="","Notes, ","")&amp;IF($K482="","Latest Date Worked, ","")&amp;IF($AY482="","Last Action, ","")&amp;IF(AND(OR(TRIM($A482)="Denied",TRIM($A482)="Rejected"),$BA482=""),"Denial Reason, ","")&amp;IF(AND(TRIM($A482)="Denied",$BB482="",TRIM($BA482)&lt;&gt;"NO DENIAL"),"Denial Code, ","")&amp;IF(AND(TRIM($A482)&lt;&gt;"Finalized",$BD482=""),"Next Review Date, ","")&amp;IF(AND(TRIM($A482)&lt;&gt;"Finalized",$BE482=""),"Next Step, ","")&amp;IF(AND(TRIM($A482)="Finalized",$AV482="",$AR482="",$AT482="",$AX482="",$AW482=""),"CPT outcome, ",""))-2),"")</f>
        <v/>
      </c>
      <c r="BI482" s="15" t="str">
        <f aca="false">IF($BB482="","",IFERROR(INDEX('Denial Codes'!$C:$C,MATCH(LEFT($BB482,FIND(" - ",$BB482&amp;" - ")+2)&amp;"*",'Denial Codes'!$A:$A,0)),""))</f>
        <v>Same or similar equipment (DME)</v>
      </c>
      <c r="BJ482" s="15" t="str">
        <f aca="false">IF($BA482="","",IFERROR(INDEX(Lists!$B:$B,MATCH(TRIM($BA482),Lists!$A:$A,0))&amp;"",""))</f>
        <v>Confirm the prior supplier and date; if an ABN was signed, shift to the patient, otherwise adjust.</v>
      </c>
    </row>
    <row r="483" customFormat="false" ht="15" hidden="false" customHeight="false" outlineLevel="0" collapsed="false">
      <c r="A483" s="7" t="s">
        <v>16</v>
      </c>
      <c r="B483" s="7" t="s">
        <v>1804</v>
      </c>
      <c r="C483" s="8" t="n">
        <v>556771003</v>
      </c>
      <c r="D483" s="9" t="n">
        <v>46249</v>
      </c>
      <c r="E483" s="10" t="s">
        <v>1317</v>
      </c>
      <c r="F483" s="11" t="n">
        <v>46121</v>
      </c>
      <c r="G483" s="10" t="s">
        <v>112</v>
      </c>
      <c r="H483" s="10" t="s">
        <v>112</v>
      </c>
      <c r="I483" s="10" t="s">
        <v>271</v>
      </c>
      <c r="J483" s="10" t="s">
        <v>1805</v>
      </c>
      <c r="K483" s="9" t="n">
        <v>46283</v>
      </c>
      <c r="L483" s="12" t="str">
        <f aca="true">IF($O483="","",$O483-TODAY())</f>
        <v/>
      </c>
      <c r="M483" s="12" t="str">
        <f aca="true">IF(AND(TRIM($A483)="Finalized",$K483&lt;&gt;""),"",IF($D483="","",$D483+365-TODAY()))</f>
        <v/>
      </c>
      <c r="N483" s="12" t="str">
        <f aca="true">IF(AND(TRIM($A483)="Finalized",$K483&lt;&gt;""),"",IF($D483="","",$D483+120-TODAY()))</f>
        <v/>
      </c>
      <c r="O483" s="11" t="str">
        <f aca="false">IF(AND(TRIM($A483)="Finalized",$K483&lt;&gt;""),"",DATE(2027,4,9))</f>
        <v/>
      </c>
      <c r="P483" s="10" t="s">
        <v>114</v>
      </c>
      <c r="Q483" s="10" t="s">
        <v>115</v>
      </c>
      <c r="R483" s="10" t="s">
        <v>114</v>
      </c>
      <c r="S483" s="10" t="s">
        <v>116</v>
      </c>
      <c r="T483" s="10" t="s">
        <v>117</v>
      </c>
      <c r="U483" s="10" t="s">
        <v>116</v>
      </c>
      <c r="V483" s="10" t="s">
        <v>221</v>
      </c>
      <c r="W483" s="10" t="s">
        <v>119</v>
      </c>
      <c r="X483" s="10" t="s">
        <v>120</v>
      </c>
      <c r="Y483" s="10"/>
      <c r="Z483" s="10"/>
      <c r="AA483" s="10" t="s">
        <v>793</v>
      </c>
      <c r="AB483" s="8" t="n">
        <f aca="true">IF($F483="","",TODAY()-$F483)</f>
        <v>190</v>
      </c>
      <c r="AC483" s="10" t="s">
        <v>122</v>
      </c>
      <c r="AD483" s="10"/>
      <c r="AE483" s="10"/>
      <c r="AF483" s="10"/>
      <c r="AG483" s="10"/>
      <c r="AH483" s="10"/>
      <c r="AI483" s="10"/>
      <c r="AJ483" s="10" t="s">
        <v>123</v>
      </c>
      <c r="AK483" s="10"/>
      <c r="AL483" s="10"/>
      <c r="AM483" s="10"/>
      <c r="AN483" s="8"/>
      <c r="AO483" s="10" t="s">
        <v>125</v>
      </c>
      <c r="AP483" s="10" t="s">
        <v>126</v>
      </c>
      <c r="AQ483" s="11" t="n">
        <v>46133</v>
      </c>
      <c r="AR483" s="13" t="s">
        <v>122</v>
      </c>
      <c r="AS483" s="13" t="s">
        <v>1637</v>
      </c>
      <c r="AT483" s="13"/>
      <c r="AU483" s="13"/>
      <c r="AV483" s="13"/>
      <c r="AW483" s="13"/>
      <c r="AX483" s="13"/>
      <c r="AY483" s="7" t="s">
        <v>465</v>
      </c>
      <c r="AZ483" s="7"/>
      <c r="BA483" s="7" t="s">
        <v>41</v>
      </c>
      <c r="BB483" s="7" t="s">
        <v>1637</v>
      </c>
      <c r="BC483" s="7"/>
      <c r="BD483" s="9"/>
      <c r="BE483" s="7"/>
      <c r="BF483" s="14" t="str">
        <f aca="true">IF(TRIM($A483)="Finalized","Closed",IF($BD483="","No review date set",IF($BD483&lt;TODAY(),"OVERDUE",IF($BD483-TODAY()&lt;=7,"Due within 7 days","Scheduled"))))</f>
        <v>Closed</v>
      </c>
      <c r="BG483" s="14" t="n">
        <f aca="true">IF($K483="","",TODAY()-$K483)</f>
        <v>28</v>
      </c>
      <c r="BH483" s="15" t="str">
        <f aca="false">IFERROR(LEFT(IF($B483="","Notes, ","")&amp;IF($K483="","Latest Date Worked, ","")&amp;IF($AY483="","Last Action, ","")&amp;IF(AND(OR(TRIM($A483)="Denied",TRIM($A483)="Rejected"),$BA483=""),"Denial Reason, ","")&amp;IF(AND(TRIM($A483)="Denied",$BB483="",TRIM($BA483)&lt;&gt;"NO DENIAL"),"Denial Code, ","")&amp;IF(AND(TRIM($A483)&lt;&gt;"Finalized",$BD483=""),"Next Review Date, ","")&amp;IF(AND(TRIM($A483)&lt;&gt;"Finalized",$BE483=""),"Next Step, ","")&amp;IF(AND(TRIM($A483)="Finalized",$AV483="",$AR483="",$AT483="",$AX483="",$AW483=""),"CPT outcome, ",""),LEN(IF($B483="","Notes, ","")&amp;IF($K483="","Latest Date Worked, ","")&amp;IF($AY483="","Last Action, ","")&amp;IF(AND(OR(TRIM($A483)="Denied",TRIM($A483)="Rejected"),$BA483=""),"Denial Reason, ","")&amp;IF(AND(TRIM($A483)="Denied",$BB483="",TRIM($BA483)&lt;&gt;"NO DENIAL"),"Denial Code, ","")&amp;IF(AND(TRIM($A483)&lt;&gt;"Finalized",$BD483=""),"Next Review Date, ","")&amp;IF(AND(TRIM($A483)&lt;&gt;"Finalized",$BE483=""),"Next Step, ","")&amp;IF(AND(TRIM($A483)="Finalized",$AV483="",$AR483="",$AT483="",$AX483="",$AW483=""),"CPT outcome, ",""))-2),"")</f>
        <v/>
      </c>
      <c r="BI483" s="15" t="str">
        <f aca="false">IF($BB483="","",IFERROR(INDEX('Denial Codes'!$C:$C,MATCH(LEFT($BB483,FIND(" - ",$BB483&amp;" - ")+2)&amp;"*",'Denial Codes'!$A:$A,0)),""))</f>
        <v>Not covered by plan</v>
      </c>
      <c r="BJ483" s="15" t="str">
        <f aca="false">IF($BA483="","",IFERROR(INDEX(Lists!$B:$B,MATCH(TRIM($BA483),Lists!$A:$A,0))&amp;"",""))</f>
        <v>Confirm benefits; bill the patient if an ABN/waiver is on file, otherwise appeal or adjust.</v>
      </c>
    </row>
    <row r="484" customFormat="false" ht="15" hidden="false" customHeight="false" outlineLevel="0" collapsed="false">
      <c r="A484" s="7" t="s">
        <v>16</v>
      </c>
      <c r="B484" s="7" t="s">
        <v>1806</v>
      </c>
      <c r="C484" s="8" t="n">
        <v>556764690</v>
      </c>
      <c r="D484" s="9" t="n">
        <v>46139</v>
      </c>
      <c r="E484" s="10" t="s">
        <v>1807</v>
      </c>
      <c r="F484" s="11" t="n">
        <v>46125</v>
      </c>
      <c r="G484" s="10" t="s">
        <v>112</v>
      </c>
      <c r="H484" s="10" t="s">
        <v>112</v>
      </c>
      <c r="I484" s="10" t="s">
        <v>271</v>
      </c>
      <c r="J484" s="10" t="s">
        <v>1242</v>
      </c>
      <c r="K484" s="9" t="n">
        <v>46283</v>
      </c>
      <c r="L484" s="12" t="str">
        <f aca="true">IF($O484="","",$O484-TODAY())</f>
        <v/>
      </c>
      <c r="M484" s="12" t="str">
        <f aca="true">IF(AND(TRIM($A484)="Finalized",$K484&lt;&gt;""),"",IF($D484="","",$D484+365-TODAY()))</f>
        <v/>
      </c>
      <c r="N484" s="12" t="str">
        <f aca="true">IF(AND(TRIM($A484)="Finalized",$K484&lt;&gt;""),"",IF($D484="","",$D484+120-TODAY()))</f>
        <v/>
      </c>
      <c r="O484" s="11" t="str">
        <f aca="false">IF(AND(TRIM($A484)="Finalized",$K484&lt;&gt;""),"",DATE(2027,4,13))</f>
        <v/>
      </c>
      <c r="P484" s="10" t="s">
        <v>114</v>
      </c>
      <c r="Q484" s="10" t="s">
        <v>115</v>
      </c>
      <c r="R484" s="10" t="s">
        <v>114</v>
      </c>
      <c r="S484" s="10" t="s">
        <v>116</v>
      </c>
      <c r="T484" s="10" t="s">
        <v>117</v>
      </c>
      <c r="U484" s="10" t="s">
        <v>116</v>
      </c>
      <c r="V484" s="10" t="s">
        <v>221</v>
      </c>
      <c r="W484" s="10" t="s">
        <v>119</v>
      </c>
      <c r="X484" s="10" t="s">
        <v>304</v>
      </c>
      <c r="Y484" s="10"/>
      <c r="Z484" s="10"/>
      <c r="AA484" s="10" t="s">
        <v>197</v>
      </c>
      <c r="AB484" s="8" t="n">
        <f aca="true">IF($F484="","",TODAY()-$F484)</f>
        <v>186</v>
      </c>
      <c r="AC484" s="10" t="s">
        <v>584</v>
      </c>
      <c r="AD484" s="10"/>
      <c r="AE484" s="10"/>
      <c r="AF484" s="10"/>
      <c r="AG484" s="10"/>
      <c r="AH484" s="10"/>
      <c r="AI484" s="10"/>
      <c r="AJ484" s="10" t="s">
        <v>311</v>
      </c>
      <c r="AK484" s="10"/>
      <c r="AL484" s="10"/>
      <c r="AM484" s="10"/>
      <c r="AN484" s="8"/>
      <c r="AO484" s="10" t="s">
        <v>274</v>
      </c>
      <c r="AP484" s="10" t="s">
        <v>275</v>
      </c>
      <c r="AQ484" s="11" t="n">
        <v>46133</v>
      </c>
      <c r="AR484" s="13"/>
      <c r="AS484" s="13"/>
      <c r="AT484" s="13"/>
      <c r="AU484" s="13"/>
      <c r="AV484" s="13"/>
      <c r="AW484" s="13"/>
      <c r="AX484" s="13" t="s">
        <v>584</v>
      </c>
      <c r="AY484" s="7" t="s">
        <v>411</v>
      </c>
      <c r="AZ484" s="7"/>
      <c r="BA484" s="7" t="s">
        <v>49</v>
      </c>
      <c r="BB484" s="7" t="s">
        <v>1788</v>
      </c>
      <c r="BC484" s="7"/>
      <c r="BD484" s="9"/>
      <c r="BE484" s="7"/>
      <c r="BF484" s="14" t="str">
        <f aca="true">IF(TRIM($A484)="Finalized","Closed",IF($BD484="","No review date set",IF($BD484&lt;TODAY(),"OVERDUE",IF($BD484-TODAY()&lt;=7,"Due within 7 days","Scheduled"))))</f>
        <v>Closed</v>
      </c>
      <c r="BG484" s="14" t="n">
        <f aca="true">IF($K484="","",TODAY()-$K484)</f>
        <v>28</v>
      </c>
      <c r="BH484" s="15" t="str">
        <f aca="false">IFERROR(LEFT(IF($B484="","Notes, ","")&amp;IF($K484="","Latest Date Worked, ","")&amp;IF($AY484="","Last Action, ","")&amp;IF(AND(OR(TRIM($A484)="Denied",TRIM($A484)="Rejected"),$BA484=""),"Denial Reason, ","")&amp;IF(AND(TRIM($A484)="Denied",$BB484="",TRIM($BA484)&lt;&gt;"NO DENIAL"),"Denial Code, ","")&amp;IF(AND(TRIM($A484)&lt;&gt;"Finalized",$BD484=""),"Next Review Date, ","")&amp;IF(AND(TRIM($A484)&lt;&gt;"Finalized",$BE484=""),"Next Step, ","")&amp;IF(AND(TRIM($A484)="Finalized",$AV484="",$AR484="",$AT484="",$AX484="",$AW484=""),"CPT outcome, ",""),LEN(IF($B484="","Notes, ","")&amp;IF($K484="","Latest Date Worked, ","")&amp;IF($AY484="","Last Action, ","")&amp;IF(AND(OR(TRIM($A484)="Denied",TRIM($A484)="Rejected"),$BA484=""),"Denial Reason, ","")&amp;IF(AND(TRIM($A484)="Denied",$BB484="",TRIM($BA484)&lt;&gt;"NO DENIAL"),"Denial Code, ","")&amp;IF(AND(TRIM($A484)&lt;&gt;"Finalized",$BD484=""),"Next Review Date, ","")&amp;IF(AND(TRIM($A484)&lt;&gt;"Finalized",$BE484=""),"Next Step, ","")&amp;IF(AND(TRIM($A484)="Finalized",$AV484="",$AR484="",$AT484="",$AX484="",$AW484=""),"CPT outcome, ",""))-2),"")</f>
        <v/>
      </c>
      <c r="BI484" s="15" t="str">
        <f aca="false">IF($BB484="","",IFERROR(INDEX('Denial Codes'!$C:$C,MATCH(LEFT($BB484,FIND(" - ",$BB484&amp;" - ")+2)&amp;"*",'Denial Codes'!$A:$A,0)),""))</f>
        <v>Same or similar equipment (DME)</v>
      </c>
      <c r="BJ484" s="15" t="str">
        <f aca="false">IF($BA484="","",IFERROR(INDEX(Lists!$B:$B,MATCH(TRIM($BA484),Lists!$A:$A,0))&amp;"",""))</f>
        <v>Confirm the prior supplier and date; if an ABN was signed, shift to the patient, otherwise adjust.</v>
      </c>
    </row>
    <row r="485" customFormat="false" ht="15" hidden="false" customHeight="false" outlineLevel="0" collapsed="false">
      <c r="A485" s="7" t="s">
        <v>16</v>
      </c>
      <c r="B485" s="7" t="s">
        <v>1808</v>
      </c>
      <c r="C485" s="8" t="n">
        <v>557840581</v>
      </c>
      <c r="D485" s="9" t="n">
        <v>46148</v>
      </c>
      <c r="E485" s="10" t="s">
        <v>1299</v>
      </c>
      <c r="F485" s="11" t="n">
        <v>46126</v>
      </c>
      <c r="G485" s="10" t="s">
        <v>112</v>
      </c>
      <c r="H485" s="10" t="s">
        <v>112</v>
      </c>
      <c r="I485" s="10" t="s">
        <v>271</v>
      </c>
      <c r="J485" s="10" t="s">
        <v>1242</v>
      </c>
      <c r="K485" s="9" t="n">
        <v>46300</v>
      </c>
      <c r="L485" s="12" t="str">
        <f aca="true">IF($O485="","",$O485-TODAY())</f>
        <v/>
      </c>
      <c r="M485" s="12" t="str">
        <f aca="true">IF(AND(TRIM($A485)="Finalized",$K485&lt;&gt;""),"",IF($D485="","",$D485+365-TODAY()))</f>
        <v/>
      </c>
      <c r="N485" s="12" t="str">
        <f aca="true">IF(AND(TRIM($A485)="Finalized",$K485&lt;&gt;""),"",IF($D485="","",$D485+120-TODAY()))</f>
        <v/>
      </c>
      <c r="O485" s="11" t="str">
        <f aca="false">IF(AND(TRIM($A485)="Finalized",$K485&lt;&gt;""),"",DATE(2027,4,14))</f>
        <v/>
      </c>
      <c r="P485" s="10" t="s">
        <v>114</v>
      </c>
      <c r="Q485" s="10" t="s">
        <v>115</v>
      </c>
      <c r="R485" s="10" t="s">
        <v>114</v>
      </c>
      <c r="S485" s="10" t="s">
        <v>116</v>
      </c>
      <c r="T485" s="10" t="s">
        <v>117</v>
      </c>
      <c r="U485" s="10" t="s">
        <v>116</v>
      </c>
      <c r="V485" s="10" t="s">
        <v>221</v>
      </c>
      <c r="W485" s="10" t="s">
        <v>119</v>
      </c>
      <c r="X485" s="10" t="s">
        <v>304</v>
      </c>
      <c r="Y485" s="10"/>
      <c r="Z485" s="10"/>
      <c r="AA485" s="10" t="s">
        <v>197</v>
      </c>
      <c r="AB485" s="8" t="n">
        <f aca="true">IF($F485="","",TODAY()-$F485)</f>
        <v>185</v>
      </c>
      <c r="AC485" s="10" t="s">
        <v>584</v>
      </c>
      <c r="AD485" s="10"/>
      <c r="AE485" s="10"/>
      <c r="AF485" s="10"/>
      <c r="AG485" s="10"/>
      <c r="AH485" s="10"/>
      <c r="AI485" s="10"/>
      <c r="AJ485" s="10" t="s">
        <v>751</v>
      </c>
      <c r="AK485" s="10"/>
      <c r="AL485" s="10"/>
      <c r="AM485" s="10"/>
      <c r="AN485" s="8"/>
      <c r="AO485" s="10" t="s">
        <v>274</v>
      </c>
      <c r="AP485" s="10" t="s">
        <v>275</v>
      </c>
      <c r="AQ485" s="11" t="n">
        <v>46143</v>
      </c>
      <c r="AR485" s="13" t="s">
        <v>584</v>
      </c>
      <c r="AS485" s="13" t="s">
        <v>299</v>
      </c>
      <c r="AT485" s="13"/>
      <c r="AU485" s="13"/>
      <c r="AV485" s="13"/>
      <c r="AW485" s="13"/>
      <c r="AX485" s="13"/>
      <c r="AY485" s="7" t="s">
        <v>465</v>
      </c>
      <c r="AZ485" s="7"/>
      <c r="BA485" s="7" t="s">
        <v>43</v>
      </c>
      <c r="BB485" s="7" t="s">
        <v>1809</v>
      </c>
      <c r="BC485" s="7"/>
      <c r="BD485" s="9"/>
      <c r="BE485" s="7"/>
      <c r="BF485" s="14" t="str">
        <f aca="true">IF(TRIM($A485)="Finalized","Closed",IF($BD485="","No review date set",IF($BD485&lt;TODAY(),"OVERDUE",IF($BD485-TODAY()&lt;=7,"Due within 7 days","Scheduled"))))</f>
        <v>Closed</v>
      </c>
      <c r="BG485" s="14" t="n">
        <f aca="true">IF($K485="","",TODAY()-$K485)</f>
        <v>11</v>
      </c>
      <c r="BH485" s="15" t="str">
        <f aca="false">IFERROR(LEFT(IF($B485="","Notes, ","")&amp;IF($K485="","Latest Date Worked, ","")&amp;IF($AY485="","Last Action, ","")&amp;IF(AND(OR(TRIM($A485)="Denied",TRIM($A485)="Rejected"),$BA485=""),"Denial Reason, ","")&amp;IF(AND(TRIM($A485)="Denied",$BB485="",TRIM($BA485)&lt;&gt;"NO DENIAL"),"Denial Code, ","")&amp;IF(AND(TRIM($A485)&lt;&gt;"Finalized",$BD485=""),"Next Review Date, ","")&amp;IF(AND(TRIM($A485)&lt;&gt;"Finalized",$BE485=""),"Next Step, ","")&amp;IF(AND(TRIM($A485)="Finalized",$AV485="",$AR485="",$AT485="",$AX485="",$AW485=""),"CPT outcome, ",""),LEN(IF($B485="","Notes, ","")&amp;IF($K485="","Latest Date Worked, ","")&amp;IF($AY485="","Last Action, ","")&amp;IF(AND(OR(TRIM($A485)="Denied",TRIM($A485)="Rejected"),$BA485=""),"Denial Reason, ","")&amp;IF(AND(TRIM($A485)="Denied",$BB485="",TRIM($BA485)&lt;&gt;"NO DENIAL"),"Denial Code, ","")&amp;IF(AND(TRIM($A485)&lt;&gt;"Finalized",$BD485=""),"Next Review Date, ","")&amp;IF(AND(TRIM($A485)&lt;&gt;"Finalized",$BE485=""),"Next Step, ","")&amp;IF(AND(TRIM($A485)="Finalized",$AV485="",$AR485="",$AT485="",$AX485="",$AW485=""),"CPT outcome, ",""))-2),"")</f>
        <v/>
      </c>
      <c r="BI485" s="15" t="str">
        <f aca="false">IF($BB485="","",IFERROR(INDEX('Denial Codes'!$C:$C,MATCH(LEFT($BB485,FIND(" - ",$BB485&amp;" - ")+2)&amp;"*",'Denial Codes'!$A:$A,0)),""))</f>
        <v>Medical necessity / frequency</v>
      </c>
      <c r="BJ485" s="15" t="str">
        <f aca="false">IF($BA485="","",IFERROR(INDEX(Lists!$B:$B,MATCH(TRIM($BA485),Lists!$A:$A,0))&amp;"",""))</f>
        <v>Appeal with medical records and a letter of medical necessity; check LCD/MUE limits.</v>
      </c>
    </row>
    <row r="486" customFormat="false" ht="15" hidden="false" customHeight="false" outlineLevel="0" collapsed="false">
      <c r="A486" s="7" t="s">
        <v>16</v>
      </c>
      <c r="B486" s="7" t="s">
        <v>1810</v>
      </c>
      <c r="C486" s="8" t="n">
        <v>563732700</v>
      </c>
      <c r="D486" s="9" t="n">
        <v>46266</v>
      </c>
      <c r="E486" s="10" t="s">
        <v>1407</v>
      </c>
      <c r="F486" s="11" t="n">
        <v>46143</v>
      </c>
      <c r="G486" s="10" t="s">
        <v>260</v>
      </c>
      <c r="H486" s="10" t="s">
        <v>260</v>
      </c>
      <c r="I486" s="10" t="s">
        <v>1245</v>
      </c>
      <c r="J486" s="10" t="s">
        <v>400</v>
      </c>
      <c r="K486" s="9" t="n">
        <v>46276</v>
      </c>
      <c r="L486" s="12" t="str">
        <f aca="true">IF($O486="","",$O486-TODAY())</f>
        <v/>
      </c>
      <c r="M486" s="12" t="str">
        <f aca="true">IF(AND(TRIM($A486)="Finalized",$K486&lt;&gt;""),"",IF($D486="","",$D486+365-TODAY()))</f>
        <v/>
      </c>
      <c r="N486" s="12" t="str">
        <f aca="true">IF(AND(TRIM($A486)="Finalized",$K486&lt;&gt;""),"",IF($D486="","",$D486+120-TODAY()))</f>
        <v/>
      </c>
      <c r="O486" s="11" t="str">
        <f aca="false">IF(AND(TRIM($A486)="Finalized",$K486&lt;&gt;""),"",DATE(2027,5,1))</f>
        <v/>
      </c>
      <c r="P486" s="10" t="s">
        <v>114</v>
      </c>
      <c r="Q486" s="10" t="s">
        <v>115</v>
      </c>
      <c r="R486" s="10" t="s">
        <v>114</v>
      </c>
      <c r="S486" s="10" t="s">
        <v>116</v>
      </c>
      <c r="T486" s="10" t="s">
        <v>117</v>
      </c>
      <c r="U486" s="10" t="s">
        <v>116</v>
      </c>
      <c r="V486" s="10" t="s">
        <v>266</v>
      </c>
      <c r="W486" s="10" t="s">
        <v>183</v>
      </c>
      <c r="X486" s="10"/>
      <c r="Y486" s="10"/>
      <c r="Z486" s="10"/>
      <c r="AA486" s="10" t="s">
        <v>197</v>
      </c>
      <c r="AB486" s="8" t="n">
        <f aca="true">IF($F486="","",TODAY()-$F486)</f>
        <v>168</v>
      </c>
      <c r="AC486" s="10" t="s">
        <v>185</v>
      </c>
      <c r="AD486" s="10" t="s">
        <v>184</v>
      </c>
      <c r="AE486" s="10"/>
      <c r="AF486" s="10"/>
      <c r="AG486" s="10"/>
      <c r="AH486" s="10"/>
      <c r="AI486" s="10"/>
      <c r="AJ486" s="10" t="s">
        <v>511</v>
      </c>
      <c r="AK486" s="10"/>
      <c r="AL486" s="10"/>
      <c r="AM486" s="10"/>
      <c r="AN486" s="8"/>
      <c r="AO486" s="10" t="s">
        <v>494</v>
      </c>
      <c r="AP486" s="10" t="s">
        <v>202</v>
      </c>
      <c r="AQ486" s="11" t="n">
        <v>46182</v>
      </c>
      <c r="AR486" s="13"/>
      <c r="AS486" s="13"/>
      <c r="AT486" s="13"/>
      <c r="AU486" s="13"/>
      <c r="AV486" s="13" t="s">
        <v>189</v>
      </c>
      <c r="AW486" s="13"/>
      <c r="AX486" s="13" t="s">
        <v>189</v>
      </c>
      <c r="AY486" s="7" t="s">
        <v>363</v>
      </c>
      <c r="AZ486" s="7" t="s">
        <v>159</v>
      </c>
      <c r="BA486" s="7" t="s">
        <v>47</v>
      </c>
      <c r="BB486" s="7"/>
      <c r="BC486" s="7"/>
      <c r="BD486" s="9"/>
      <c r="BE486" s="7"/>
      <c r="BF486" s="14" t="str">
        <f aca="true">IF(TRIM($A486)="Finalized","Closed",IF($BD486="","No review date set",IF($BD486&lt;TODAY(),"OVERDUE",IF($BD486-TODAY()&lt;=7,"Due within 7 days","Scheduled"))))</f>
        <v>Closed</v>
      </c>
      <c r="BG486" s="14" t="n">
        <f aca="true">IF($K486="","",TODAY()-$K486)</f>
        <v>35</v>
      </c>
      <c r="BH486" s="15" t="str">
        <f aca="false">IFERROR(LEFT(IF($B486="","Notes, ","")&amp;IF($K486="","Latest Date Worked, ","")&amp;IF($AY486="","Last Action, ","")&amp;IF(AND(OR(TRIM($A486)="Denied",TRIM($A486)="Rejected"),$BA486=""),"Denial Reason, ","")&amp;IF(AND(TRIM($A486)="Denied",$BB486="",TRIM($BA486)&lt;&gt;"NO DENIAL"),"Denial Code, ","")&amp;IF(AND(TRIM($A486)&lt;&gt;"Finalized",$BD486=""),"Next Review Date, ","")&amp;IF(AND(TRIM($A486)&lt;&gt;"Finalized",$BE486=""),"Next Step, ","")&amp;IF(AND(TRIM($A486)="Finalized",$AV486="",$AR486="",$AT486="",$AX486="",$AW486=""),"CPT outcome, ",""),LEN(IF($B486="","Notes, ","")&amp;IF($K486="","Latest Date Worked, ","")&amp;IF($AY486="","Last Action, ","")&amp;IF(AND(OR(TRIM($A486)="Denied",TRIM($A486)="Rejected"),$BA486=""),"Denial Reason, ","")&amp;IF(AND(TRIM($A486)="Denied",$BB486="",TRIM($BA486)&lt;&gt;"NO DENIAL"),"Denial Code, ","")&amp;IF(AND(TRIM($A486)&lt;&gt;"Finalized",$BD486=""),"Next Review Date, ","")&amp;IF(AND(TRIM($A486)&lt;&gt;"Finalized",$BE486=""),"Next Step, ","")&amp;IF(AND(TRIM($A486)="Finalized",$AV486="",$AR486="",$AT486="",$AX486="",$AW486=""),"CPT outcome, ",""))-2),"")</f>
        <v/>
      </c>
      <c r="BI486" s="15" t="str">
        <f aca="false">IF($BB486="","",IFERROR(INDEX('Denial Codes'!$C:$C,MATCH(LEFT($BB486,FIND(" - ",$BB486&amp;" - ")+2)&amp;"*",'Denial Codes'!$A:$A,0)),""))</f>
        <v/>
      </c>
      <c r="BJ486" s="15" t="str">
        <f aca="false">IF($BA486="","",IFERROR(INDEX(Lists!$B:$B,MATCH(TRIM($BA486),Lists!$A:$A,0))&amp;"",""))</f>
        <v>Check provider enrollment, NPI/TIN and network status; appeal once credentialing is confirmed.</v>
      </c>
    </row>
    <row r="487" customFormat="false" ht="15" hidden="false" customHeight="false" outlineLevel="0" collapsed="false">
      <c r="A487" s="7" t="s">
        <v>16</v>
      </c>
      <c r="B487" s="7" t="s">
        <v>1811</v>
      </c>
      <c r="C487" s="8" t="n">
        <v>558645693</v>
      </c>
      <c r="D487" s="9" t="n">
        <v>46196</v>
      </c>
      <c r="E487" s="10" t="s">
        <v>1296</v>
      </c>
      <c r="F487" s="11" t="n">
        <v>46149</v>
      </c>
      <c r="G487" s="10" t="s">
        <v>163</v>
      </c>
      <c r="H487" s="10" t="s">
        <v>260</v>
      </c>
      <c r="I487" s="10" t="s">
        <v>163</v>
      </c>
      <c r="J487" s="10" t="s">
        <v>400</v>
      </c>
      <c r="K487" s="9" t="n">
        <v>46252</v>
      </c>
      <c r="L487" s="12" t="str">
        <f aca="true">IF($O487="","",$O487-TODAY())</f>
        <v/>
      </c>
      <c r="M487" s="12" t="str">
        <f aca="true">IF(AND(TRIM($A487)="Finalized",$K487&lt;&gt;""),"",IF($D487="","",$D487+365-TODAY()))</f>
        <v/>
      </c>
      <c r="N487" s="12" t="str">
        <f aca="true">IF(AND(TRIM($A487)="Finalized",$K487&lt;&gt;""),"",IF($D487="","",$D487+120-TODAY()))</f>
        <v/>
      </c>
      <c r="O487" s="11" t="str">
        <f aca="false">IF(AND(TRIM($A487)="Finalized",$K487&lt;&gt;""),"",DATE(2027,5,7))</f>
        <v/>
      </c>
      <c r="P487" s="10" t="s">
        <v>114</v>
      </c>
      <c r="Q487" s="10" t="s">
        <v>115</v>
      </c>
      <c r="R487" s="10" t="s">
        <v>114</v>
      </c>
      <c r="S487" s="10" t="s">
        <v>116</v>
      </c>
      <c r="T487" s="10" t="s">
        <v>117</v>
      </c>
      <c r="U487" s="10" t="s">
        <v>116</v>
      </c>
      <c r="V487" s="10" t="s">
        <v>266</v>
      </c>
      <c r="W487" s="10" t="s">
        <v>183</v>
      </c>
      <c r="X487" s="10"/>
      <c r="Y487" s="10"/>
      <c r="Z487" s="10"/>
      <c r="AA487" s="10" t="s">
        <v>197</v>
      </c>
      <c r="AB487" s="8" t="n">
        <f aca="true">IF($F487="","",TODAY()-$F487)</f>
        <v>162</v>
      </c>
      <c r="AC487" s="10" t="s">
        <v>185</v>
      </c>
      <c r="AD487" s="10" t="s">
        <v>184</v>
      </c>
      <c r="AE487" s="10"/>
      <c r="AF487" s="10"/>
      <c r="AG487" s="10"/>
      <c r="AH487" s="10"/>
      <c r="AI487" s="10"/>
      <c r="AJ487" s="10" t="s">
        <v>340</v>
      </c>
      <c r="AK487" s="10"/>
      <c r="AL487" s="10"/>
      <c r="AM487" s="10"/>
      <c r="AN487" s="8" t="n">
        <v>564131691</v>
      </c>
      <c r="AO487" s="10" t="s">
        <v>341</v>
      </c>
      <c r="AP487" s="10" t="s">
        <v>188</v>
      </c>
      <c r="AQ487" s="11" t="n">
        <v>46181</v>
      </c>
      <c r="AR487" s="13"/>
      <c r="AS487" s="13"/>
      <c r="AT487" s="13"/>
      <c r="AU487" s="13"/>
      <c r="AV487" s="13" t="s">
        <v>189</v>
      </c>
      <c r="AW487" s="13"/>
      <c r="AX487" s="13" t="s">
        <v>189</v>
      </c>
      <c r="AY487" s="7" t="s">
        <v>363</v>
      </c>
      <c r="AZ487" s="7" t="s">
        <v>159</v>
      </c>
      <c r="BA487" s="7"/>
      <c r="BB487" s="7"/>
      <c r="BC487" s="7"/>
      <c r="BD487" s="9"/>
      <c r="BE487" s="7"/>
      <c r="BF487" s="14" t="str">
        <f aca="true">IF(TRIM($A487)="Finalized","Closed",IF($BD487="","No review date set",IF($BD487&lt;TODAY(),"OVERDUE",IF($BD487-TODAY()&lt;=7,"Due within 7 days","Scheduled"))))</f>
        <v>Closed</v>
      </c>
      <c r="BG487" s="14" t="n">
        <f aca="true">IF($K487="","",TODAY()-$K487)</f>
        <v>59</v>
      </c>
      <c r="BH487" s="15" t="str">
        <f aca="false">IFERROR(LEFT(IF($B487="","Notes, ","")&amp;IF($K487="","Latest Date Worked, ","")&amp;IF($AY487="","Last Action, ","")&amp;IF(AND(OR(TRIM($A487)="Denied",TRIM($A487)="Rejected"),$BA487=""),"Denial Reason, ","")&amp;IF(AND(TRIM($A487)="Denied",$BB487="",TRIM($BA487)&lt;&gt;"NO DENIAL"),"Denial Code, ","")&amp;IF(AND(TRIM($A487)&lt;&gt;"Finalized",$BD487=""),"Next Review Date, ","")&amp;IF(AND(TRIM($A487)&lt;&gt;"Finalized",$BE487=""),"Next Step, ","")&amp;IF(AND(TRIM($A487)="Finalized",$AV487="",$AR487="",$AT487="",$AX487="",$AW487=""),"CPT outcome, ",""),LEN(IF($B487="","Notes, ","")&amp;IF($K487="","Latest Date Worked, ","")&amp;IF($AY487="","Last Action, ","")&amp;IF(AND(OR(TRIM($A487)="Denied",TRIM($A487)="Rejected"),$BA487=""),"Denial Reason, ","")&amp;IF(AND(TRIM($A487)="Denied",$BB487="",TRIM($BA487)&lt;&gt;"NO DENIAL"),"Denial Code, ","")&amp;IF(AND(TRIM($A487)&lt;&gt;"Finalized",$BD487=""),"Next Review Date, ","")&amp;IF(AND(TRIM($A487)&lt;&gt;"Finalized",$BE487=""),"Next Step, ","")&amp;IF(AND(TRIM($A487)="Finalized",$AV487="",$AR487="",$AT487="",$AX487="",$AW487=""),"CPT outcome, ",""))-2),"")</f>
        <v/>
      </c>
      <c r="BI487" s="15" t="str">
        <f aca="false">IF($BB487="","",IFERROR(INDEX('Denial Codes'!$C:$C,MATCH(LEFT($BB487,FIND(" - ",$BB487&amp;" - ")+2)&amp;"*",'Denial Codes'!$A:$A,0)),""))</f>
        <v/>
      </c>
      <c r="BJ487" s="15" t="str">
        <f aca="false">IF($BA487="","",IFERROR(INDEX(Lists!$B:$B,MATCH(TRIM($BA487),Lists!$A:$A,0))&amp;"",""))</f>
        <v/>
      </c>
    </row>
    <row r="488" customFormat="false" ht="15" hidden="false" customHeight="false" outlineLevel="0" collapsed="false">
      <c r="A488" s="7" t="s">
        <v>16</v>
      </c>
      <c r="B488" s="7" t="s">
        <v>1812</v>
      </c>
      <c r="C488" s="8" t="n">
        <v>558777279</v>
      </c>
      <c r="D488" s="9" t="n">
        <v>46196</v>
      </c>
      <c r="E488" s="10" t="s">
        <v>1281</v>
      </c>
      <c r="F488" s="11" t="n">
        <v>46150</v>
      </c>
      <c r="G488" s="10" t="s">
        <v>163</v>
      </c>
      <c r="H488" s="10" t="s">
        <v>260</v>
      </c>
      <c r="I488" s="10" t="s">
        <v>163</v>
      </c>
      <c r="J488" s="10" t="s">
        <v>424</v>
      </c>
      <c r="K488" s="9" t="n">
        <v>46252</v>
      </c>
      <c r="L488" s="12" t="str">
        <f aca="true">IF($O488="","",$O488-TODAY())</f>
        <v/>
      </c>
      <c r="M488" s="12" t="str">
        <f aca="true">IF(AND(TRIM($A488)="Finalized",$K488&lt;&gt;""),"",IF($D488="","",$D488+365-TODAY()))</f>
        <v/>
      </c>
      <c r="N488" s="12" t="str">
        <f aca="true">IF(AND(TRIM($A488)="Finalized",$K488&lt;&gt;""),"",IF($D488="","",$D488+120-TODAY()))</f>
        <v/>
      </c>
      <c r="O488" s="11" t="str">
        <f aca="false">IF(AND(TRIM($A488)="Finalized",$K488&lt;&gt;""),"",DATE(2027,5,8))</f>
        <v/>
      </c>
      <c r="P488" s="10" t="s">
        <v>114</v>
      </c>
      <c r="Q488" s="10" t="s">
        <v>115</v>
      </c>
      <c r="R488" s="10" t="s">
        <v>114</v>
      </c>
      <c r="S488" s="10" t="s">
        <v>116</v>
      </c>
      <c r="T488" s="10" t="s">
        <v>117</v>
      </c>
      <c r="U488" s="10" t="s">
        <v>116</v>
      </c>
      <c r="V488" s="10" t="s">
        <v>266</v>
      </c>
      <c r="W488" s="10" t="s">
        <v>183</v>
      </c>
      <c r="X488" s="10"/>
      <c r="Y488" s="10"/>
      <c r="Z488" s="10"/>
      <c r="AA488" s="10" t="s">
        <v>197</v>
      </c>
      <c r="AB488" s="8" t="n">
        <f aca="true">IF($F488="","",TODAY()-$F488)</f>
        <v>161</v>
      </c>
      <c r="AC488" s="10" t="s">
        <v>211</v>
      </c>
      <c r="AD488" s="10" t="s">
        <v>184</v>
      </c>
      <c r="AE488" s="10"/>
      <c r="AF488" s="10"/>
      <c r="AG488" s="10"/>
      <c r="AH488" s="10"/>
      <c r="AI488" s="10"/>
      <c r="AJ488" s="10" t="s">
        <v>340</v>
      </c>
      <c r="AK488" s="10"/>
      <c r="AL488" s="10"/>
      <c r="AM488" s="10"/>
      <c r="AN488" s="8" t="n">
        <v>564131697</v>
      </c>
      <c r="AO488" s="10" t="s">
        <v>344</v>
      </c>
      <c r="AP488" s="10" t="s">
        <v>188</v>
      </c>
      <c r="AQ488" s="11" t="n">
        <v>46182</v>
      </c>
      <c r="AR488" s="13"/>
      <c r="AS488" s="13"/>
      <c r="AT488" s="13" t="s">
        <v>214</v>
      </c>
      <c r="AU488" s="13" t="s">
        <v>1601</v>
      </c>
      <c r="AV488" s="13"/>
      <c r="AW488" s="13"/>
      <c r="AX488" s="13"/>
      <c r="AY488" s="7" t="s">
        <v>465</v>
      </c>
      <c r="AZ488" s="7"/>
      <c r="BA488" s="7" t="s">
        <v>46</v>
      </c>
      <c r="BB488" s="7" t="s">
        <v>1601</v>
      </c>
      <c r="BC488" s="7"/>
      <c r="BD488" s="9"/>
      <c r="BE488" s="7"/>
      <c r="BF488" s="14" t="str">
        <f aca="true">IF(TRIM($A488)="Finalized","Closed",IF($BD488="","No review date set",IF($BD488&lt;TODAY(),"OVERDUE",IF($BD488-TODAY()&lt;=7,"Due within 7 days","Scheduled"))))</f>
        <v>Closed</v>
      </c>
      <c r="BG488" s="14" t="n">
        <f aca="true">IF($K488="","",TODAY()-$K488)</f>
        <v>59</v>
      </c>
      <c r="BH488" s="15" t="str">
        <f aca="false">IFERROR(LEFT(IF($B488="","Notes, ","")&amp;IF($K488="","Latest Date Worked, ","")&amp;IF($AY488="","Last Action, ","")&amp;IF(AND(OR(TRIM($A488)="Denied",TRIM($A488)="Rejected"),$BA488=""),"Denial Reason, ","")&amp;IF(AND(TRIM($A488)="Denied",$BB488="",TRIM($BA488)&lt;&gt;"NO DENIAL"),"Denial Code, ","")&amp;IF(AND(TRIM($A488)&lt;&gt;"Finalized",$BD488=""),"Next Review Date, ","")&amp;IF(AND(TRIM($A488)&lt;&gt;"Finalized",$BE488=""),"Next Step, ","")&amp;IF(AND(TRIM($A488)="Finalized",$AV488="",$AR488="",$AT488="",$AX488="",$AW488=""),"CPT outcome, ",""),LEN(IF($B488="","Notes, ","")&amp;IF($K488="","Latest Date Worked, ","")&amp;IF($AY488="","Last Action, ","")&amp;IF(AND(OR(TRIM($A488)="Denied",TRIM($A488)="Rejected"),$BA488=""),"Denial Reason, ","")&amp;IF(AND(TRIM($A488)="Denied",$BB488="",TRIM($BA488)&lt;&gt;"NO DENIAL"),"Denial Code, ","")&amp;IF(AND(TRIM($A488)&lt;&gt;"Finalized",$BD488=""),"Next Review Date, ","")&amp;IF(AND(TRIM($A488)&lt;&gt;"Finalized",$BE488=""),"Next Step, ","")&amp;IF(AND(TRIM($A488)="Finalized",$AV488="",$AR488="",$AT488="",$AX488="",$AW488=""),"CPT outcome, ",""))-2),"")</f>
        <v/>
      </c>
      <c r="BI488" s="15" t="str">
        <f aca="false">IF($BB488="","",IFERROR(INDEX('Denial Codes'!$C:$C,MATCH(LEFT($BB488,FIND(" - ",$BB488&amp;" - ")+2)&amp;"*",'Denial Codes'!$A:$A,0)),""))</f>
        <v>Eligibility / member ID</v>
      </c>
      <c r="BJ488" s="15" t="str">
        <f aca="false">IF($BA488="","",IFERROR(INDEX(Lists!$B:$B,MATCH(TRIM($BA488),Lists!$A:$A,0))&amp;"",""))</f>
        <v>Verify eligibility; correct the member ID/MBI, name or DOB and resubmit.</v>
      </c>
    </row>
    <row r="489" customFormat="false" ht="15" hidden="false" customHeight="false" outlineLevel="0" collapsed="false">
      <c r="A489" s="7" t="s">
        <v>16</v>
      </c>
      <c r="B489" s="7" t="s">
        <v>1148</v>
      </c>
      <c r="C489" s="8" t="n">
        <v>560072534</v>
      </c>
      <c r="D489" s="9" t="n">
        <v>46245</v>
      </c>
      <c r="E489" s="10" t="s">
        <v>1357</v>
      </c>
      <c r="F489" s="11" t="n">
        <v>46155</v>
      </c>
      <c r="G489" s="10" t="s">
        <v>111</v>
      </c>
      <c r="H489" s="10" t="s">
        <v>260</v>
      </c>
      <c r="I489" s="10" t="s">
        <v>111</v>
      </c>
      <c r="J489" s="10" t="s">
        <v>1267</v>
      </c>
      <c r="K489" s="9" t="n">
        <v>46258</v>
      </c>
      <c r="L489" s="12" t="str">
        <f aca="true">IF($O489="","",$O489-TODAY())</f>
        <v/>
      </c>
      <c r="M489" s="12" t="str">
        <f aca="true">IF(AND(TRIM($A489)="Finalized",$K489&lt;&gt;""),"",IF($D489="","",$D489+365-TODAY()))</f>
        <v/>
      </c>
      <c r="N489" s="12" t="str">
        <f aca="true">IF(AND(TRIM($A489)="Finalized",$K489&lt;&gt;""),"",IF($D489="","",$D489+120-TODAY()))</f>
        <v/>
      </c>
      <c r="O489" s="11" t="str">
        <f aca="false">IF(AND(TRIM($A489)="Finalized",$K489&lt;&gt;""),"",DATE(2027,5,13))</f>
        <v/>
      </c>
      <c r="P489" s="10" t="s">
        <v>114</v>
      </c>
      <c r="Q489" s="10" t="s">
        <v>115</v>
      </c>
      <c r="R489" s="10" t="s">
        <v>114</v>
      </c>
      <c r="S489" s="10" t="s">
        <v>116</v>
      </c>
      <c r="T489" s="10" t="s">
        <v>117</v>
      </c>
      <c r="U489" s="10" t="s">
        <v>116</v>
      </c>
      <c r="V489" s="10" t="s">
        <v>266</v>
      </c>
      <c r="W489" s="10" t="s">
        <v>196</v>
      </c>
      <c r="X489" s="10"/>
      <c r="Y489" s="10"/>
      <c r="Z489" s="10"/>
      <c r="AA489" s="10" t="s">
        <v>197</v>
      </c>
      <c r="AB489" s="8" t="n">
        <f aca="true">IF($F489="","",TODAY()-$F489)</f>
        <v>156</v>
      </c>
      <c r="AC489" s="10" t="s">
        <v>222</v>
      </c>
      <c r="AD489" s="10" t="s">
        <v>198</v>
      </c>
      <c r="AE489" s="10" t="s">
        <v>487</v>
      </c>
      <c r="AF489" s="10"/>
      <c r="AG489" s="10"/>
      <c r="AH489" s="10"/>
      <c r="AI489" s="10"/>
      <c r="AJ489" s="10" t="s">
        <v>375</v>
      </c>
      <c r="AK489" s="10"/>
      <c r="AL489" s="10"/>
      <c r="AM489" s="10"/>
      <c r="AN489" s="8" t="n">
        <v>563214016</v>
      </c>
      <c r="AO489" s="10" t="s">
        <v>255</v>
      </c>
      <c r="AP489" s="10" t="s">
        <v>268</v>
      </c>
      <c r="AQ489" s="11" t="n">
        <v>46164</v>
      </c>
      <c r="AR489" s="13"/>
      <c r="AS489" s="13"/>
      <c r="AT489" s="13"/>
      <c r="AU489" s="13"/>
      <c r="AV489" s="13" t="s">
        <v>1268</v>
      </c>
      <c r="AW489" s="13"/>
      <c r="AX489" s="13" t="s">
        <v>1268</v>
      </c>
      <c r="AY489" s="7" t="s">
        <v>363</v>
      </c>
      <c r="AZ489" s="7"/>
      <c r="BA489" s="7"/>
      <c r="BB489" s="7"/>
      <c r="BC489" s="7"/>
      <c r="BD489" s="9"/>
      <c r="BE489" s="7"/>
      <c r="BF489" s="14" t="str">
        <f aca="true">IF(TRIM($A489)="Finalized","Closed",IF($BD489="","No review date set",IF($BD489&lt;TODAY(),"OVERDUE",IF($BD489-TODAY()&lt;=7,"Due within 7 days","Scheduled"))))</f>
        <v>Closed</v>
      </c>
      <c r="BG489" s="14" t="n">
        <f aca="true">IF($K489="","",TODAY()-$K489)</f>
        <v>53</v>
      </c>
      <c r="BH489" s="15" t="str">
        <f aca="false">IFERROR(LEFT(IF($B489="","Notes, ","")&amp;IF($K489="","Latest Date Worked, ","")&amp;IF($AY489="","Last Action, ","")&amp;IF(AND(OR(TRIM($A489)="Denied",TRIM($A489)="Rejected"),$BA489=""),"Denial Reason, ","")&amp;IF(AND(TRIM($A489)="Denied",$BB489="",TRIM($BA489)&lt;&gt;"NO DENIAL"),"Denial Code, ","")&amp;IF(AND(TRIM($A489)&lt;&gt;"Finalized",$BD489=""),"Next Review Date, ","")&amp;IF(AND(TRIM($A489)&lt;&gt;"Finalized",$BE489=""),"Next Step, ","")&amp;IF(AND(TRIM($A489)="Finalized",$AV489="",$AR489="",$AT489="",$AX489="",$AW489=""),"CPT outcome, ",""),LEN(IF($B489="","Notes, ","")&amp;IF($K489="","Latest Date Worked, ","")&amp;IF($AY489="","Last Action, ","")&amp;IF(AND(OR(TRIM($A489)="Denied",TRIM($A489)="Rejected"),$BA489=""),"Denial Reason, ","")&amp;IF(AND(TRIM($A489)="Denied",$BB489="",TRIM($BA489)&lt;&gt;"NO DENIAL"),"Denial Code, ","")&amp;IF(AND(TRIM($A489)&lt;&gt;"Finalized",$BD489=""),"Next Review Date, ","")&amp;IF(AND(TRIM($A489)&lt;&gt;"Finalized",$BE489=""),"Next Step, ","")&amp;IF(AND(TRIM($A489)="Finalized",$AV489="",$AR489="",$AT489="",$AX489="",$AW489=""),"CPT outcome, ",""))-2),"")</f>
        <v/>
      </c>
      <c r="BI489" s="15" t="str">
        <f aca="false">IF($BB489="","",IFERROR(INDEX('Denial Codes'!$C:$C,MATCH(LEFT($BB489,FIND(" - ",$BB489&amp;" - ")+2)&amp;"*",'Denial Codes'!$A:$A,0)),""))</f>
        <v/>
      </c>
      <c r="BJ489" s="15" t="str">
        <f aca="false">IF($BA489="","",IFERROR(INDEX(Lists!$B:$B,MATCH(TRIM($BA489),Lists!$A:$A,0))&amp;"",""))</f>
        <v/>
      </c>
    </row>
    <row r="490" customFormat="false" ht="15" hidden="false" customHeight="false" outlineLevel="0" collapsed="false">
      <c r="A490" s="7" t="s">
        <v>16</v>
      </c>
      <c r="B490" s="7" t="s">
        <v>1813</v>
      </c>
      <c r="C490" s="8" t="n">
        <v>564572924</v>
      </c>
      <c r="D490" s="9" t="n">
        <v>46247</v>
      </c>
      <c r="E490" s="10" t="s">
        <v>1814</v>
      </c>
      <c r="F490" s="11" t="n">
        <v>46156</v>
      </c>
      <c r="G490" s="10" t="s">
        <v>112</v>
      </c>
      <c r="H490" s="10" t="s">
        <v>112</v>
      </c>
      <c r="I490" s="10" t="s">
        <v>1387</v>
      </c>
      <c r="J490" s="10" t="s">
        <v>1815</v>
      </c>
      <c r="K490" s="9" t="n">
        <v>46254</v>
      </c>
      <c r="L490" s="12" t="str">
        <f aca="true">IF($O490="","",$O490-TODAY())</f>
        <v/>
      </c>
      <c r="M490" s="12" t="str">
        <f aca="true">IF(AND(TRIM($A490)="Finalized",$K490&lt;&gt;""),"",IF($D490="","",$D490+365-TODAY()))</f>
        <v/>
      </c>
      <c r="N490" s="12" t="str">
        <f aca="true">IF(AND(TRIM($A490)="Finalized",$K490&lt;&gt;""),"",IF($D490="","",$D490+120-TODAY()))</f>
        <v/>
      </c>
      <c r="O490" s="11" t="str">
        <f aca="false">IF(AND(TRIM($A490)="Finalized",$K490&lt;&gt;""),"",DATE(2027,5,14))</f>
        <v/>
      </c>
      <c r="P490" s="10" t="s">
        <v>114</v>
      </c>
      <c r="Q490" s="10" t="s">
        <v>115</v>
      </c>
      <c r="R490" s="10" t="s">
        <v>114</v>
      </c>
      <c r="S490" s="10" t="s">
        <v>116</v>
      </c>
      <c r="T490" s="10" t="s">
        <v>117</v>
      </c>
      <c r="U490" s="10" t="s">
        <v>116</v>
      </c>
      <c r="V490" s="10" t="s">
        <v>266</v>
      </c>
      <c r="W490" s="10" t="s">
        <v>119</v>
      </c>
      <c r="X490" s="10" t="s">
        <v>304</v>
      </c>
      <c r="Y490" s="10" t="s">
        <v>1816</v>
      </c>
      <c r="Z490" s="10"/>
      <c r="AA490" s="10" t="s">
        <v>197</v>
      </c>
      <c r="AB490" s="8" t="n">
        <f aca="true">IF($F490="","",TODAY()-$F490)</f>
        <v>155</v>
      </c>
      <c r="AC490" s="10" t="s">
        <v>710</v>
      </c>
      <c r="AD490" s="10" t="s">
        <v>710</v>
      </c>
      <c r="AE490" s="10"/>
      <c r="AF490" s="10"/>
      <c r="AG490" s="10"/>
      <c r="AH490" s="10"/>
      <c r="AI490" s="10"/>
      <c r="AJ490" s="10" t="s">
        <v>1817</v>
      </c>
      <c r="AK490" s="10" t="s">
        <v>1818</v>
      </c>
      <c r="AL490" s="10"/>
      <c r="AM490" s="10"/>
      <c r="AN490" s="8"/>
      <c r="AO490" s="10" t="s">
        <v>125</v>
      </c>
      <c r="AP490" s="10" t="s">
        <v>126</v>
      </c>
      <c r="AQ490" s="11" t="n">
        <v>46210</v>
      </c>
      <c r="AR490" s="13"/>
      <c r="AS490" s="13"/>
      <c r="AT490" s="13"/>
      <c r="AU490" s="13"/>
      <c r="AV490" s="13"/>
      <c r="AW490" s="13"/>
      <c r="AX490" s="13"/>
      <c r="AY490" s="7" t="s">
        <v>411</v>
      </c>
      <c r="AZ490" s="7"/>
      <c r="BA490" s="7" t="s">
        <v>34</v>
      </c>
      <c r="BB490" s="7"/>
      <c r="BC490" s="7"/>
      <c r="BD490" s="9"/>
      <c r="BE490" s="7"/>
      <c r="BF490" s="14" t="str">
        <f aca="true">IF(TRIM($A490)="Finalized","Closed",IF($BD490="","No review date set",IF($BD490&lt;TODAY(),"OVERDUE",IF($BD490-TODAY()&lt;=7,"Due within 7 days","Scheduled"))))</f>
        <v>Closed</v>
      </c>
      <c r="BG490" s="14" t="n">
        <f aca="true">IF($K490="","",TODAY()-$K490)</f>
        <v>57</v>
      </c>
      <c r="BH490" s="15" t="str">
        <f aca="false">IFERROR(LEFT(IF($B490="","Notes, ","")&amp;IF($K490="","Latest Date Worked, ","")&amp;IF($AY490="","Last Action, ","")&amp;IF(AND(OR(TRIM($A490)="Denied",TRIM($A490)="Rejected"),$BA490=""),"Denial Reason, ","")&amp;IF(AND(TRIM($A490)="Denied",$BB490="",TRIM($BA490)&lt;&gt;"NO DENIAL"),"Denial Code, ","")&amp;IF(AND(TRIM($A490)&lt;&gt;"Finalized",$BD490=""),"Next Review Date, ","")&amp;IF(AND(TRIM($A490)&lt;&gt;"Finalized",$BE490=""),"Next Step, ","")&amp;IF(AND(TRIM($A490)="Finalized",$AV490="",$AR490="",$AT490="",$AX490="",$AW490=""),"CPT outcome, ",""),LEN(IF($B490="","Notes, ","")&amp;IF($K490="","Latest Date Worked, ","")&amp;IF($AY490="","Last Action, ","")&amp;IF(AND(OR(TRIM($A490)="Denied",TRIM($A490)="Rejected"),$BA490=""),"Denial Reason, ","")&amp;IF(AND(TRIM($A490)="Denied",$BB490="",TRIM($BA490)&lt;&gt;"NO DENIAL"),"Denial Code, ","")&amp;IF(AND(TRIM($A490)&lt;&gt;"Finalized",$BD490=""),"Next Review Date, ","")&amp;IF(AND(TRIM($A490)&lt;&gt;"Finalized",$BE490=""),"Next Step, ","")&amp;IF(AND(TRIM($A490)="Finalized",$AV490="",$AR490="",$AT490="",$AX490="",$AW490=""),"CPT outcome, ",""))-2),"")</f>
        <v>CPT outcome</v>
      </c>
      <c r="BI490" s="15" t="str">
        <f aca="false">IF($BB490="","",IFERROR(INDEX('Denial Codes'!$C:$C,MATCH(LEFT($BB490,FIND(" - ",$BB490&amp;" - ")+2)&amp;"*",'Denial Codes'!$A:$A,0)),""))</f>
        <v/>
      </c>
      <c r="BJ490" s="15" t="str">
        <f aca="false">IF($BA490="","",IFERROR(INDEX(Lists!$B:$B,MATCH(TRIM($BA490),Lists!$A:$A,0))&amp;"",""))</f>
        <v>Check the portal for an auth; request a retro-auth or file an appeal with the auth number, then resubmit.</v>
      </c>
    </row>
    <row r="491" customFormat="false" ht="15" hidden="false" customHeight="false" outlineLevel="0" collapsed="false">
      <c r="A491" s="7" t="s">
        <v>16</v>
      </c>
      <c r="B491" s="7" t="s">
        <v>1819</v>
      </c>
      <c r="C491" s="8" t="n">
        <v>559739970</v>
      </c>
      <c r="D491" s="9" t="n">
        <v>46219</v>
      </c>
      <c r="E491" s="10" t="s">
        <v>1820</v>
      </c>
      <c r="F491" s="11" t="n">
        <v>46160</v>
      </c>
      <c r="G491" s="10" t="s">
        <v>112</v>
      </c>
      <c r="H491" s="10" t="s">
        <v>112</v>
      </c>
      <c r="I491" s="10" t="s">
        <v>129</v>
      </c>
      <c r="J491" s="10" t="s">
        <v>1242</v>
      </c>
      <c r="K491" s="9" t="n">
        <v>46255</v>
      </c>
      <c r="L491" s="12" t="str">
        <f aca="true">IF($O491="","",$O491-TODAY())</f>
        <v/>
      </c>
      <c r="M491" s="12" t="str">
        <f aca="true">IF(AND(TRIM($A491)="Finalized",$K491&lt;&gt;""),"",IF($D491="","",$D491+365-TODAY()))</f>
        <v/>
      </c>
      <c r="N491" s="12" t="str">
        <f aca="true">IF(AND(TRIM($A491)="Finalized",$K491&lt;&gt;""),"",IF($D491="","",$D491+120-TODAY()))</f>
        <v/>
      </c>
      <c r="O491" s="11" t="str">
        <f aca="false">IF(AND(TRIM($A491)="Finalized",$K491&lt;&gt;""),"",DATE(2027,5,18))</f>
        <v/>
      </c>
      <c r="P491" s="10" t="s">
        <v>114</v>
      </c>
      <c r="Q491" s="10" t="s">
        <v>115</v>
      </c>
      <c r="R491" s="10" t="s">
        <v>114</v>
      </c>
      <c r="S491" s="10" t="s">
        <v>116</v>
      </c>
      <c r="T491" s="10" t="s">
        <v>117</v>
      </c>
      <c r="U491" s="10" t="s">
        <v>116</v>
      </c>
      <c r="V491" s="10" t="s">
        <v>266</v>
      </c>
      <c r="W491" s="10" t="s">
        <v>119</v>
      </c>
      <c r="X491" s="10" t="s">
        <v>304</v>
      </c>
      <c r="Y491" s="10"/>
      <c r="Z491" s="10"/>
      <c r="AA491" s="10" t="s">
        <v>197</v>
      </c>
      <c r="AB491" s="8" t="n">
        <f aca="true">IF($F491="","",TODAY()-$F491)</f>
        <v>151</v>
      </c>
      <c r="AC491" s="10" t="s">
        <v>584</v>
      </c>
      <c r="AD491" s="10"/>
      <c r="AE491" s="10"/>
      <c r="AF491" s="10"/>
      <c r="AG491" s="10"/>
      <c r="AH491" s="10"/>
      <c r="AI491" s="10"/>
      <c r="AJ491" s="10" t="s">
        <v>751</v>
      </c>
      <c r="AK491" s="10"/>
      <c r="AL491" s="10"/>
      <c r="AM491" s="10"/>
      <c r="AN491" s="8"/>
      <c r="AO491" s="10" t="s">
        <v>1399</v>
      </c>
      <c r="AP491" s="10" t="s">
        <v>1400</v>
      </c>
      <c r="AQ491" s="11" t="n">
        <v>46162</v>
      </c>
      <c r="AR491" s="13"/>
      <c r="AS491" s="13"/>
      <c r="AT491" s="13" t="s">
        <v>584</v>
      </c>
      <c r="AU491" s="13" t="s">
        <v>464</v>
      </c>
      <c r="AV491" s="13"/>
      <c r="AW491" s="13"/>
      <c r="AX491" s="13"/>
      <c r="AY491" s="7" t="s">
        <v>465</v>
      </c>
      <c r="AZ491" s="7"/>
      <c r="BA491" s="7" t="s">
        <v>34</v>
      </c>
      <c r="BB491" s="7" t="s">
        <v>464</v>
      </c>
      <c r="BC491" s="7"/>
      <c r="BD491" s="9"/>
      <c r="BE491" s="7"/>
      <c r="BF491" s="14" t="str">
        <f aca="true">IF(TRIM($A491)="Finalized","Closed",IF($BD491="","No review date set",IF($BD491&lt;TODAY(),"OVERDUE",IF($BD491-TODAY()&lt;=7,"Due within 7 days","Scheduled"))))</f>
        <v>Closed</v>
      </c>
      <c r="BG491" s="14" t="n">
        <f aca="true">IF($K491="","",TODAY()-$K491)</f>
        <v>56</v>
      </c>
      <c r="BH491" s="15" t="str">
        <f aca="false">IFERROR(LEFT(IF($B491="","Notes, ","")&amp;IF($K491="","Latest Date Worked, ","")&amp;IF($AY491="","Last Action, ","")&amp;IF(AND(OR(TRIM($A491)="Denied",TRIM($A491)="Rejected"),$BA491=""),"Denial Reason, ","")&amp;IF(AND(TRIM($A491)="Denied",$BB491="",TRIM($BA491)&lt;&gt;"NO DENIAL"),"Denial Code, ","")&amp;IF(AND(TRIM($A491)&lt;&gt;"Finalized",$BD491=""),"Next Review Date, ","")&amp;IF(AND(TRIM($A491)&lt;&gt;"Finalized",$BE491=""),"Next Step, ","")&amp;IF(AND(TRIM($A491)="Finalized",$AV491="",$AR491="",$AT491="",$AX491="",$AW491=""),"CPT outcome, ",""),LEN(IF($B491="","Notes, ","")&amp;IF($K491="","Latest Date Worked, ","")&amp;IF($AY491="","Last Action, ","")&amp;IF(AND(OR(TRIM($A491)="Denied",TRIM($A491)="Rejected"),$BA491=""),"Denial Reason, ","")&amp;IF(AND(TRIM($A491)="Denied",$BB491="",TRIM($BA491)&lt;&gt;"NO DENIAL"),"Denial Code, ","")&amp;IF(AND(TRIM($A491)&lt;&gt;"Finalized",$BD491=""),"Next Review Date, ","")&amp;IF(AND(TRIM($A491)&lt;&gt;"Finalized",$BE491=""),"Next Step, ","")&amp;IF(AND(TRIM($A491)="Finalized",$AV491="",$AR491="",$AT491="",$AX491="",$AW491=""),"CPT outcome, ",""))-2),"")</f>
        <v/>
      </c>
      <c r="BI491" s="15" t="str">
        <f aca="false">IF($BB491="","",IFERROR(INDEX('Denial Codes'!$C:$C,MATCH(LEFT($BB491,FIND(" - ",$BB491&amp;" - ")+2)&amp;"*",'Denial Codes'!$A:$A,0)),""))</f>
        <v>No authorization</v>
      </c>
      <c r="BJ491" s="15" t="str">
        <f aca="false">IF($BA491="","",IFERROR(INDEX(Lists!$B:$B,MATCH(TRIM($BA491),Lists!$A:$A,0))&amp;"",""))</f>
        <v>Check the portal for an auth; request a retro-auth or file an appeal with the auth number, then resubmit.</v>
      </c>
    </row>
    <row r="492" customFormat="false" ht="15" hidden="false" customHeight="false" outlineLevel="0" collapsed="false">
      <c r="A492" s="7" t="s">
        <v>16</v>
      </c>
      <c r="B492" s="7" t="s">
        <v>1821</v>
      </c>
      <c r="C492" s="8" t="n">
        <v>559735530</v>
      </c>
      <c r="D492" s="9" t="n">
        <v>46246</v>
      </c>
      <c r="E492" s="10" t="s">
        <v>1822</v>
      </c>
      <c r="F492" s="11" t="n">
        <v>46161</v>
      </c>
      <c r="G492" s="10" t="s">
        <v>112</v>
      </c>
      <c r="H492" s="10" t="s">
        <v>112</v>
      </c>
      <c r="I492" s="10" t="s">
        <v>271</v>
      </c>
      <c r="J492" s="10" t="s">
        <v>1242</v>
      </c>
      <c r="K492" s="9" t="n">
        <v>46255</v>
      </c>
      <c r="L492" s="12" t="str">
        <f aca="true">IF($O492="","",$O492-TODAY())</f>
        <v/>
      </c>
      <c r="M492" s="12" t="str">
        <f aca="true">IF(AND(TRIM($A492)="Finalized",$K492&lt;&gt;""),"",IF($D492="","",$D492+365-TODAY()))</f>
        <v/>
      </c>
      <c r="N492" s="12" t="str">
        <f aca="true">IF(AND(TRIM($A492)="Finalized",$K492&lt;&gt;""),"",IF($D492="","",$D492+120-TODAY()))</f>
        <v/>
      </c>
      <c r="O492" s="11" t="str">
        <f aca="false">IF(AND(TRIM($A492)="Finalized",$K492&lt;&gt;""),"",DATE(2027,5,19))</f>
        <v/>
      </c>
      <c r="P492" s="10" t="s">
        <v>114</v>
      </c>
      <c r="Q492" s="10" t="s">
        <v>115</v>
      </c>
      <c r="R492" s="10" t="s">
        <v>114</v>
      </c>
      <c r="S492" s="10" t="s">
        <v>116</v>
      </c>
      <c r="T492" s="10" t="s">
        <v>117</v>
      </c>
      <c r="U492" s="10" t="s">
        <v>116</v>
      </c>
      <c r="V492" s="10" t="s">
        <v>266</v>
      </c>
      <c r="W492" s="10" t="s">
        <v>119</v>
      </c>
      <c r="X492" s="10" t="s">
        <v>304</v>
      </c>
      <c r="Y492" s="10"/>
      <c r="Z492" s="10"/>
      <c r="AA492" s="10" t="s">
        <v>197</v>
      </c>
      <c r="AB492" s="8" t="n">
        <f aca="true">IF($F492="","",TODAY()-$F492)</f>
        <v>150</v>
      </c>
      <c r="AC492" s="10" t="s">
        <v>584</v>
      </c>
      <c r="AD492" s="10"/>
      <c r="AE492" s="10"/>
      <c r="AF492" s="10"/>
      <c r="AG492" s="10"/>
      <c r="AH492" s="10"/>
      <c r="AI492" s="10"/>
      <c r="AJ492" s="10" t="s">
        <v>452</v>
      </c>
      <c r="AK492" s="10" t="s">
        <v>124</v>
      </c>
      <c r="AL492" s="10" t="s">
        <v>499</v>
      </c>
      <c r="AM492" s="10"/>
      <c r="AN492" s="8"/>
      <c r="AO492" s="10" t="s">
        <v>231</v>
      </c>
      <c r="AP492" s="10" t="s">
        <v>232</v>
      </c>
      <c r="AQ492" s="11" t="n">
        <v>46183</v>
      </c>
      <c r="AR492" s="13"/>
      <c r="AS492" s="13"/>
      <c r="AT492" s="13" t="s">
        <v>584</v>
      </c>
      <c r="AU492" s="13" t="s">
        <v>464</v>
      </c>
      <c r="AV492" s="13"/>
      <c r="AW492" s="13"/>
      <c r="AX492" s="13"/>
      <c r="AY492" s="7" t="s">
        <v>465</v>
      </c>
      <c r="AZ492" s="7"/>
      <c r="BA492" s="7" t="s">
        <v>34</v>
      </c>
      <c r="BB492" s="7" t="s">
        <v>464</v>
      </c>
      <c r="BC492" s="7"/>
      <c r="BD492" s="9"/>
      <c r="BE492" s="7"/>
      <c r="BF492" s="14" t="str">
        <f aca="true">IF(TRIM($A492)="Finalized","Closed",IF($BD492="","No review date set",IF($BD492&lt;TODAY(),"OVERDUE",IF($BD492-TODAY()&lt;=7,"Due within 7 days","Scheduled"))))</f>
        <v>Closed</v>
      </c>
      <c r="BG492" s="14" t="n">
        <f aca="true">IF($K492="","",TODAY()-$K492)</f>
        <v>56</v>
      </c>
      <c r="BH492" s="15" t="str">
        <f aca="false">IFERROR(LEFT(IF($B492="","Notes, ","")&amp;IF($K492="","Latest Date Worked, ","")&amp;IF($AY492="","Last Action, ","")&amp;IF(AND(OR(TRIM($A492)="Denied",TRIM($A492)="Rejected"),$BA492=""),"Denial Reason, ","")&amp;IF(AND(TRIM($A492)="Denied",$BB492="",TRIM($BA492)&lt;&gt;"NO DENIAL"),"Denial Code, ","")&amp;IF(AND(TRIM($A492)&lt;&gt;"Finalized",$BD492=""),"Next Review Date, ","")&amp;IF(AND(TRIM($A492)&lt;&gt;"Finalized",$BE492=""),"Next Step, ","")&amp;IF(AND(TRIM($A492)="Finalized",$AV492="",$AR492="",$AT492="",$AX492="",$AW492=""),"CPT outcome, ",""),LEN(IF($B492="","Notes, ","")&amp;IF($K492="","Latest Date Worked, ","")&amp;IF($AY492="","Last Action, ","")&amp;IF(AND(OR(TRIM($A492)="Denied",TRIM($A492)="Rejected"),$BA492=""),"Denial Reason, ","")&amp;IF(AND(TRIM($A492)="Denied",$BB492="",TRIM($BA492)&lt;&gt;"NO DENIAL"),"Denial Code, ","")&amp;IF(AND(TRIM($A492)&lt;&gt;"Finalized",$BD492=""),"Next Review Date, ","")&amp;IF(AND(TRIM($A492)&lt;&gt;"Finalized",$BE492=""),"Next Step, ","")&amp;IF(AND(TRIM($A492)="Finalized",$AV492="",$AR492="",$AT492="",$AX492="",$AW492=""),"CPT outcome, ",""))-2),"")</f>
        <v/>
      </c>
      <c r="BI492" s="15" t="str">
        <f aca="false">IF($BB492="","",IFERROR(INDEX('Denial Codes'!$C:$C,MATCH(LEFT($BB492,FIND(" - ",$BB492&amp;" - ")+2)&amp;"*",'Denial Codes'!$A:$A,0)),""))</f>
        <v>No authorization</v>
      </c>
      <c r="BJ492" s="15" t="str">
        <f aca="false">IF($BA492="","",IFERROR(INDEX(Lists!$B:$B,MATCH(TRIM($BA492),Lists!$A:$A,0))&amp;"",""))</f>
        <v>Check the portal for an auth; request a retro-auth or file an appeal with the auth number, then resubmit.</v>
      </c>
    </row>
    <row r="493" customFormat="false" ht="15" hidden="false" customHeight="false" outlineLevel="0" collapsed="false">
      <c r="A493" s="7" t="s">
        <v>16</v>
      </c>
      <c r="B493" s="7" t="s">
        <v>1823</v>
      </c>
      <c r="C493" s="8" t="n">
        <v>561864733</v>
      </c>
      <c r="D493" s="9" t="n">
        <v>46268</v>
      </c>
      <c r="E493" s="10" t="s">
        <v>1822</v>
      </c>
      <c r="F493" s="11" t="n">
        <v>46171</v>
      </c>
      <c r="G493" s="10" t="s">
        <v>112</v>
      </c>
      <c r="H493" s="10" t="s">
        <v>112</v>
      </c>
      <c r="I493" s="10" t="s">
        <v>271</v>
      </c>
      <c r="J493" s="10" t="s">
        <v>261</v>
      </c>
      <c r="K493" s="9" t="n">
        <v>46276</v>
      </c>
      <c r="L493" s="12" t="str">
        <f aca="true">IF($O493="","",$O493-TODAY())</f>
        <v/>
      </c>
      <c r="M493" s="12" t="str">
        <f aca="true">IF(AND(TRIM($A493)="Finalized",$K493&lt;&gt;""),"",IF($D493="","",$D493+365-TODAY()))</f>
        <v/>
      </c>
      <c r="N493" s="12" t="str">
        <f aca="true">IF(AND(TRIM($A493)="Finalized",$K493&lt;&gt;""),"",IF($D493="","",$D493+120-TODAY()))</f>
        <v/>
      </c>
      <c r="O493" s="11" t="str">
        <f aca="false">IF(AND(TRIM($A493)="Finalized",$K493&lt;&gt;""),"",DATE(2027,5,29))</f>
        <v/>
      </c>
      <c r="P493" s="10" t="s">
        <v>114</v>
      </c>
      <c r="Q493" s="10" t="s">
        <v>115</v>
      </c>
      <c r="R493" s="10" t="s">
        <v>114</v>
      </c>
      <c r="S493" s="10" t="s">
        <v>116</v>
      </c>
      <c r="T493" s="10" t="s">
        <v>117</v>
      </c>
      <c r="U493" s="10" t="s">
        <v>116</v>
      </c>
      <c r="V493" s="10" t="s">
        <v>266</v>
      </c>
      <c r="W493" s="10" t="s">
        <v>119</v>
      </c>
      <c r="X493" s="10" t="s">
        <v>120</v>
      </c>
      <c r="Y493" s="10"/>
      <c r="Z493" s="10"/>
      <c r="AA493" s="10" t="s">
        <v>230</v>
      </c>
      <c r="AB493" s="8" t="n">
        <f aca="true">IF($F493="","",TODAY()-$F493)</f>
        <v>140</v>
      </c>
      <c r="AC493" s="10" t="s">
        <v>122</v>
      </c>
      <c r="AD493" s="10"/>
      <c r="AE493" s="10"/>
      <c r="AF493" s="10"/>
      <c r="AG493" s="10"/>
      <c r="AH493" s="10"/>
      <c r="AI493" s="10"/>
      <c r="AJ493" s="10" t="s">
        <v>123</v>
      </c>
      <c r="AK493" s="10" t="s">
        <v>124</v>
      </c>
      <c r="AL493" s="10" t="s">
        <v>138</v>
      </c>
      <c r="AM493" s="10" t="s">
        <v>1824</v>
      </c>
      <c r="AN493" s="8"/>
      <c r="AO493" s="10" t="s">
        <v>231</v>
      </c>
      <c r="AP493" s="10" t="s">
        <v>232</v>
      </c>
      <c r="AQ493" s="11" t="n">
        <v>46183</v>
      </c>
      <c r="AR493" s="13"/>
      <c r="AS493" s="13"/>
      <c r="AT493" s="13"/>
      <c r="AU493" s="13"/>
      <c r="AV493" s="13" t="s">
        <v>122</v>
      </c>
      <c r="AW493" s="13"/>
      <c r="AX493" s="13" t="s">
        <v>122</v>
      </c>
      <c r="AY493" s="7" t="s">
        <v>363</v>
      </c>
      <c r="AZ493" s="7" t="s">
        <v>159</v>
      </c>
      <c r="BA493" s="7" t="s">
        <v>48</v>
      </c>
      <c r="BB493" s="7"/>
      <c r="BC493" s="7"/>
      <c r="BD493" s="9"/>
      <c r="BE493" s="7"/>
      <c r="BF493" s="14" t="str">
        <f aca="true">IF(TRIM($A493)="Finalized","Closed",IF($BD493="","No review date set",IF($BD493&lt;TODAY(),"OVERDUE",IF($BD493-TODAY()&lt;=7,"Due within 7 days","Scheduled"))))</f>
        <v>Closed</v>
      </c>
      <c r="BG493" s="14" t="n">
        <f aca="true">IF($K493="","",TODAY()-$K493)</f>
        <v>35</v>
      </c>
      <c r="BH493" s="15" t="str">
        <f aca="false">IFERROR(LEFT(IF($B493="","Notes, ","")&amp;IF($K493="","Latest Date Worked, ","")&amp;IF($AY493="","Last Action, ","")&amp;IF(AND(OR(TRIM($A493)="Denied",TRIM($A493)="Rejected"),$BA493=""),"Denial Reason, ","")&amp;IF(AND(TRIM($A493)="Denied",$BB493="",TRIM($BA493)&lt;&gt;"NO DENIAL"),"Denial Code, ","")&amp;IF(AND(TRIM($A493)&lt;&gt;"Finalized",$BD493=""),"Next Review Date, ","")&amp;IF(AND(TRIM($A493)&lt;&gt;"Finalized",$BE493=""),"Next Step, ","")&amp;IF(AND(TRIM($A493)="Finalized",$AV493="",$AR493="",$AT493="",$AX493="",$AW493=""),"CPT outcome, ",""),LEN(IF($B493="","Notes, ","")&amp;IF($K493="","Latest Date Worked, ","")&amp;IF($AY493="","Last Action, ","")&amp;IF(AND(OR(TRIM($A493)="Denied",TRIM($A493)="Rejected"),$BA493=""),"Denial Reason, ","")&amp;IF(AND(TRIM($A493)="Denied",$BB493="",TRIM($BA493)&lt;&gt;"NO DENIAL"),"Denial Code, ","")&amp;IF(AND(TRIM($A493)&lt;&gt;"Finalized",$BD493=""),"Next Review Date, ","")&amp;IF(AND(TRIM($A493)&lt;&gt;"Finalized",$BE493=""),"Next Step, ","")&amp;IF(AND(TRIM($A493)="Finalized",$AV493="",$AR493="",$AT493="",$AX493="",$AW493=""),"CPT outcome, ",""))-2),"")</f>
        <v/>
      </c>
      <c r="BI493" s="15" t="str">
        <f aca="false">IF($BB493="","",IFERROR(INDEX('Denial Codes'!$C:$C,MATCH(LEFT($BB493,FIND(" - ",$BB493&amp;" - ")+2)&amp;"*",'Denial Codes'!$A:$A,0)),""))</f>
        <v/>
      </c>
      <c r="BJ493" s="15" t="str">
        <f aca="false">IF($BA493="","",IFERROR(INDEX(Lists!$B:$B,MATCH(TRIM($BA493),Lists!$A:$A,0))&amp;"",""))</f>
        <v>Get a valid referral or correct the referring provider, then resubmit.</v>
      </c>
    </row>
    <row r="494" customFormat="false" ht="15" hidden="false" customHeight="false" outlineLevel="0" collapsed="false">
      <c r="A494" s="7" t="s">
        <v>16</v>
      </c>
      <c r="B494" s="7" t="s">
        <v>1825</v>
      </c>
      <c r="C494" s="8" t="n">
        <v>567670697</v>
      </c>
      <c r="D494" s="9" t="n">
        <v>46253</v>
      </c>
      <c r="E494" s="10" t="s">
        <v>1826</v>
      </c>
      <c r="F494" s="11" t="n">
        <v>46170</v>
      </c>
      <c r="G494" s="10" t="s">
        <v>1827</v>
      </c>
      <c r="H494" s="10" t="s">
        <v>1827</v>
      </c>
      <c r="I494" s="10" t="s">
        <v>129</v>
      </c>
      <c r="J494" s="10" t="s">
        <v>400</v>
      </c>
      <c r="K494" s="9" t="n">
        <v>46262</v>
      </c>
      <c r="L494" s="12" t="str">
        <f aca="true">IF($O494="","",$O494-TODAY())</f>
        <v/>
      </c>
      <c r="M494" s="12"/>
      <c r="N494" s="12"/>
      <c r="O494" s="11"/>
      <c r="P494" s="10"/>
      <c r="Q494" s="10" t="s">
        <v>131</v>
      </c>
      <c r="R494" s="10"/>
      <c r="S494" s="10"/>
      <c r="T494" s="10"/>
      <c r="U494" s="10"/>
      <c r="V494" s="10" t="s">
        <v>266</v>
      </c>
      <c r="W494" s="10" t="s">
        <v>183</v>
      </c>
      <c r="X494" s="10"/>
      <c r="Y494" s="10"/>
      <c r="Z494" s="10"/>
      <c r="AA494" s="10" t="s">
        <v>197</v>
      </c>
      <c r="AB494" s="8" t="n">
        <f aca="true">IF($F494="","",TODAY()-$F494)</f>
        <v>141</v>
      </c>
      <c r="AC494" s="10" t="s">
        <v>185</v>
      </c>
      <c r="AD494" s="10" t="s">
        <v>184</v>
      </c>
      <c r="AE494" s="10"/>
      <c r="AF494" s="10"/>
      <c r="AG494" s="10"/>
      <c r="AH494" s="10"/>
      <c r="AI494" s="10"/>
      <c r="AJ494" s="10" t="s">
        <v>340</v>
      </c>
      <c r="AK494" s="10"/>
      <c r="AL494" s="10"/>
      <c r="AM494" s="10"/>
      <c r="AN494" s="8"/>
      <c r="AO494" s="10" t="s">
        <v>341</v>
      </c>
      <c r="AP494" s="10" t="s">
        <v>188</v>
      </c>
      <c r="AQ494" s="11" t="n">
        <v>46180</v>
      </c>
      <c r="AR494" s="13"/>
      <c r="AS494" s="13"/>
      <c r="AT494" s="13"/>
      <c r="AU494" s="13"/>
      <c r="AV494" s="13" t="s">
        <v>189</v>
      </c>
      <c r="AW494" s="13"/>
      <c r="AX494" s="13" t="s">
        <v>189</v>
      </c>
      <c r="AY494" s="7" t="s">
        <v>363</v>
      </c>
      <c r="AZ494" s="7" t="s">
        <v>159</v>
      </c>
      <c r="BA494" s="7"/>
      <c r="BB494" s="7"/>
      <c r="BC494" s="7"/>
      <c r="BD494" s="9"/>
      <c r="BE494" s="7"/>
      <c r="BF494" s="14" t="str">
        <f aca="true">IF(TRIM($A494)="Finalized","Closed",IF($BD494="","No review date set",IF($BD494&lt;TODAY(),"OVERDUE",IF($BD494-TODAY()&lt;=7,"Due within 7 days","Scheduled"))))</f>
        <v>Closed</v>
      </c>
      <c r="BG494" s="14" t="n">
        <f aca="true">IF($K494="","",TODAY()-$K494)</f>
        <v>49</v>
      </c>
      <c r="BH494" s="15" t="str">
        <f aca="false">IFERROR(LEFT(IF($B494="","Notes, ","")&amp;IF($K494="","Latest Date Worked, ","")&amp;IF($AY494="","Last Action, ","")&amp;IF(AND(OR(TRIM($A494)="Denied",TRIM($A494)="Rejected"),$BA494=""),"Denial Reason, ","")&amp;IF(AND(TRIM($A494)="Denied",$BB494="",TRIM($BA494)&lt;&gt;"NO DENIAL"),"Denial Code, ","")&amp;IF(AND(TRIM($A494)&lt;&gt;"Finalized",$BD494=""),"Next Review Date, ","")&amp;IF(AND(TRIM($A494)&lt;&gt;"Finalized",$BE494=""),"Next Step, ","")&amp;IF(AND(TRIM($A494)="Finalized",$AV494="",$AR494="",$AT494="",$AX494="",$AW494=""),"CPT outcome, ",""),LEN(IF($B494="","Notes, ","")&amp;IF($K494="","Latest Date Worked, ","")&amp;IF($AY494="","Last Action, ","")&amp;IF(AND(OR(TRIM($A494)="Denied",TRIM($A494)="Rejected"),$BA494=""),"Denial Reason, ","")&amp;IF(AND(TRIM($A494)="Denied",$BB494="",TRIM($BA494)&lt;&gt;"NO DENIAL"),"Denial Code, ","")&amp;IF(AND(TRIM($A494)&lt;&gt;"Finalized",$BD494=""),"Next Review Date, ","")&amp;IF(AND(TRIM($A494)&lt;&gt;"Finalized",$BE494=""),"Next Step, ","")&amp;IF(AND(TRIM($A494)="Finalized",$AV494="",$AR494="",$AT494="",$AX494="",$AW494=""),"CPT outcome, ",""))-2),"")</f>
        <v/>
      </c>
      <c r="BI494" s="15" t="str">
        <f aca="false">IF($BB494="","",IFERROR(INDEX('Denial Codes'!$C:$C,MATCH(LEFT($BB494,FIND(" - ",$BB494&amp;" - ")+2)&amp;"*",'Denial Codes'!$A:$A,0)),""))</f>
        <v/>
      </c>
      <c r="BJ494" s="15" t="str">
        <f aca="false">IF($BA494="","",IFERROR(INDEX(Lists!$B:$B,MATCH(TRIM($BA494),Lists!$A:$A,0))&amp;"",""))</f>
        <v/>
      </c>
    </row>
  </sheetData>
  <autoFilter ref="A1:BJ494"/>
  <conditionalFormatting sqref="L2:O1000">
    <cfRule type="expression" priority="2" aboveAverage="0" equalAverage="0" bottom="0" percent="0" rank="0" text="" dxfId="26">
      <formula>AND(TRIM($A2)="Finalized",$K2&lt;&gt;"")</formula>
    </cfRule>
  </conditionalFormatting>
  <conditionalFormatting sqref="L2:L494 O2:O494">
    <cfRule type="expression" priority="3" aboveAverage="0" equalAverage="0" bottom="0" percent="0" rank="0" text="" dxfId="27">
      <formula>AND($L2&lt;&gt;"", $L2&gt;=0, $L2&lt;=5)</formula>
    </cfRule>
    <cfRule type="expression" priority="4" aboveAverage="0" equalAverage="0" bottom="0" percent="0" rank="0" text="" dxfId="28">
      <formula>AND($L2&lt;&gt;"", $L2&gt;5, $L2&lt;=30)</formula>
    </cfRule>
    <cfRule type="expression" priority="5" aboveAverage="0" equalAverage="0" bottom="0" percent="0" rank="0" text="" dxfId="29">
      <formula>AND($L2&lt;&gt;"", $L2&gt;30)</formula>
    </cfRule>
    <cfRule type="expression" priority="6" aboveAverage="0" equalAverage="0" bottom="0" percent="0" rank="0" text="" dxfId="30">
      <formula>AND($L2&lt;&gt;"", $L2&lt;0)</formula>
    </cfRule>
    <cfRule type="expression" priority="7" aboveAverage="0" equalAverage="0" bottom="0" percent="0" rank="0" text="" dxfId="31">
      <formula>$L2=""</formula>
    </cfRule>
  </conditionalFormatting>
  <conditionalFormatting sqref="M2:M494">
    <cfRule type="expression" priority="8" aboveAverage="0" equalAverage="0" bottom="0" percent="0" rank="0" text="" dxfId="27">
      <formula>AND($M2&lt;&gt;"", $M2&gt;=0, $M2&lt;=5)</formula>
    </cfRule>
    <cfRule type="expression" priority="9" aboveAverage="0" equalAverage="0" bottom="0" percent="0" rank="0" text="" dxfId="28">
      <formula>AND($M2&lt;&gt;"", $M2&gt;5, $M2&lt;=30)</formula>
    </cfRule>
    <cfRule type="expression" priority="10" aboveAverage="0" equalAverage="0" bottom="0" percent="0" rank="0" text="" dxfId="29">
      <formula>AND($M2&lt;&gt;"", $M2&gt;30)</formula>
    </cfRule>
    <cfRule type="expression" priority="11" aboveAverage="0" equalAverage="0" bottom="0" percent="0" rank="0" text="" dxfId="30">
      <formula>AND($M2&lt;&gt;"", $M2&lt;0)</formula>
    </cfRule>
    <cfRule type="expression" priority="12" aboveAverage="0" equalAverage="0" bottom="0" percent="0" rank="0" text="" dxfId="31">
      <formula>$M2=""</formula>
    </cfRule>
  </conditionalFormatting>
  <conditionalFormatting sqref="N2:N494">
    <cfRule type="expression" priority="13" aboveAverage="0" equalAverage="0" bottom="0" percent="0" rank="0" text="" dxfId="27">
      <formula>AND($N2&lt;&gt;"", $N2&gt;=0, $N2&lt;=5)</formula>
    </cfRule>
    <cfRule type="expression" priority="14" aboveAverage="0" equalAverage="0" bottom="0" percent="0" rank="0" text="" dxfId="28">
      <formula>AND($N2&lt;&gt;"", $N2&gt;5, $N2&lt;=30)</formula>
    </cfRule>
    <cfRule type="expression" priority="15" aboveAverage="0" equalAverage="0" bottom="0" percent="0" rank="0" text="" dxfId="29">
      <formula>AND($N2&lt;&gt;"", $N2&gt;30)</formula>
    </cfRule>
    <cfRule type="expression" priority="16" aboveAverage="0" equalAverage="0" bottom="0" percent="0" rank="0" text="" dxfId="30">
      <formula>AND($N2&lt;&gt;"", $N2&lt;0)</formula>
    </cfRule>
    <cfRule type="expression" priority="17" aboveAverage="0" equalAverage="0" bottom="0" percent="0" rank="0" text="" dxfId="31">
      <formula>$N2=""</formula>
    </cfRule>
  </conditionalFormatting>
  <conditionalFormatting sqref="A2:BE1000">
    <cfRule type="expression" priority="18" aboveAverage="0" equalAverage="0" bottom="0" percent="0" rank="0" text="" dxfId="32">
      <formula>TRIM($A2)="PAID"</formula>
    </cfRule>
    <cfRule type="expression" priority="19" aboveAverage="0" equalAverage="0" bottom="0" percent="0" rank="0" text="" dxfId="26">
      <formula>TRIM($A2)="Finalized"</formula>
    </cfRule>
    <cfRule type="expression" priority="20" aboveAverage="0" equalAverage="0" bottom="0" percent="0" rank="0" text="" dxfId="33">
      <formula>TRIM($A2)="Received"</formula>
    </cfRule>
    <cfRule type="expression" priority="21" aboveAverage="0" equalAverage="0" bottom="0" percent="0" rank="0" text="" dxfId="34">
      <formula>TRIM($A2)="Pending"</formula>
    </cfRule>
    <cfRule type="expression" priority="22" aboveAverage="0" equalAverage="0" bottom="0" percent="0" rank="0" text="" dxfId="35">
      <formula>TRIM($A2)="Under Review"</formula>
    </cfRule>
    <cfRule type="expression" priority="23" aboveAverage="0" equalAverage="0" bottom="0" percent="0" rank="0" text="" dxfId="36">
      <formula>AND(TRIM($A2)="Denied",$K2="")</formula>
    </cfRule>
    <cfRule type="expression" priority="24" aboveAverage="0" equalAverage="0" bottom="0" percent="0" rank="0" text="" dxfId="37">
      <formula>TRIM($A2)="Rejected"</formula>
    </cfRule>
    <cfRule type="expression" priority="25" aboveAverage="0" equalAverage="0" bottom="0" percent="0" rank="0" text="" dxfId="38">
      <formula>TRIM($A2)="Not found"</formula>
    </cfRule>
    <cfRule type="expression" priority="26" aboveAverage="0" equalAverage="0" bottom="0" percent="0" rank="0" text="" dxfId="39">
      <formula>AND(TRIM($A2)="Denied",$K2&lt;&gt;"")</formula>
    </cfRule>
  </conditionalFormatting>
  <conditionalFormatting sqref="BF2:BF2000">
    <cfRule type="expression" priority="27" aboveAverage="0" equalAverage="0" bottom="0" percent="0" rank="0" text="" dxfId="40">
      <formula>BF2="OVERDUE"</formula>
    </cfRule>
    <cfRule type="expression" priority="28" aboveAverage="0" equalAverage="0" bottom="0" percent="0" rank="0" text="" dxfId="41">
      <formula>BF2="No review date set"</formula>
    </cfRule>
  </conditionalFormatting>
  <conditionalFormatting sqref="BH2:BH2000">
    <cfRule type="expression" priority="29" aboveAverage="0" equalAverage="0" bottom="0" percent="0" rank="0" text="" dxfId="41">
      <formula>BH2&lt;&gt;""</formula>
    </cfRule>
  </conditionalFormatting>
  <dataValidations count="8">
    <dataValidation allowBlank="true" error="This value is not on the list. Click Yes to keep it anyway." errorStyle="warning" errorTitle="Not on the list" operator="between" prompt="Pick a status" promptTitle="Claim Status" showDropDown="false" showErrorMessage="true" showInputMessage="true" sqref="A2:A1494" type="list">
      <formula1>Lists!$E$2:$E$20</formula1>
      <formula2>0</formula2>
    </dataValidation>
    <dataValidation allowBlank="true" error="This value is not on the list. Click Yes to keep it anyway." errorStyle="warning" errorTitle="Not on the list" operator="between" prompt="Pick the last action taken" promptTitle="Last Action" showDropDown="false" showErrorMessage="true" showInputMessage="true" sqref="AY2:AY1494" type="list">
      <formula1>Lists!$C$2:$C$30</formula1>
      <formula2>0</formula2>
    </dataValidation>
    <dataValidation allowBlank="true" error="This value is not on the list. Click Yes to keep it anyway." errorStyle="warning" errorTitle="Not on the list" operator="between" prompt="Pick the root cause (see Suggested Denial Reason column)" promptTitle="Denial Reason" showDropDown="false" showErrorMessage="true" showInputMessage="true" sqref="BA2:BA1494" type="list">
      <formula1>Lists!$A$2:$A$30</formula1>
      <formula2>0</formula2>
    </dataValidation>
    <dataValidation allowBlank="true" error="This value is not on the list. Click Yes to keep it anyway." errorStyle="warning" errorTitle="Not on the list" operator="between" prompt="Pick a code or type several separated by ;" promptTitle="Denial Code" showDropDown="false" showErrorMessage="true" showInputMessage="true" sqref="BB2:BB1494" type="list">
      <formula1>'Denial Codes'!$A$2:$A$172</formula1>
      <formula2>0</formula2>
    </dataValidation>
    <dataValidation allowBlank="true" error="This value is not on the list. Click Yes to keep it anyway." errorStyle="warning" errorTitle="Not on the list" operator="between" prompt="Pick a code" promptTitle="Adjustment Code" showDropDown="false" showErrorMessage="true" showInputMessage="true" sqref="AS2:AS1494" type="list">
      <formula1>'Denial Codes'!$A$2:$A$172</formula1>
      <formula2>0</formula2>
    </dataValidation>
    <dataValidation allowBlank="true" error="This value is not on the list. Click Yes to keep it anyway." errorStyle="warning" errorTitle="Not on the list" operator="between" prompt="Pick a code" promptTitle="Adjustment Code (payable)" showDropDown="false" showErrorMessage="true" showInputMessage="true" sqref="AU2:AU1494" type="list">
      <formula1>'Denial Codes'!$A$2:$A$172</formula1>
      <formula2>0</formula2>
    </dataValidation>
    <dataValidation allowBlank="true" error="Enter a date like 10/16/2026" errorStyle="warning" operator="greaterThan" showDropDown="false" showErrorMessage="true" showInputMessage="false" sqref="K2:K1494" type="date">
      <formula1>DATE(2025,1,1)</formula1>
      <formula2>0</formula2>
    </dataValidation>
    <dataValidation allowBlank="true" error="Enter a date like 10/16/2026" errorStyle="warning" operator="greaterThan" showDropDown="false" showErrorMessage="true" showInputMessage="false" sqref="BD2:BD1494" type="date">
      <formula1>DATE(2025,1,1)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06" activeCellId="0" sqref="A106"/>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2" min="2" style="0" width="14"/>
    <col collapsed="false" customWidth="true" hidden="false" outlineLevel="0" max="3" min="3" style="0" width="30"/>
    <col collapsed="false" customWidth="true" hidden="false" outlineLevel="0" max="4" min="4" style="0" width="95"/>
    <col collapsed="false" customWidth="true" hidden="false" outlineLevel="0" max="5" min="5" style="0" width="14"/>
    <col collapsed="false" customWidth="true" hidden="false" outlineLevel="0" max="6" min="6" style="0" width="16"/>
  </cols>
  <sheetData>
    <row r="1" customFormat="false" ht="15" hidden="false" customHeight="false" outlineLevel="0" collapsed="false">
      <c r="A1" s="16" t="s">
        <v>1828</v>
      </c>
      <c r="B1" s="16" t="s">
        <v>1829</v>
      </c>
      <c r="C1" s="16" t="s">
        <v>28</v>
      </c>
      <c r="D1" s="16" t="s">
        <v>1830</v>
      </c>
      <c r="E1" s="16" t="s">
        <v>1831</v>
      </c>
      <c r="F1" s="16" t="s">
        <v>1832</v>
      </c>
    </row>
    <row r="2" customFormat="false" ht="15" hidden="false" customHeight="false" outlineLevel="0" collapsed="false">
      <c r="A2" s="0" t="s">
        <v>1833</v>
      </c>
      <c r="B2" s="0" t="s">
        <v>1834</v>
      </c>
      <c r="C2" s="0" t="s">
        <v>41</v>
      </c>
      <c r="D2" s="0" t="s">
        <v>1835</v>
      </c>
      <c r="F2" s="0" t="n">
        <f aca="false">COUNTIF('All Claims - Draft'!$BB:$BB,"*"&amp;LEFT($A2,FIND(" - ",$A2&amp;" - ")-1)&amp;" - *")</f>
        <v>0</v>
      </c>
    </row>
    <row r="3" customFormat="false" ht="15" hidden="false" customHeight="false" outlineLevel="0" collapsed="false">
      <c r="A3" s="0" t="s">
        <v>1836</v>
      </c>
      <c r="B3" s="0" t="s">
        <v>1834</v>
      </c>
      <c r="C3" s="0" t="s">
        <v>41</v>
      </c>
      <c r="D3" s="0" t="s">
        <v>1835</v>
      </c>
      <c r="F3" s="0" t="n">
        <f aca="false">COUNTIF('All Claims - Draft'!$BB:$BB,"*"&amp;LEFT($A3,FIND(" - ",$A3&amp;" - ")-1)&amp;" - *")</f>
        <v>0</v>
      </c>
    </row>
    <row r="4" customFormat="false" ht="15" hidden="false" customHeight="false" outlineLevel="0" collapsed="false">
      <c r="A4" s="0" t="s">
        <v>1645</v>
      </c>
      <c r="B4" s="0" t="s">
        <v>1834</v>
      </c>
      <c r="C4" s="0" t="s">
        <v>41</v>
      </c>
      <c r="D4" s="0" t="s">
        <v>1835</v>
      </c>
      <c r="E4" s="0" t="n">
        <v>1</v>
      </c>
      <c r="F4" s="0" t="n">
        <f aca="false">COUNTIF('All Claims - Draft'!$BB:$BB,"*"&amp;LEFT($A4,FIND(" - ",$A4&amp;" - ")-1)&amp;" - *")</f>
        <v>1</v>
      </c>
    </row>
    <row r="5" customFormat="false" ht="15" hidden="false" customHeight="false" outlineLevel="0" collapsed="false">
      <c r="A5" s="0" t="s">
        <v>320</v>
      </c>
      <c r="B5" s="0" t="s">
        <v>1834</v>
      </c>
      <c r="C5" s="0" t="s">
        <v>38</v>
      </c>
      <c r="D5" s="0" t="s">
        <v>1837</v>
      </c>
      <c r="E5" s="0" t="n">
        <v>1</v>
      </c>
      <c r="F5" s="0" t="n">
        <f aca="false">COUNTIF('All Claims - Draft'!$BB:$BB,"*"&amp;LEFT($A5,FIND(" - ",$A5&amp;" - ")-1)&amp;" - *")</f>
        <v>6</v>
      </c>
    </row>
    <row r="6" customFormat="false" ht="15" hidden="false" customHeight="false" outlineLevel="0" collapsed="false">
      <c r="A6" s="0" t="s">
        <v>500</v>
      </c>
      <c r="B6" s="0" t="s">
        <v>1834</v>
      </c>
      <c r="C6" s="0" t="s">
        <v>50</v>
      </c>
      <c r="D6" s="0" t="s">
        <v>1838</v>
      </c>
      <c r="F6" s="0" t="n">
        <f aca="false">COUNTIF('All Claims - Draft'!$BB:$BB,"*"&amp;LEFT($A6,FIND(" - ",$A6&amp;" - ")-1)&amp;" - *")</f>
        <v>1</v>
      </c>
    </row>
    <row r="7" customFormat="false" ht="15" hidden="false" customHeight="false" outlineLevel="0" collapsed="false">
      <c r="A7" s="0" t="s">
        <v>1839</v>
      </c>
      <c r="B7" s="0" t="s">
        <v>1834</v>
      </c>
      <c r="C7" s="0" t="s">
        <v>40</v>
      </c>
      <c r="D7" s="0" t="s">
        <v>1840</v>
      </c>
      <c r="F7" s="0" t="n">
        <f aca="false">COUNTIF('All Claims - Draft'!$BB:$BB,"*"&amp;LEFT($A7,FIND(" - ",$A7&amp;" - ")-1)&amp;" - *")</f>
        <v>0</v>
      </c>
    </row>
    <row r="8" customFormat="false" ht="15" hidden="false" customHeight="false" outlineLevel="0" collapsed="false">
      <c r="A8" s="0" t="s">
        <v>1841</v>
      </c>
      <c r="B8" s="0" t="s">
        <v>1834</v>
      </c>
      <c r="C8" s="0" t="s">
        <v>40</v>
      </c>
      <c r="D8" s="0" t="s">
        <v>1840</v>
      </c>
      <c r="F8" s="0" t="n">
        <f aca="false">COUNTIF('All Claims - Draft'!$BB:$BB,"*"&amp;LEFT($A8,FIND(" - ",$A8&amp;" - ")-1)&amp;" - *")</f>
        <v>0</v>
      </c>
    </row>
    <row r="9" customFormat="false" ht="15" hidden="false" customHeight="false" outlineLevel="0" collapsed="false">
      <c r="A9" s="0" t="s">
        <v>1842</v>
      </c>
      <c r="B9" s="0" t="s">
        <v>1834</v>
      </c>
      <c r="C9" s="0" t="s">
        <v>39</v>
      </c>
      <c r="D9" s="0" t="s">
        <v>1843</v>
      </c>
      <c r="F9" s="0" t="n">
        <f aca="false">COUNTIF('All Claims - Draft'!$BB:$BB,"*"&amp;LEFT($A9,FIND(" - ",$A9&amp;" - ")-1)&amp;" - *")</f>
        <v>0</v>
      </c>
    </row>
    <row r="10" customFormat="false" ht="15" hidden="false" customHeight="false" outlineLevel="0" collapsed="false">
      <c r="A10" s="0" t="s">
        <v>1844</v>
      </c>
      <c r="B10" s="0" t="s">
        <v>1834</v>
      </c>
      <c r="C10" s="0" t="s">
        <v>34</v>
      </c>
      <c r="D10" s="0" t="s">
        <v>1845</v>
      </c>
      <c r="F10" s="0" t="n">
        <f aca="false">COUNTIF('All Claims - Draft'!$BB:$BB,"*"&amp;LEFT($A10,FIND(" - ",$A10&amp;" - ")-1)&amp;" - *")</f>
        <v>0</v>
      </c>
    </row>
    <row r="11" customFormat="false" ht="15" hidden="false" customHeight="false" outlineLevel="0" collapsed="false">
      <c r="A11" s="0" t="s">
        <v>1846</v>
      </c>
      <c r="B11" s="0" t="s">
        <v>1834</v>
      </c>
      <c r="C11" s="0" t="s">
        <v>40</v>
      </c>
      <c r="D11" s="0" t="s">
        <v>1840</v>
      </c>
      <c r="F11" s="0" t="n">
        <f aca="false">COUNTIF('All Claims - Draft'!$BB:$BB,"*"&amp;LEFT($A11,FIND(" - ",$A11&amp;" - ")-1)&amp;" - *")</f>
        <v>0</v>
      </c>
    </row>
    <row r="12" customFormat="false" ht="15" hidden="false" customHeight="false" outlineLevel="0" collapsed="false">
      <c r="A12" s="0" t="s">
        <v>160</v>
      </c>
      <c r="B12" s="0" t="s">
        <v>1834</v>
      </c>
      <c r="C12" s="0" t="s">
        <v>52</v>
      </c>
      <c r="D12" s="0" t="s">
        <v>1847</v>
      </c>
      <c r="F12" s="0" t="n">
        <f aca="false">COUNTIF('All Claims - Draft'!$BB:$BB,"*"&amp;LEFT($A12,FIND(" - ",$A12&amp;" - ")-1)&amp;" - *")</f>
        <v>2</v>
      </c>
    </row>
    <row r="13" customFormat="false" ht="15" hidden="false" customHeight="false" outlineLevel="0" collapsed="false">
      <c r="A13" s="0" t="s">
        <v>1848</v>
      </c>
      <c r="B13" s="0" t="s">
        <v>1834</v>
      </c>
      <c r="C13" s="0" t="s">
        <v>51</v>
      </c>
      <c r="D13" s="0" t="s">
        <v>1849</v>
      </c>
      <c r="F13" s="0" t="n">
        <f aca="false">COUNTIF('All Claims - Draft'!$BB:$BB,"*"&amp;LEFT($A13,FIND(" - ",$A13&amp;" - ")-1)&amp;" - *")</f>
        <v>0</v>
      </c>
    </row>
    <row r="14" customFormat="false" ht="15" hidden="false" customHeight="false" outlineLevel="0" collapsed="false">
      <c r="A14" s="0" t="s">
        <v>190</v>
      </c>
      <c r="B14" s="0" t="s">
        <v>1834</v>
      </c>
      <c r="C14" s="0" t="s">
        <v>45</v>
      </c>
      <c r="D14" s="0" t="s">
        <v>1850</v>
      </c>
      <c r="E14" s="0" t="n">
        <v>1</v>
      </c>
      <c r="F14" s="0" t="n">
        <f aca="false">COUNTIF('All Claims - Draft'!$BB:$BB,"*"&amp;LEFT($A14,FIND(" - ",$A14&amp;" - ")-1)&amp;" - *")</f>
        <v>2</v>
      </c>
    </row>
    <row r="15" customFormat="false" ht="15" hidden="false" customHeight="false" outlineLevel="0" collapsed="false">
      <c r="A15" s="0" t="s">
        <v>1851</v>
      </c>
      <c r="B15" s="0" t="s">
        <v>1834</v>
      </c>
      <c r="C15" s="0" t="s">
        <v>45</v>
      </c>
      <c r="D15" s="0" t="s">
        <v>1850</v>
      </c>
      <c r="F15" s="0" t="n">
        <f aca="false">COUNTIF('All Claims - Draft'!$BB:$BB,"*"&amp;LEFT($A15,FIND(" - ",$A15&amp;" - ")-1)&amp;" - *")</f>
        <v>0</v>
      </c>
    </row>
    <row r="16" customFormat="false" ht="15" hidden="false" customHeight="false" outlineLevel="0" collapsed="false">
      <c r="A16" s="0" t="s">
        <v>1160</v>
      </c>
      <c r="B16" s="0" t="s">
        <v>1834</v>
      </c>
      <c r="C16" s="0" t="s">
        <v>44</v>
      </c>
      <c r="D16" s="0" t="s">
        <v>1852</v>
      </c>
      <c r="E16" s="0" t="n">
        <v>1</v>
      </c>
      <c r="F16" s="0" t="n">
        <f aca="false">COUNTIF('All Claims - Draft'!$BB:$BB,"*"&amp;LEFT($A16,FIND(" - ",$A16&amp;" - ")-1)&amp;" - *")</f>
        <v>2</v>
      </c>
    </row>
    <row r="17" customFormat="false" ht="15" hidden="false" customHeight="false" outlineLevel="0" collapsed="false">
      <c r="A17" s="0" t="s">
        <v>1853</v>
      </c>
      <c r="B17" s="0" t="s">
        <v>1834</v>
      </c>
      <c r="C17" s="0" t="s">
        <v>46</v>
      </c>
      <c r="D17" s="0" t="s">
        <v>1854</v>
      </c>
      <c r="F17" s="0" t="n">
        <f aca="false">COUNTIF('All Claims - Draft'!$BB:$BB,"*"&amp;LEFT($A17,FIND(" - ",$A17&amp;" - ")-1)&amp;" - *")</f>
        <v>0</v>
      </c>
    </row>
    <row r="18" customFormat="false" ht="15" hidden="false" customHeight="false" outlineLevel="0" collapsed="false">
      <c r="A18" s="0" t="s">
        <v>1855</v>
      </c>
      <c r="B18" s="0" t="s">
        <v>1834</v>
      </c>
      <c r="C18" s="0" t="s">
        <v>46</v>
      </c>
      <c r="D18" s="0" t="s">
        <v>1854</v>
      </c>
      <c r="F18" s="0" t="n">
        <f aca="false">COUNTIF('All Claims - Draft'!$BB:$BB,"*"&amp;LEFT($A18,FIND(" - ",$A18&amp;" - ")-1)&amp;" - *")</f>
        <v>0</v>
      </c>
    </row>
    <row r="19" customFormat="false" ht="15" hidden="false" customHeight="false" outlineLevel="0" collapsed="false">
      <c r="A19" s="0" t="s">
        <v>1856</v>
      </c>
      <c r="B19" s="0" t="s">
        <v>1834</v>
      </c>
      <c r="C19" s="0" t="s">
        <v>46</v>
      </c>
      <c r="D19" s="0" t="s">
        <v>1854</v>
      </c>
      <c r="F19" s="0" t="n">
        <f aca="false">COUNTIF('All Claims - Draft'!$BB:$BB,"*"&amp;LEFT($A19,FIND(" - ",$A19&amp;" - ")-1)&amp;" - *")</f>
        <v>0</v>
      </c>
    </row>
    <row r="20" customFormat="false" ht="15" hidden="false" customHeight="false" outlineLevel="0" collapsed="false">
      <c r="A20" s="0" t="s">
        <v>559</v>
      </c>
      <c r="B20" s="0" t="s">
        <v>1834</v>
      </c>
      <c r="C20" s="0" t="s">
        <v>35</v>
      </c>
      <c r="D20" s="0" t="s">
        <v>1857</v>
      </c>
      <c r="E20" s="0" t="n">
        <v>16</v>
      </c>
      <c r="F20" s="0" t="n">
        <f aca="false">COUNTIF('All Claims - Draft'!$BB:$BB,"*"&amp;LEFT($A20,FIND(" - ",$A20&amp;" - ")-1)&amp;" - *")</f>
        <v>15</v>
      </c>
    </row>
    <row r="21" customFormat="false" ht="15" hidden="false" customHeight="false" outlineLevel="0" collapsed="false">
      <c r="A21" s="0" t="s">
        <v>1858</v>
      </c>
      <c r="B21" s="0" t="s">
        <v>1834</v>
      </c>
      <c r="C21" s="0" t="s">
        <v>46</v>
      </c>
      <c r="D21" s="0" t="s">
        <v>1854</v>
      </c>
      <c r="F21" s="0" t="n">
        <f aca="false">COUNTIF('All Claims - Draft'!$BB:$BB,"*"&amp;LEFT($A21,FIND(" - ",$A21&amp;" - ")-1)&amp;" - *")</f>
        <v>0</v>
      </c>
    </row>
    <row r="22" customFormat="false" ht="15" hidden="false" customHeight="false" outlineLevel="0" collapsed="false">
      <c r="A22" s="0" t="s">
        <v>516</v>
      </c>
      <c r="B22" s="0" t="s">
        <v>1834</v>
      </c>
      <c r="C22" s="0" t="s">
        <v>34</v>
      </c>
      <c r="D22" s="0" t="s">
        <v>1845</v>
      </c>
      <c r="E22" s="0" t="n">
        <v>1</v>
      </c>
      <c r="F22" s="0" t="n">
        <f aca="false">COUNTIF('All Claims - Draft'!$BB:$BB,"*"&amp;LEFT($A22,FIND(" - ",$A22&amp;" - ")-1)&amp;" - *")</f>
        <v>1</v>
      </c>
    </row>
    <row r="23" customFormat="false" ht="15" hidden="false" customHeight="false" outlineLevel="0" collapsed="false">
      <c r="A23" s="0" t="s">
        <v>386</v>
      </c>
      <c r="B23" s="0" t="s">
        <v>1834</v>
      </c>
      <c r="C23" s="0" t="s">
        <v>55</v>
      </c>
      <c r="D23" s="0" t="s">
        <v>1859</v>
      </c>
      <c r="F23" s="0" t="n">
        <f aca="false">COUNTIF('All Claims - Draft'!$BB:$BB,"*"&amp;LEFT($A23,FIND(" - ",$A23&amp;" - ")-1)&amp;" - *")</f>
        <v>8</v>
      </c>
    </row>
    <row r="24" customFormat="false" ht="15" hidden="false" customHeight="false" outlineLevel="0" collapsed="false">
      <c r="A24" s="0" t="s">
        <v>1860</v>
      </c>
      <c r="B24" s="0" t="s">
        <v>1834</v>
      </c>
      <c r="C24" s="0" t="s">
        <v>41</v>
      </c>
      <c r="D24" s="0" t="s">
        <v>1835</v>
      </c>
      <c r="F24" s="0" t="n">
        <f aca="false">COUNTIF('All Claims - Draft'!$BB:$BB,"*"&amp;LEFT($A24,FIND(" - ",$A24&amp;" - ")-1)&amp;" - *")</f>
        <v>0</v>
      </c>
    </row>
    <row r="25" customFormat="false" ht="15" hidden="false" customHeight="false" outlineLevel="0" collapsed="false">
      <c r="A25" s="0" t="s">
        <v>257</v>
      </c>
      <c r="B25" s="0" t="s">
        <v>1834</v>
      </c>
      <c r="C25" s="0" t="s">
        <v>43</v>
      </c>
      <c r="D25" s="0" t="s">
        <v>1861</v>
      </c>
      <c r="E25" s="0" t="n">
        <v>3</v>
      </c>
      <c r="F25" s="0" t="n">
        <f aca="false">COUNTIF('All Claims - Draft'!$BB:$BB,"*"&amp;LEFT($A25,FIND(" - ",$A25&amp;" - ")-1)&amp;" - *")</f>
        <v>4</v>
      </c>
    </row>
    <row r="26" customFormat="false" ht="15" hidden="false" customHeight="false" outlineLevel="0" collapsed="false">
      <c r="A26" s="0" t="s">
        <v>1772</v>
      </c>
      <c r="B26" s="0" t="s">
        <v>1834</v>
      </c>
      <c r="C26" s="0" t="s">
        <v>41</v>
      </c>
      <c r="D26" s="0" t="s">
        <v>1835</v>
      </c>
      <c r="E26" s="0" t="n">
        <v>4</v>
      </c>
      <c r="F26" s="0" t="n">
        <f aca="false">COUNTIF('All Claims - Draft'!$BB:$BB,"*"&amp;LEFT($A26,FIND(" - ",$A26&amp;" - ")-1)&amp;" - *")</f>
        <v>4</v>
      </c>
    </row>
    <row r="27" customFormat="false" ht="15" hidden="false" customHeight="false" outlineLevel="0" collapsed="false">
      <c r="A27" s="0" t="s">
        <v>1862</v>
      </c>
      <c r="B27" s="0" t="s">
        <v>1834</v>
      </c>
      <c r="C27" s="0" t="s">
        <v>55</v>
      </c>
      <c r="D27" s="0" t="s">
        <v>1859</v>
      </c>
      <c r="F27" s="0" t="n">
        <f aca="false">COUNTIF('All Claims - Draft'!$BB:$BB,"*"&amp;LEFT($A27,FIND(" - ",$A27&amp;" - ")-1)&amp;" - *")</f>
        <v>0</v>
      </c>
    </row>
    <row r="28" customFormat="false" ht="15" hidden="false" customHeight="false" outlineLevel="0" collapsed="false">
      <c r="A28" s="0" t="s">
        <v>1696</v>
      </c>
      <c r="B28" s="0" t="s">
        <v>1834</v>
      </c>
      <c r="C28" s="0" t="s">
        <v>41</v>
      </c>
      <c r="D28" s="0" t="s">
        <v>1835</v>
      </c>
      <c r="E28" s="0" t="n">
        <v>6</v>
      </c>
      <c r="F28" s="0" t="n">
        <f aca="false">COUNTIF('All Claims - Draft'!$BB:$BB,"*"&amp;LEFT($A28,FIND(" - ",$A28&amp;" - ")-1)&amp;" - *")</f>
        <v>8</v>
      </c>
    </row>
    <row r="29" customFormat="false" ht="15" hidden="false" customHeight="false" outlineLevel="0" collapsed="false">
      <c r="A29" s="0" t="s">
        <v>263</v>
      </c>
      <c r="B29" s="0" t="s">
        <v>1834</v>
      </c>
      <c r="C29" s="0" t="s">
        <v>41</v>
      </c>
      <c r="D29" s="0" t="s">
        <v>1835</v>
      </c>
      <c r="F29" s="0" t="n">
        <f aca="false">COUNTIF('All Claims - Draft'!$BB:$BB,"*"&amp;LEFT($A29,FIND(" - ",$A29&amp;" - ")-1)&amp;" - *")</f>
        <v>3</v>
      </c>
    </row>
    <row r="30" customFormat="false" ht="15" hidden="false" customHeight="false" outlineLevel="0" collapsed="false">
      <c r="A30" s="0" t="s">
        <v>215</v>
      </c>
      <c r="B30" s="0" t="s">
        <v>1834</v>
      </c>
      <c r="C30" s="0" t="s">
        <v>37</v>
      </c>
      <c r="D30" s="0" t="s">
        <v>1863</v>
      </c>
      <c r="E30" s="0" t="n">
        <v>8</v>
      </c>
      <c r="F30" s="0" t="n">
        <f aca="false">COUNTIF('All Claims - Draft'!$BB:$BB,"*"&amp;LEFT($A30,FIND(" - ",$A30&amp;" - ")-1)&amp;" - *")</f>
        <v>12</v>
      </c>
    </row>
    <row r="31" customFormat="false" ht="15" hidden="false" customHeight="false" outlineLevel="0" collapsed="false">
      <c r="A31" s="0" t="s">
        <v>1669</v>
      </c>
      <c r="B31" s="0" t="s">
        <v>1834</v>
      </c>
      <c r="C31" s="0" t="s">
        <v>37</v>
      </c>
      <c r="D31" s="0" t="s">
        <v>1863</v>
      </c>
      <c r="F31" s="0" t="n">
        <f aca="false">COUNTIF('All Claims - Draft'!$BB:$BB,"*"&amp;LEFT($A31,FIND(" - ",$A31&amp;" - ")-1)&amp;" - *")</f>
        <v>1</v>
      </c>
    </row>
    <row r="32" customFormat="false" ht="15" hidden="false" customHeight="false" outlineLevel="0" collapsed="false">
      <c r="A32" s="0" t="s">
        <v>1864</v>
      </c>
      <c r="B32" s="0" t="s">
        <v>1834</v>
      </c>
      <c r="C32" s="0" t="s">
        <v>40</v>
      </c>
      <c r="D32" s="0" t="s">
        <v>1840</v>
      </c>
      <c r="F32" s="0" t="n">
        <f aca="false">COUNTIF('All Claims - Draft'!$BB:$BB,"*"&amp;LEFT($A32,FIND(" - ",$A32&amp;" - ")-1)&amp;" - *")</f>
        <v>0</v>
      </c>
    </row>
    <row r="33" customFormat="false" ht="15" hidden="false" customHeight="false" outlineLevel="0" collapsed="false">
      <c r="A33" s="0" t="s">
        <v>1429</v>
      </c>
      <c r="B33" s="0" t="s">
        <v>1834</v>
      </c>
      <c r="C33" s="0" t="s">
        <v>44</v>
      </c>
      <c r="D33" s="0" t="s">
        <v>1852</v>
      </c>
      <c r="E33" s="0" t="n">
        <v>3</v>
      </c>
      <c r="F33" s="0" t="n">
        <f aca="false">COUNTIF('All Claims - Draft'!$BB:$BB,"*"&amp;LEFT($A33,FIND(" - ",$A33&amp;" - ")-1)&amp;" - *")</f>
        <v>3</v>
      </c>
    </row>
    <row r="34" customFormat="false" ht="15" hidden="false" customHeight="false" outlineLevel="0" collapsed="false">
      <c r="A34" s="0" t="s">
        <v>1865</v>
      </c>
      <c r="B34" s="0" t="s">
        <v>1834</v>
      </c>
      <c r="C34" s="0" t="s">
        <v>41</v>
      </c>
      <c r="D34" s="0" t="s">
        <v>1835</v>
      </c>
      <c r="E34" s="0" t="n">
        <v>1</v>
      </c>
      <c r="F34" s="0" t="n">
        <f aca="false">COUNTIF('All Claims - Draft'!$BB:$BB,"*"&amp;LEFT($A34,FIND(" - ",$A34&amp;" - ")-1)&amp;" - *")</f>
        <v>0</v>
      </c>
    </row>
    <row r="35" customFormat="false" ht="15" hidden="false" customHeight="false" outlineLevel="0" collapsed="false">
      <c r="A35" s="0" t="s">
        <v>1866</v>
      </c>
      <c r="B35" s="0" t="s">
        <v>1834</v>
      </c>
      <c r="C35" s="0" t="s">
        <v>40</v>
      </c>
      <c r="D35" s="0" t="s">
        <v>1840</v>
      </c>
      <c r="F35" s="0" t="n">
        <f aca="false">COUNTIF('All Claims - Draft'!$BB:$BB,"*"&amp;LEFT($A35,FIND(" - ",$A35&amp;" - ")-1)&amp;" - *")</f>
        <v>0</v>
      </c>
    </row>
    <row r="36" customFormat="false" ht="15" hidden="false" customHeight="false" outlineLevel="0" collapsed="false">
      <c r="A36" s="0" t="s">
        <v>1867</v>
      </c>
      <c r="B36" s="0" t="s">
        <v>1834</v>
      </c>
      <c r="C36" s="0" t="s">
        <v>46</v>
      </c>
      <c r="D36" s="0" t="s">
        <v>1854</v>
      </c>
      <c r="F36" s="0" t="n">
        <f aca="false">COUNTIF('All Claims - Draft'!$BB:$BB,"*"&amp;LEFT($A36,FIND(" - ",$A36&amp;" - ")-1)&amp;" - *")</f>
        <v>0</v>
      </c>
    </row>
    <row r="37" customFormat="false" ht="15" hidden="false" customHeight="false" outlineLevel="0" collapsed="false">
      <c r="A37" s="0" t="s">
        <v>1868</v>
      </c>
      <c r="B37" s="0" t="s">
        <v>1834</v>
      </c>
      <c r="C37" s="0" t="s">
        <v>55</v>
      </c>
      <c r="D37" s="0" t="s">
        <v>1859</v>
      </c>
      <c r="F37" s="0" t="n">
        <f aca="false">COUNTIF('All Claims - Draft'!$BB:$BB,"*"&amp;LEFT($A37,FIND(" - ",$A37&amp;" - ")-1)&amp;" - *")</f>
        <v>0</v>
      </c>
    </row>
    <row r="38" customFormat="false" ht="15" hidden="false" customHeight="false" outlineLevel="0" collapsed="false">
      <c r="A38" s="0" t="s">
        <v>806</v>
      </c>
      <c r="B38" s="0" t="s">
        <v>1834</v>
      </c>
      <c r="C38" s="0" t="s">
        <v>39</v>
      </c>
      <c r="D38" s="0" t="s">
        <v>1843</v>
      </c>
      <c r="E38" s="0" t="n">
        <v>2</v>
      </c>
      <c r="F38" s="0" t="n">
        <f aca="false">COUNTIF('All Claims - Draft'!$BB:$BB,"*"&amp;LEFT($A38,FIND(" - ",$A38&amp;" - ")-1)&amp;" - *")</f>
        <v>6</v>
      </c>
    </row>
    <row r="39" customFormat="false" ht="15" hidden="false" customHeight="false" outlineLevel="0" collapsed="false">
      <c r="A39" s="0" t="s">
        <v>416</v>
      </c>
      <c r="B39" s="0" t="s">
        <v>1834</v>
      </c>
      <c r="C39" s="0" t="s">
        <v>43</v>
      </c>
      <c r="D39" s="0" t="s">
        <v>1861</v>
      </c>
      <c r="E39" s="0" t="n">
        <v>1</v>
      </c>
      <c r="F39" s="0" t="n">
        <f aca="false">COUNTIF('All Claims - Draft'!$BB:$BB,"*"&amp;LEFT($A39,FIND(" - ",$A39&amp;" - ")-1)&amp;" - *")</f>
        <v>3</v>
      </c>
    </row>
    <row r="40" customFormat="false" ht="15" hidden="false" customHeight="false" outlineLevel="0" collapsed="false">
      <c r="A40" s="0" t="s">
        <v>299</v>
      </c>
      <c r="B40" s="0" t="s">
        <v>1834</v>
      </c>
      <c r="C40" s="0" t="s">
        <v>43</v>
      </c>
      <c r="D40" s="0" t="s">
        <v>1861</v>
      </c>
      <c r="E40" s="0" t="n">
        <v>1</v>
      </c>
      <c r="F40" s="0" t="n">
        <f aca="false">COUNTIF('All Claims - Draft'!$BB:$BB,"*"&amp;LEFT($A40,FIND(" - ",$A40&amp;" - ")-1)&amp;" - *")</f>
        <v>3</v>
      </c>
    </row>
    <row r="41" customFormat="false" ht="15" hidden="false" customHeight="false" outlineLevel="0" collapsed="false">
      <c r="A41" s="0" t="s">
        <v>926</v>
      </c>
      <c r="B41" s="0" t="s">
        <v>1834</v>
      </c>
      <c r="C41" s="0" t="s">
        <v>36</v>
      </c>
      <c r="D41" s="0" t="s">
        <v>1869</v>
      </c>
      <c r="F41" s="0" t="n">
        <f aca="false">COUNTIF('All Claims - Draft'!$BB:$BB,"*"&amp;LEFT($A41,FIND(" - ",$A41&amp;" - ")-1)&amp;" - *")</f>
        <v>1</v>
      </c>
    </row>
    <row r="42" customFormat="false" ht="15" hidden="false" customHeight="false" outlineLevel="0" collapsed="false">
      <c r="A42" s="0" t="s">
        <v>1601</v>
      </c>
      <c r="B42" s="0" t="s">
        <v>1834</v>
      </c>
      <c r="C42" s="0" t="s">
        <v>46</v>
      </c>
      <c r="D42" s="0" t="s">
        <v>1854</v>
      </c>
      <c r="E42" s="0" t="n">
        <v>2</v>
      </c>
      <c r="F42" s="0" t="n">
        <f aca="false">COUNTIF('All Claims - Draft'!$BB:$BB,"*"&amp;LEFT($A42,FIND(" - ",$A42&amp;" - ")-1)&amp;" - *")</f>
        <v>2</v>
      </c>
    </row>
    <row r="43" customFormat="false" ht="15" hidden="false" customHeight="false" outlineLevel="0" collapsed="false">
      <c r="A43" s="0" t="s">
        <v>1870</v>
      </c>
      <c r="B43" s="0" t="s">
        <v>1834</v>
      </c>
      <c r="C43" s="0" t="s">
        <v>39</v>
      </c>
      <c r="D43" s="0" t="s">
        <v>1843</v>
      </c>
      <c r="F43" s="0" t="n">
        <f aca="false">COUNTIF('All Claims - Draft'!$BB:$BB,"*"&amp;LEFT($A43,FIND(" - ",$A43&amp;" - ")-1)&amp;" - *")</f>
        <v>0</v>
      </c>
    </row>
    <row r="44" customFormat="false" ht="15" hidden="false" customHeight="false" outlineLevel="0" collapsed="false">
      <c r="A44" s="0" t="s">
        <v>1871</v>
      </c>
      <c r="B44" s="0" t="s">
        <v>1834</v>
      </c>
      <c r="C44" s="0" t="s">
        <v>47</v>
      </c>
      <c r="D44" s="0" t="s">
        <v>1872</v>
      </c>
      <c r="F44" s="0" t="n">
        <f aca="false">COUNTIF('All Claims - Draft'!$BB:$BB,"*"&amp;LEFT($A44,FIND(" - ",$A44&amp;" - ")-1)&amp;" - *")</f>
        <v>0</v>
      </c>
    </row>
    <row r="45" customFormat="false" ht="15" hidden="false" customHeight="false" outlineLevel="0" collapsed="false">
      <c r="A45" s="0" t="s">
        <v>1873</v>
      </c>
      <c r="B45" s="0" t="s">
        <v>1834</v>
      </c>
      <c r="C45" s="0" t="s">
        <v>40</v>
      </c>
      <c r="D45" s="0" t="s">
        <v>1840</v>
      </c>
      <c r="F45" s="0" t="n">
        <f aca="false">COUNTIF('All Claims - Draft'!$BB:$BB,"*"&amp;LEFT($A45,FIND(" - ",$A45&amp;" - ")-1)&amp;" - *")</f>
        <v>0</v>
      </c>
    </row>
    <row r="46" customFormat="false" ht="15" hidden="false" customHeight="false" outlineLevel="0" collapsed="false">
      <c r="A46" s="0" t="s">
        <v>1874</v>
      </c>
      <c r="B46" s="0" t="s">
        <v>1834</v>
      </c>
      <c r="C46" s="0" t="s">
        <v>38</v>
      </c>
      <c r="D46" s="0" t="s">
        <v>1837</v>
      </c>
      <c r="F46" s="0" t="n">
        <f aca="false">COUNTIF('All Claims - Draft'!$BB:$BB,"*"&amp;LEFT($A46,FIND(" - ",$A46&amp;" - ")-1)&amp;" - *")</f>
        <v>0</v>
      </c>
    </row>
    <row r="47" customFormat="false" ht="15" hidden="false" customHeight="false" outlineLevel="0" collapsed="false">
      <c r="A47" s="0" t="s">
        <v>269</v>
      </c>
      <c r="B47" s="0" t="s">
        <v>1834</v>
      </c>
      <c r="C47" s="0" t="s">
        <v>48</v>
      </c>
      <c r="D47" s="0" t="s">
        <v>1875</v>
      </c>
      <c r="E47" s="0" t="n">
        <v>2</v>
      </c>
      <c r="F47" s="0" t="n">
        <f aca="false">COUNTIF('All Claims - Draft'!$BB:$BB,"*"&amp;LEFT($A47,FIND(" - ",$A47&amp;" - ")-1)&amp;" - *")</f>
        <v>6</v>
      </c>
    </row>
    <row r="48" customFormat="false" ht="15" hidden="false" customHeight="false" outlineLevel="0" collapsed="false">
      <c r="A48" s="0" t="s">
        <v>1876</v>
      </c>
      <c r="B48" s="0" t="s">
        <v>1834</v>
      </c>
      <c r="C48" s="0" t="s">
        <v>47</v>
      </c>
      <c r="D48" s="0" t="s">
        <v>1872</v>
      </c>
      <c r="F48" s="0" t="n">
        <f aca="false">COUNTIF('All Claims - Draft'!$BB:$BB,"*"&amp;LEFT($A48,FIND(" - ",$A48&amp;" - ")-1)&amp;" - *")</f>
        <v>0</v>
      </c>
    </row>
    <row r="49" customFormat="false" ht="15" hidden="false" customHeight="false" outlineLevel="0" collapsed="false">
      <c r="A49" s="0" t="s">
        <v>1877</v>
      </c>
      <c r="B49" s="0" t="s">
        <v>1834</v>
      </c>
      <c r="C49" s="0" t="s">
        <v>40</v>
      </c>
      <c r="D49" s="0" t="s">
        <v>1840</v>
      </c>
      <c r="F49" s="0" t="n">
        <f aca="false">COUNTIF('All Claims - Draft'!$BB:$BB,"*"&amp;LEFT($A49,FIND(" - ",$A49&amp;" - ")-1)&amp;" - *")</f>
        <v>0</v>
      </c>
    </row>
    <row r="50" customFormat="false" ht="15" hidden="false" customHeight="false" outlineLevel="0" collapsed="false">
      <c r="A50" s="0" t="s">
        <v>464</v>
      </c>
      <c r="B50" s="0" t="s">
        <v>1834</v>
      </c>
      <c r="C50" s="0" t="s">
        <v>34</v>
      </c>
      <c r="D50" s="0" t="s">
        <v>1845</v>
      </c>
      <c r="E50" s="0" t="n">
        <v>30</v>
      </c>
      <c r="F50" s="0" t="n">
        <f aca="false">COUNTIF('All Claims - Draft'!$BB:$BB,"*"&amp;LEFT($A50,FIND(" - ",$A50&amp;" - ")-1)&amp;" - *")</f>
        <v>34</v>
      </c>
    </row>
    <row r="51" customFormat="false" ht="15" hidden="false" customHeight="false" outlineLevel="0" collapsed="false">
      <c r="A51" s="0" t="s">
        <v>1740</v>
      </c>
      <c r="B51" s="0" t="s">
        <v>1834</v>
      </c>
      <c r="C51" s="0" t="s">
        <v>34</v>
      </c>
      <c r="D51" s="0" t="s">
        <v>1845</v>
      </c>
      <c r="E51" s="0" t="n">
        <v>1</v>
      </c>
      <c r="F51" s="0" t="n">
        <f aca="false">COUNTIF('All Claims - Draft'!$BB:$BB,"*"&amp;LEFT($A51,FIND(" - ",$A51&amp;" - ")-1)&amp;" - *")</f>
        <v>1</v>
      </c>
    </row>
    <row r="52" customFormat="false" ht="15" hidden="false" customHeight="false" outlineLevel="0" collapsed="false">
      <c r="A52" s="0" t="s">
        <v>1878</v>
      </c>
      <c r="B52" s="0" t="s">
        <v>1834</v>
      </c>
      <c r="C52" s="0" t="s">
        <v>40</v>
      </c>
      <c r="D52" s="0" t="s">
        <v>1840</v>
      </c>
      <c r="F52" s="0" t="n">
        <f aca="false">COUNTIF('All Claims - Draft'!$BB:$BB,"*"&amp;LEFT($A52,FIND(" - ",$A52&amp;" - ")-1)&amp;" - *")</f>
        <v>0</v>
      </c>
    </row>
    <row r="53" customFormat="false" ht="15" hidden="false" customHeight="false" outlineLevel="0" collapsed="false">
      <c r="A53" s="0" t="s">
        <v>1003</v>
      </c>
      <c r="B53" s="0" t="s">
        <v>1834</v>
      </c>
      <c r="C53" s="0" t="s">
        <v>41</v>
      </c>
      <c r="D53" s="0" t="s">
        <v>1835</v>
      </c>
      <c r="E53" s="0" t="n">
        <v>2</v>
      </c>
      <c r="F53" s="0" t="n">
        <f aca="false">COUNTIF('All Claims - Draft'!$BB:$BB,"*"&amp;LEFT($A53,FIND(" - ",$A53&amp;" - ")-1)&amp;" - *")</f>
        <v>4</v>
      </c>
    </row>
    <row r="54" customFormat="false" ht="15" hidden="false" customHeight="false" outlineLevel="0" collapsed="false">
      <c r="A54" s="0" t="s">
        <v>1879</v>
      </c>
      <c r="B54" s="0" t="s">
        <v>1834</v>
      </c>
      <c r="C54" s="0" t="s">
        <v>36</v>
      </c>
      <c r="D54" s="0" t="s">
        <v>1869</v>
      </c>
      <c r="F54" s="0" t="n">
        <f aca="false">COUNTIF('All Claims - Draft'!$BB:$BB,"*"&amp;LEFT($A54,FIND(" - ",$A54&amp;" - ")-1)&amp;" - *")</f>
        <v>0</v>
      </c>
    </row>
    <row r="55" customFormat="false" ht="15" hidden="false" customHeight="false" outlineLevel="0" collapsed="false">
      <c r="A55" s="0" t="s">
        <v>1880</v>
      </c>
      <c r="B55" s="0" t="s">
        <v>1834</v>
      </c>
      <c r="C55" s="0" t="s">
        <v>51</v>
      </c>
      <c r="D55" s="0" t="s">
        <v>1849</v>
      </c>
      <c r="E55" s="0" t="n">
        <v>1</v>
      </c>
      <c r="F55" s="0" t="n">
        <f aca="false">COUNTIF('All Claims - Draft'!$BB:$BB,"*"&amp;LEFT($A55,FIND(" - ",$A55&amp;" - ")-1)&amp;" - *")</f>
        <v>1</v>
      </c>
    </row>
    <row r="56" customFormat="false" ht="15" hidden="false" customHeight="false" outlineLevel="0" collapsed="false">
      <c r="A56" s="0" t="s">
        <v>1634</v>
      </c>
      <c r="B56" s="0" t="s">
        <v>1834</v>
      </c>
      <c r="C56" s="0" t="s">
        <v>37</v>
      </c>
      <c r="D56" s="0" t="s">
        <v>1863</v>
      </c>
      <c r="E56" s="0" t="n">
        <v>5</v>
      </c>
      <c r="F56" s="0" t="n">
        <f aca="false">COUNTIF('All Claims - Draft'!$BB:$BB,"*"&amp;LEFT($A56,FIND(" - ",$A56&amp;" - ")-1)&amp;" - *")</f>
        <v>5</v>
      </c>
    </row>
    <row r="57" customFormat="false" ht="15" hidden="false" customHeight="false" outlineLevel="0" collapsed="false">
      <c r="A57" s="0" t="s">
        <v>1881</v>
      </c>
      <c r="B57" s="0" t="s">
        <v>1834</v>
      </c>
      <c r="C57" s="0" t="s">
        <v>37</v>
      </c>
      <c r="D57" s="0" t="s">
        <v>1863</v>
      </c>
      <c r="F57" s="0" t="n">
        <f aca="false">COUNTIF('All Claims - Draft'!$BB:$BB,"*"&amp;LEFT($A57,FIND(" - ",$A57&amp;" - ")-1)&amp;" - *")</f>
        <v>0</v>
      </c>
    </row>
    <row r="58" customFormat="false" ht="15" hidden="false" customHeight="false" outlineLevel="0" collapsed="false">
      <c r="A58" s="0" t="s">
        <v>1219</v>
      </c>
      <c r="B58" s="0" t="s">
        <v>1834</v>
      </c>
      <c r="C58" s="0" t="s">
        <v>37</v>
      </c>
      <c r="D58" s="0" t="s">
        <v>1863</v>
      </c>
      <c r="E58" s="0" t="n">
        <v>1</v>
      </c>
      <c r="F58" s="0" t="n">
        <f aca="false">COUNTIF('All Claims - Draft'!$BB:$BB,"*"&amp;LEFT($A58,FIND(" - ",$A58&amp;" - ")-1)&amp;" - *")</f>
        <v>1</v>
      </c>
    </row>
    <row r="59" customFormat="false" ht="15" hidden="false" customHeight="false" outlineLevel="0" collapsed="false">
      <c r="A59" s="0" t="s">
        <v>1882</v>
      </c>
      <c r="B59" s="0" t="s">
        <v>1834</v>
      </c>
      <c r="C59" s="0" t="s">
        <v>47</v>
      </c>
      <c r="D59" s="0" t="s">
        <v>1872</v>
      </c>
      <c r="F59" s="0" t="n">
        <f aca="false">COUNTIF('All Claims - Draft'!$BB:$BB,"*"&amp;LEFT($A59,FIND(" - ",$A59&amp;" - ")-1)&amp;" - *")</f>
        <v>0</v>
      </c>
    </row>
    <row r="60" customFormat="false" ht="15" hidden="false" customHeight="false" outlineLevel="0" collapsed="false">
      <c r="A60" s="0" t="s">
        <v>1883</v>
      </c>
      <c r="B60" s="0" t="s">
        <v>1834</v>
      </c>
      <c r="C60" s="0" t="s">
        <v>48</v>
      </c>
      <c r="D60" s="0" t="s">
        <v>1875</v>
      </c>
      <c r="F60" s="0" t="n">
        <f aca="false">COUNTIF('All Claims - Draft'!$BB:$BB,"*"&amp;LEFT($A60,FIND(" - ",$A60&amp;" - ")-1)&amp;" - *")</f>
        <v>0</v>
      </c>
    </row>
    <row r="61" customFormat="false" ht="15" hidden="false" customHeight="false" outlineLevel="0" collapsed="false">
      <c r="A61" s="0" t="s">
        <v>372</v>
      </c>
      <c r="B61" s="0" t="s">
        <v>1834</v>
      </c>
      <c r="C61" s="0" t="s">
        <v>40</v>
      </c>
      <c r="D61" s="0" t="s">
        <v>1840</v>
      </c>
      <c r="E61" s="0" t="n">
        <v>14</v>
      </c>
      <c r="F61" s="0" t="n">
        <f aca="false">COUNTIF('All Claims - Draft'!$BB:$BB,"*"&amp;LEFT($A61,FIND(" - ",$A61&amp;" - ")-1)&amp;" - *")</f>
        <v>14</v>
      </c>
    </row>
    <row r="62" customFormat="false" ht="15" hidden="false" customHeight="false" outlineLevel="0" collapsed="false">
      <c r="A62" s="0" t="s">
        <v>1884</v>
      </c>
      <c r="B62" s="0" t="s">
        <v>1834</v>
      </c>
      <c r="C62" s="0" t="s">
        <v>36</v>
      </c>
      <c r="D62" s="0" t="s">
        <v>1869</v>
      </c>
      <c r="F62" s="0" t="n">
        <f aca="false">COUNTIF('All Claims - Draft'!$BB:$BB,"*"&amp;LEFT($A62,FIND(" - ",$A62&amp;" - ")-1)&amp;" - *")</f>
        <v>0</v>
      </c>
    </row>
    <row r="63" customFormat="false" ht="15" hidden="false" customHeight="false" outlineLevel="0" collapsed="false">
      <c r="A63" s="0" t="s">
        <v>204</v>
      </c>
      <c r="B63" s="0" t="s">
        <v>1834</v>
      </c>
      <c r="C63" s="0" t="s">
        <v>36</v>
      </c>
      <c r="D63" s="0" t="s">
        <v>1869</v>
      </c>
      <c r="E63" s="0" t="n">
        <v>42</v>
      </c>
      <c r="F63" s="0" t="n">
        <f aca="false">COUNTIF('All Claims - Draft'!$BB:$BB,"*"&amp;LEFT($A63,FIND(" - ",$A63&amp;" - ")-1)&amp;" - *")</f>
        <v>50</v>
      </c>
    </row>
    <row r="64" customFormat="false" ht="15" hidden="false" customHeight="false" outlineLevel="0" collapsed="false">
      <c r="A64" s="0" t="s">
        <v>1885</v>
      </c>
      <c r="B64" s="0" t="s">
        <v>1834</v>
      </c>
      <c r="C64" s="0" t="s">
        <v>55</v>
      </c>
      <c r="D64" s="0" t="s">
        <v>1859</v>
      </c>
      <c r="F64" s="0" t="n">
        <f aca="false">COUNTIF('All Claims - Draft'!$BB:$BB,"*"&amp;LEFT($A64,FIND(" - ",$A64&amp;" - ")-1)&amp;" - *")</f>
        <v>0</v>
      </c>
    </row>
    <row r="65" customFormat="false" ht="15" hidden="false" customHeight="false" outlineLevel="0" collapsed="false">
      <c r="A65" s="0" t="s">
        <v>1637</v>
      </c>
      <c r="B65" s="0" t="s">
        <v>1834</v>
      </c>
      <c r="C65" s="0" t="s">
        <v>41</v>
      </c>
      <c r="D65" s="0" t="s">
        <v>1835</v>
      </c>
      <c r="E65" s="0" t="n">
        <v>2</v>
      </c>
      <c r="F65" s="0" t="n">
        <f aca="false">COUNTIF('All Claims - Draft'!$BB:$BB,"*"&amp;LEFT($A65,FIND(" - ",$A65&amp;" - ")-1)&amp;" - *")</f>
        <v>2</v>
      </c>
    </row>
    <row r="66" customFormat="false" ht="15" hidden="false" customHeight="false" outlineLevel="0" collapsed="false">
      <c r="A66" s="0" t="s">
        <v>1886</v>
      </c>
      <c r="B66" s="0" t="s">
        <v>1834</v>
      </c>
      <c r="C66" s="0" t="s">
        <v>34</v>
      </c>
      <c r="D66" s="0" t="s">
        <v>1845</v>
      </c>
      <c r="F66" s="0" t="n">
        <f aca="false">COUNTIF('All Claims - Draft'!$BB:$BB,"*"&amp;LEFT($A66,FIND(" - ",$A66&amp;" - ")-1)&amp;" - *")</f>
        <v>0</v>
      </c>
    </row>
    <row r="67" customFormat="false" ht="15" hidden="false" customHeight="false" outlineLevel="0" collapsed="false">
      <c r="A67" s="0" t="s">
        <v>790</v>
      </c>
      <c r="B67" s="0" t="s">
        <v>1834</v>
      </c>
      <c r="C67" s="0" t="s">
        <v>48</v>
      </c>
      <c r="D67" s="0" t="s">
        <v>1875</v>
      </c>
      <c r="F67" s="0" t="n">
        <f aca="false">COUNTIF('All Claims - Draft'!$BB:$BB,"*"&amp;LEFT($A67,FIND(" - ",$A67&amp;" - ")-1)&amp;" - *")</f>
        <v>1</v>
      </c>
    </row>
    <row r="68" customFormat="false" ht="15" hidden="false" customHeight="false" outlineLevel="0" collapsed="false">
      <c r="A68" s="0" t="s">
        <v>1767</v>
      </c>
      <c r="B68" s="0" t="s">
        <v>1834</v>
      </c>
      <c r="C68" s="0" t="s">
        <v>55</v>
      </c>
      <c r="D68" s="0" t="s">
        <v>1859</v>
      </c>
      <c r="E68" s="0" t="n">
        <v>1</v>
      </c>
      <c r="F68" s="0" t="n">
        <f aca="false">COUNTIF('All Claims - Draft'!$BB:$BB,"*"&amp;LEFT($A68,FIND(" - ",$A68&amp;" - ")-1)&amp;" - *")</f>
        <v>1</v>
      </c>
    </row>
    <row r="69" customFormat="false" ht="15" hidden="false" customHeight="false" outlineLevel="0" collapsed="false">
      <c r="A69" s="0" t="s">
        <v>508</v>
      </c>
      <c r="B69" s="0" t="s">
        <v>1834</v>
      </c>
      <c r="C69" s="0" t="s">
        <v>47</v>
      </c>
      <c r="D69" s="0" t="s">
        <v>1872</v>
      </c>
      <c r="E69" s="0" t="n">
        <v>2</v>
      </c>
      <c r="F69" s="0" t="n">
        <f aca="false">COUNTIF('All Claims - Draft'!$BB:$BB,"*"&amp;LEFT($A69,FIND(" - ",$A69&amp;" - ")-1)&amp;" - *")</f>
        <v>6</v>
      </c>
    </row>
    <row r="70" customFormat="false" ht="15" hidden="false" customHeight="false" outlineLevel="0" collapsed="false">
      <c r="A70" s="0" t="s">
        <v>1887</v>
      </c>
      <c r="B70" s="0" t="s">
        <v>1834</v>
      </c>
      <c r="C70" s="0" t="s">
        <v>46</v>
      </c>
      <c r="D70" s="0" t="s">
        <v>1854</v>
      </c>
      <c r="F70" s="0" t="n">
        <f aca="false">COUNTIF('All Claims - Draft'!$BB:$BB,"*"&amp;LEFT($A70,FIND(" - ",$A70&amp;" - ")-1)&amp;" - *")</f>
        <v>0</v>
      </c>
    </row>
    <row r="71" customFormat="false" ht="15" hidden="false" customHeight="false" outlineLevel="0" collapsed="false">
      <c r="A71" s="0" t="s">
        <v>1888</v>
      </c>
      <c r="B71" s="0" t="s">
        <v>1834</v>
      </c>
      <c r="C71" s="0" t="s">
        <v>37</v>
      </c>
      <c r="D71" s="0" t="s">
        <v>1863</v>
      </c>
      <c r="F71" s="0" t="n">
        <f aca="false">COUNTIF('All Claims - Draft'!$BB:$BB,"*"&amp;LEFT($A71,FIND(" - ",$A71&amp;" - ")-1)&amp;" - *")</f>
        <v>0</v>
      </c>
    </row>
    <row r="72" customFormat="false" ht="15" hidden="false" customHeight="false" outlineLevel="0" collapsed="false">
      <c r="A72" s="0" t="s">
        <v>1715</v>
      </c>
      <c r="B72" s="0" t="s">
        <v>1834</v>
      </c>
      <c r="C72" s="0" t="s">
        <v>44</v>
      </c>
      <c r="D72" s="0" t="s">
        <v>1852</v>
      </c>
      <c r="F72" s="0" t="n">
        <f aca="false">COUNTIF('All Claims - Draft'!$BB:$BB,"*"&amp;LEFT($A72,FIND(" - ",$A72&amp;" - ")-1)&amp;" - *")</f>
        <v>2</v>
      </c>
    </row>
    <row r="73" customFormat="false" ht="15" hidden="false" customHeight="false" outlineLevel="0" collapsed="false">
      <c r="A73" s="0" t="s">
        <v>623</v>
      </c>
      <c r="B73" s="0" t="s">
        <v>1834</v>
      </c>
      <c r="C73" s="0" t="s">
        <v>37</v>
      </c>
      <c r="D73" s="0" t="s">
        <v>1863</v>
      </c>
      <c r="E73" s="0" t="n">
        <v>8</v>
      </c>
      <c r="F73" s="0" t="n">
        <f aca="false">COUNTIF('All Claims - Draft'!$BB:$BB,"*"&amp;LEFT($A73,FIND(" - ",$A73&amp;" - ")-1)&amp;" - *")</f>
        <v>8</v>
      </c>
    </row>
    <row r="74" customFormat="false" ht="15" hidden="false" customHeight="false" outlineLevel="0" collapsed="false">
      <c r="A74" s="0" t="s">
        <v>1743</v>
      </c>
      <c r="B74" s="0" t="s">
        <v>1834</v>
      </c>
      <c r="C74" s="0" t="s">
        <v>40</v>
      </c>
      <c r="D74" s="0" t="s">
        <v>1840</v>
      </c>
      <c r="E74" s="0" t="n">
        <v>1</v>
      </c>
      <c r="F74" s="0" t="n">
        <f aca="false">COUNTIF('All Claims - Draft'!$BB:$BB,"*"&amp;LEFT($A74,FIND(" - ",$A74&amp;" - ")-1)&amp;" - *")</f>
        <v>1</v>
      </c>
    </row>
    <row r="75" customFormat="false" ht="15" hidden="false" customHeight="false" outlineLevel="0" collapsed="false">
      <c r="A75" s="0" t="s">
        <v>1889</v>
      </c>
      <c r="B75" s="0" t="s">
        <v>1834</v>
      </c>
      <c r="C75" s="0" t="s">
        <v>55</v>
      </c>
      <c r="D75" s="0" t="s">
        <v>1859</v>
      </c>
      <c r="F75" s="0" t="n">
        <f aca="false">COUNTIF('All Claims - Draft'!$BB:$BB,"*"&amp;LEFT($A75,FIND(" - ",$A75&amp;" - ")-1)&amp;" - *")</f>
        <v>0</v>
      </c>
    </row>
    <row r="76" customFormat="false" ht="15" hidden="false" customHeight="false" outlineLevel="0" collapsed="false">
      <c r="A76" s="0" t="s">
        <v>1890</v>
      </c>
      <c r="B76" s="0" t="s">
        <v>1834</v>
      </c>
      <c r="C76" s="0" t="s">
        <v>51</v>
      </c>
      <c r="D76" s="0" t="s">
        <v>1849</v>
      </c>
      <c r="F76" s="0" t="n">
        <f aca="false">COUNTIF('All Claims - Draft'!$BB:$BB,"*"&amp;LEFT($A76,FIND(" - ",$A76&amp;" - ")-1)&amp;" - *")</f>
        <v>0</v>
      </c>
    </row>
    <row r="77" customFormat="false" ht="15" hidden="false" customHeight="false" outlineLevel="0" collapsed="false">
      <c r="A77" s="0" t="s">
        <v>1589</v>
      </c>
      <c r="B77" s="0" t="s">
        <v>1891</v>
      </c>
      <c r="C77" s="0" t="s">
        <v>50</v>
      </c>
      <c r="D77" s="0" t="s">
        <v>1838</v>
      </c>
      <c r="E77" s="0" t="n">
        <v>1</v>
      </c>
      <c r="F77" s="0" t="n">
        <f aca="false">COUNTIF('All Claims - Draft'!$BB:$BB,"*"&amp;LEFT($A77,FIND(" - ",$A77&amp;" - ")-1)&amp;" - *")</f>
        <v>1</v>
      </c>
    </row>
    <row r="78" customFormat="false" ht="15" hidden="false" customHeight="false" outlineLevel="0" collapsed="false">
      <c r="A78" s="0" t="s">
        <v>1788</v>
      </c>
      <c r="B78" s="0" t="s">
        <v>1891</v>
      </c>
      <c r="C78" s="0" t="s">
        <v>49</v>
      </c>
      <c r="D78" s="0" t="s">
        <v>1892</v>
      </c>
      <c r="E78" s="0" t="n">
        <v>5</v>
      </c>
      <c r="F78" s="0" t="n">
        <f aca="false">COUNTIF('All Claims - Draft'!$BB:$BB,"*"&amp;LEFT($A78,FIND(" - ",$A78&amp;" - ")-1)&amp;" - *")</f>
        <v>5</v>
      </c>
    </row>
    <row r="79" customFormat="false" ht="15" hidden="false" customHeight="false" outlineLevel="0" collapsed="false">
      <c r="A79" s="0" t="s">
        <v>890</v>
      </c>
      <c r="B79" s="0" t="s">
        <v>1891</v>
      </c>
      <c r="C79" s="0" t="s">
        <v>37</v>
      </c>
      <c r="D79" s="0" t="s">
        <v>1863</v>
      </c>
      <c r="E79" s="0" t="n">
        <v>1</v>
      </c>
      <c r="F79" s="0" t="n">
        <f aca="false">COUNTIF('All Claims - Draft'!$BB:$BB,"*"&amp;LEFT($A79,FIND(" - ",$A79&amp;" - ")-1)&amp;" - *")</f>
        <v>3</v>
      </c>
    </row>
    <row r="80" customFormat="false" ht="15" hidden="false" customHeight="false" outlineLevel="0" collapsed="false">
      <c r="A80" s="0" t="s">
        <v>1893</v>
      </c>
      <c r="B80" s="0" t="s">
        <v>1891</v>
      </c>
      <c r="C80" s="0" t="s">
        <v>40</v>
      </c>
      <c r="D80" s="0" t="s">
        <v>1840</v>
      </c>
      <c r="F80" s="0" t="n">
        <f aca="false">COUNTIF('All Claims - Draft'!$BB:$BB,"*"&amp;LEFT($A80,FIND(" - ",$A80&amp;" - ")-1)&amp;" - *")</f>
        <v>0</v>
      </c>
    </row>
    <row r="81" customFormat="false" ht="15" hidden="false" customHeight="false" outlineLevel="0" collapsed="false">
      <c r="A81" s="0" t="s">
        <v>376</v>
      </c>
      <c r="B81" s="0" t="s">
        <v>1891</v>
      </c>
      <c r="C81" s="0" t="s">
        <v>40</v>
      </c>
      <c r="D81" s="0" t="s">
        <v>1840</v>
      </c>
      <c r="E81" s="0" t="n">
        <v>1</v>
      </c>
      <c r="F81" s="0" t="n">
        <f aca="false">COUNTIF('All Claims - Draft'!$BB:$BB,"*"&amp;LEFT($A81,FIND(" - ",$A81&amp;" - ")-1)&amp;" - *")</f>
        <v>1</v>
      </c>
    </row>
    <row r="82" customFormat="false" ht="15" hidden="false" customHeight="false" outlineLevel="0" collapsed="false">
      <c r="A82" s="0" t="s">
        <v>896</v>
      </c>
      <c r="B82" s="0" t="s">
        <v>1891</v>
      </c>
      <c r="C82" s="0" t="s">
        <v>40</v>
      </c>
      <c r="D82" s="0" t="s">
        <v>1840</v>
      </c>
      <c r="F82" s="0" t="n">
        <f aca="false">COUNTIF('All Claims - Draft'!$BB:$BB,"*"&amp;LEFT($A82,FIND(" - ",$A82&amp;" - ")-1)&amp;" - *")</f>
        <v>1</v>
      </c>
    </row>
    <row r="83" customFormat="false" ht="15" hidden="false" customHeight="false" outlineLevel="0" collapsed="false">
      <c r="A83" s="0" t="s">
        <v>611</v>
      </c>
      <c r="B83" s="0" t="s">
        <v>1891</v>
      </c>
      <c r="C83" s="0" t="s">
        <v>39</v>
      </c>
      <c r="D83" s="0" t="s">
        <v>1843</v>
      </c>
      <c r="F83" s="0" t="n">
        <f aca="false">COUNTIF('All Claims - Draft'!$BB:$BB,"*"&amp;LEFT($A83,FIND(" - ",$A83&amp;" - ")-1)&amp;" - *")</f>
        <v>1</v>
      </c>
    </row>
    <row r="84" customFormat="false" ht="15" hidden="false" customHeight="false" outlineLevel="0" collapsed="false">
      <c r="A84" s="0" t="s">
        <v>1894</v>
      </c>
      <c r="B84" s="0" t="s">
        <v>1891</v>
      </c>
      <c r="C84" s="0" t="s">
        <v>50</v>
      </c>
      <c r="D84" s="0" t="s">
        <v>1838</v>
      </c>
      <c r="F84" s="0" t="n">
        <f aca="false">COUNTIF('All Claims - Draft'!$BB:$BB,"*"&amp;LEFT($A84,FIND(" - ",$A84&amp;" - ")-1)&amp;" - *")</f>
        <v>0</v>
      </c>
    </row>
    <row r="85" customFormat="false" ht="15" hidden="false" customHeight="false" outlineLevel="0" collapsed="false">
      <c r="A85" s="0" t="s">
        <v>1895</v>
      </c>
      <c r="B85" s="0" t="s">
        <v>1891</v>
      </c>
      <c r="C85" s="0" t="s">
        <v>37</v>
      </c>
      <c r="D85" s="0" t="s">
        <v>1863</v>
      </c>
      <c r="F85" s="0" t="n">
        <f aca="false">COUNTIF('All Claims - Draft'!$BB:$BB,"*"&amp;LEFT($A85,FIND(" - ",$A85&amp;" - ")-1)&amp;" - *")</f>
        <v>0</v>
      </c>
    </row>
    <row r="86" customFormat="false" ht="15" hidden="false" customHeight="false" outlineLevel="0" collapsed="false">
      <c r="A86" s="0" t="s">
        <v>1896</v>
      </c>
      <c r="B86" s="0" t="s">
        <v>1891</v>
      </c>
      <c r="C86" s="0" t="s">
        <v>43</v>
      </c>
      <c r="D86" s="0" t="s">
        <v>1861</v>
      </c>
      <c r="F86" s="0" t="n">
        <f aca="false">COUNTIF('All Claims - Draft'!$BB:$BB,"*"&amp;LEFT($A86,FIND(" - ",$A86&amp;" - ")-1)&amp;" - *")</f>
        <v>0</v>
      </c>
    </row>
    <row r="87" customFormat="false" ht="15" hidden="false" customHeight="false" outlineLevel="0" collapsed="false">
      <c r="A87" s="0" t="s">
        <v>1897</v>
      </c>
      <c r="B87" s="0" t="s">
        <v>1891</v>
      </c>
      <c r="C87" s="0" t="s">
        <v>45</v>
      </c>
      <c r="D87" s="0" t="s">
        <v>1850</v>
      </c>
      <c r="E87" s="0" t="n">
        <v>1</v>
      </c>
      <c r="F87" s="0" t="n">
        <f aca="false">COUNTIF('All Claims - Draft'!$BB:$BB,"*"&amp;LEFT($A87,FIND(" - ",$A87&amp;" - ")-1)&amp;" - *")</f>
        <v>1</v>
      </c>
    </row>
    <row r="88" customFormat="false" ht="15" hidden="false" customHeight="false" outlineLevel="0" collapsed="false">
      <c r="A88" s="0" t="s">
        <v>1898</v>
      </c>
      <c r="B88" s="0" t="s">
        <v>1891</v>
      </c>
      <c r="C88" s="0" t="s">
        <v>45</v>
      </c>
      <c r="D88" s="0" t="s">
        <v>1850</v>
      </c>
      <c r="F88" s="0" t="n">
        <f aca="false">COUNTIF('All Claims - Draft'!$BB:$BB,"*"&amp;LEFT($A88,FIND(" - ",$A88&amp;" - ")-1)&amp;" - *")</f>
        <v>0</v>
      </c>
    </row>
    <row r="89" customFormat="false" ht="15" hidden="false" customHeight="false" outlineLevel="0" collapsed="false">
      <c r="A89" s="0" t="s">
        <v>1899</v>
      </c>
      <c r="B89" s="0" t="s">
        <v>1891</v>
      </c>
      <c r="C89" s="0" t="s">
        <v>40</v>
      </c>
      <c r="D89" s="0" t="s">
        <v>1840</v>
      </c>
      <c r="F89" s="0" t="n">
        <f aca="false">COUNTIF('All Claims - Draft'!$BB:$BB,"*"&amp;LEFT($A89,FIND(" - ",$A89&amp;" - ")-1)&amp;" - *")</f>
        <v>0</v>
      </c>
    </row>
    <row r="90" customFormat="false" ht="15" hidden="false" customHeight="false" outlineLevel="0" collapsed="false">
      <c r="A90" s="0" t="s">
        <v>1900</v>
      </c>
      <c r="B90" s="0" t="s">
        <v>1891</v>
      </c>
      <c r="C90" s="0" t="s">
        <v>45</v>
      </c>
      <c r="D90" s="0" t="s">
        <v>1850</v>
      </c>
      <c r="F90" s="0" t="n">
        <f aca="false">COUNTIF('All Claims - Draft'!$BB:$BB,"*"&amp;LEFT($A90,FIND(" - ",$A90&amp;" - ")-1)&amp;" - *")</f>
        <v>0</v>
      </c>
    </row>
    <row r="91" customFormat="false" ht="15" hidden="false" customHeight="false" outlineLevel="0" collapsed="false">
      <c r="A91" s="0" t="s">
        <v>1901</v>
      </c>
      <c r="B91" s="0" t="s">
        <v>1891</v>
      </c>
      <c r="C91" s="0" t="s">
        <v>37</v>
      </c>
      <c r="D91" s="0" t="s">
        <v>1863</v>
      </c>
      <c r="F91" s="0" t="n">
        <f aca="false">COUNTIF('All Claims - Draft'!$BB:$BB,"*"&amp;LEFT($A91,FIND(" - ",$A91&amp;" - ")-1)&amp;" - *")</f>
        <v>0</v>
      </c>
    </row>
    <row r="92" customFormat="false" ht="15" hidden="false" customHeight="false" outlineLevel="0" collapsed="false">
      <c r="A92" s="0" t="s">
        <v>1902</v>
      </c>
      <c r="B92" s="0" t="s">
        <v>1891</v>
      </c>
      <c r="C92" s="0" t="s">
        <v>37</v>
      </c>
      <c r="D92" s="0" t="s">
        <v>1863</v>
      </c>
      <c r="F92" s="0" t="n">
        <f aca="false">COUNTIF('All Claims - Draft'!$BB:$BB,"*"&amp;LEFT($A92,FIND(" - ",$A92&amp;" - ")-1)&amp;" - *")</f>
        <v>0</v>
      </c>
    </row>
    <row r="93" customFormat="false" ht="15" hidden="false" customHeight="false" outlineLevel="0" collapsed="false">
      <c r="A93" s="0" t="s">
        <v>1903</v>
      </c>
      <c r="B93" s="0" t="s">
        <v>1891</v>
      </c>
      <c r="C93" s="0" t="s">
        <v>46</v>
      </c>
      <c r="D93" s="0" t="s">
        <v>1854</v>
      </c>
      <c r="F93" s="0" t="n">
        <f aca="false">COUNTIF('All Claims - Draft'!$BB:$BB,"*"&amp;LEFT($A93,FIND(" - ",$A93&amp;" - ")-1)&amp;" - *")</f>
        <v>0</v>
      </c>
    </row>
    <row r="94" customFormat="false" ht="15" hidden="false" customHeight="false" outlineLevel="0" collapsed="false">
      <c r="A94" s="0" t="s">
        <v>1904</v>
      </c>
      <c r="B94" s="0" t="s">
        <v>1891</v>
      </c>
      <c r="C94" s="0" t="s">
        <v>40</v>
      </c>
      <c r="D94" s="0" t="s">
        <v>1840</v>
      </c>
      <c r="F94" s="0" t="n">
        <f aca="false">COUNTIF('All Claims - Draft'!$BB:$BB,"*"&amp;LEFT($A94,FIND(" - ",$A94&amp;" - ")-1)&amp;" - *")</f>
        <v>0</v>
      </c>
    </row>
    <row r="95" customFormat="false" ht="15" hidden="false" customHeight="false" outlineLevel="0" collapsed="false">
      <c r="A95" s="0" t="s">
        <v>1279</v>
      </c>
      <c r="B95" s="0" t="s">
        <v>1891</v>
      </c>
      <c r="C95" s="0" t="s">
        <v>44</v>
      </c>
      <c r="D95" s="0" t="s">
        <v>1852</v>
      </c>
      <c r="E95" s="0" t="n">
        <v>1</v>
      </c>
      <c r="F95" s="0" t="n">
        <f aca="false">COUNTIF('All Claims - Draft'!$BB:$BB,"*"&amp;LEFT($A95,FIND(" - ",$A95&amp;" - ")-1)&amp;" - *")</f>
        <v>1</v>
      </c>
    </row>
    <row r="96" customFormat="false" ht="15" hidden="false" customHeight="false" outlineLevel="0" collapsed="false">
      <c r="A96" s="0" t="s">
        <v>1905</v>
      </c>
      <c r="B96" s="0" t="s">
        <v>1891</v>
      </c>
      <c r="C96" s="0" t="s">
        <v>41</v>
      </c>
      <c r="D96" s="0" t="s">
        <v>1835</v>
      </c>
      <c r="F96" s="0" t="n">
        <f aca="false">COUNTIF('All Claims - Draft'!$BB:$BB,"*"&amp;LEFT($A96,FIND(" - ",$A96&amp;" - ")-1)&amp;" - *")</f>
        <v>0</v>
      </c>
    </row>
    <row r="97" customFormat="false" ht="15" hidden="false" customHeight="false" outlineLevel="0" collapsed="false">
      <c r="A97" s="0" t="s">
        <v>1906</v>
      </c>
      <c r="B97" s="0" t="s">
        <v>1891</v>
      </c>
      <c r="C97" s="0" t="s">
        <v>41</v>
      </c>
      <c r="D97" s="0" t="s">
        <v>1835</v>
      </c>
      <c r="F97" s="0" t="n">
        <f aca="false">COUNTIF('All Claims - Draft'!$BB:$BB,"*"&amp;LEFT($A97,FIND(" - ",$A97&amp;" - ")-1)&amp;" - *")</f>
        <v>0</v>
      </c>
    </row>
    <row r="98" customFormat="false" ht="15" hidden="false" customHeight="false" outlineLevel="0" collapsed="false">
      <c r="A98" s="0" t="s">
        <v>1907</v>
      </c>
      <c r="B98" s="0" t="s">
        <v>1891</v>
      </c>
      <c r="C98" s="0" t="s">
        <v>36</v>
      </c>
      <c r="D98" s="0" t="s">
        <v>1869</v>
      </c>
      <c r="E98" s="0" t="n">
        <v>1</v>
      </c>
      <c r="F98" s="0" t="n">
        <f aca="false">COUNTIF('All Claims - Draft'!$BB:$BB,"*"&amp;LEFT($A98,FIND(" - ",$A98&amp;" - ")-1)&amp;" - *")</f>
        <v>1</v>
      </c>
    </row>
    <row r="99" customFormat="false" ht="15" hidden="false" customHeight="false" outlineLevel="0" collapsed="false">
      <c r="A99" s="0" t="s">
        <v>1908</v>
      </c>
      <c r="B99" s="0" t="s">
        <v>1891</v>
      </c>
      <c r="C99" s="0" t="s">
        <v>51</v>
      </c>
      <c r="D99" s="0" t="s">
        <v>1849</v>
      </c>
      <c r="E99" s="0" t="n">
        <v>1</v>
      </c>
      <c r="F99" s="0" t="n">
        <f aca="false">COUNTIF('All Claims - Draft'!$BB:$BB,"*"&amp;LEFT($A99,FIND(" - ",$A99&amp;" - ")-1)&amp;" - *")</f>
        <v>1</v>
      </c>
    </row>
    <row r="100" customFormat="false" ht="15" hidden="false" customHeight="false" outlineLevel="0" collapsed="false">
      <c r="A100" s="0" t="s">
        <v>1023</v>
      </c>
      <c r="B100" s="0" t="s">
        <v>1891</v>
      </c>
      <c r="C100" s="0" t="s">
        <v>41</v>
      </c>
      <c r="D100" s="0" t="s">
        <v>1835</v>
      </c>
      <c r="E100" s="0" t="n">
        <v>1</v>
      </c>
      <c r="F100" s="0" t="n">
        <f aca="false">COUNTIF('All Claims - Draft'!$BB:$BB,"*"&amp;LEFT($A100,FIND(" - ",$A100&amp;" - ")-1)&amp;" - *")</f>
        <v>3</v>
      </c>
    </row>
    <row r="101" customFormat="false" ht="15" hidden="false" customHeight="false" outlineLevel="0" collapsed="false">
      <c r="A101" s="0" t="s">
        <v>1073</v>
      </c>
      <c r="B101" s="0" t="s">
        <v>1891</v>
      </c>
      <c r="C101" s="0" t="s">
        <v>45</v>
      </c>
      <c r="D101" s="0" t="s">
        <v>1850</v>
      </c>
      <c r="E101" s="0" t="n">
        <v>1</v>
      </c>
      <c r="F101" s="0" t="n">
        <f aca="false">COUNTIF('All Claims - Draft'!$BB:$BB,"*"&amp;LEFT($A101,FIND(" - ",$A101&amp;" - ")-1)&amp;" - *")</f>
        <v>1</v>
      </c>
    </row>
    <row r="102" customFormat="false" ht="15" hidden="false" customHeight="false" outlineLevel="0" collapsed="false">
      <c r="A102" s="0" t="s">
        <v>1909</v>
      </c>
      <c r="B102" s="0" t="s">
        <v>1891</v>
      </c>
      <c r="C102" s="0" t="s">
        <v>48</v>
      </c>
      <c r="D102" s="0" t="s">
        <v>1875</v>
      </c>
      <c r="F102" s="0" t="n">
        <f aca="false">COUNTIF('All Claims - Draft'!$BB:$BB,"*"&amp;LEFT($A102,FIND(" - ",$A102&amp;" - ")-1)&amp;" - *")</f>
        <v>0</v>
      </c>
    </row>
    <row r="103" customFormat="false" ht="15" hidden="false" customHeight="false" outlineLevel="0" collapsed="false">
      <c r="A103" s="0" t="s">
        <v>177</v>
      </c>
      <c r="B103" s="0" t="s">
        <v>1891</v>
      </c>
      <c r="C103" s="0" t="s">
        <v>47</v>
      </c>
      <c r="D103" s="0" t="s">
        <v>1872</v>
      </c>
      <c r="F103" s="0" t="n">
        <f aca="false">COUNTIF('All Claims - Draft'!$BB:$BB,"*"&amp;LEFT($A103,FIND(" - ",$A103&amp;" - ")-1)&amp;" - *")</f>
        <v>1</v>
      </c>
    </row>
    <row r="104" customFormat="false" ht="15" hidden="false" customHeight="false" outlineLevel="0" collapsed="false">
      <c r="A104" s="0" t="s">
        <v>1318</v>
      </c>
      <c r="B104" s="0" t="s">
        <v>1891</v>
      </c>
      <c r="C104" s="0" t="s">
        <v>46</v>
      </c>
      <c r="D104" s="0" t="s">
        <v>1854</v>
      </c>
      <c r="E104" s="0" t="n">
        <v>6</v>
      </c>
      <c r="F104" s="0" t="n">
        <f aca="false">COUNTIF('All Claims - Draft'!$BB:$BB,"*"&amp;LEFT($A104,FIND(" - ",$A104&amp;" - ")-1)&amp;" - *")</f>
        <v>14</v>
      </c>
    </row>
    <row r="105" customFormat="false" ht="15" hidden="false" customHeight="false" outlineLevel="0" collapsed="false">
      <c r="A105" s="0" t="s">
        <v>1910</v>
      </c>
      <c r="B105" s="0" t="s">
        <v>1891</v>
      </c>
      <c r="C105" s="0" t="s">
        <v>41</v>
      </c>
      <c r="D105" s="0" t="s">
        <v>1835</v>
      </c>
      <c r="F105" s="0" t="n">
        <f aca="false">COUNTIF('All Claims - Draft'!$BB:$BB,"*"&amp;LEFT($A105,FIND(" - ",$A105&amp;" - ")-1)&amp;" - *")</f>
        <v>0</v>
      </c>
    </row>
    <row r="106" customFormat="false" ht="15" hidden="false" customHeight="false" outlineLevel="0" collapsed="false">
      <c r="A106" s="0" t="s">
        <v>1500</v>
      </c>
      <c r="B106" s="0" t="s">
        <v>1891</v>
      </c>
      <c r="C106" s="0" t="s">
        <v>38</v>
      </c>
      <c r="D106" s="0" t="s">
        <v>1837</v>
      </c>
      <c r="E106" s="0" t="n">
        <v>1</v>
      </c>
      <c r="F106" s="0" t="n">
        <f aca="false">COUNTIF('All Claims - Draft'!$BB:$BB,"*"&amp;LEFT($A106,FIND(" - ",$A106&amp;" - ")-1)&amp;" - *")</f>
        <v>1</v>
      </c>
    </row>
    <row r="107" customFormat="false" ht="15" hidden="false" customHeight="false" outlineLevel="0" collapsed="false">
      <c r="A107" s="0" t="s">
        <v>984</v>
      </c>
      <c r="B107" s="0" t="s">
        <v>1891</v>
      </c>
      <c r="C107" s="0" t="s">
        <v>37</v>
      </c>
      <c r="D107" s="0" t="s">
        <v>1863</v>
      </c>
      <c r="E107" s="0" t="n">
        <v>1</v>
      </c>
      <c r="F107" s="0" t="n">
        <f aca="false">COUNTIF('All Claims - Draft'!$BB:$BB,"*"&amp;LEFT($A107,FIND(" - ",$A107&amp;" - ")-1)&amp;" - *")</f>
        <v>1</v>
      </c>
    </row>
    <row r="108" customFormat="false" ht="15" hidden="false" customHeight="false" outlineLevel="0" collapsed="false">
      <c r="A108" s="0" t="s">
        <v>1443</v>
      </c>
      <c r="B108" s="0" t="s">
        <v>1891</v>
      </c>
      <c r="C108" s="0" t="s">
        <v>47</v>
      </c>
      <c r="D108" s="0" t="s">
        <v>1872</v>
      </c>
      <c r="E108" s="0" t="n">
        <v>1</v>
      </c>
      <c r="F108" s="0" t="n">
        <f aca="false">COUNTIF('All Claims - Draft'!$BB:$BB,"*"&amp;LEFT($A108,FIND(" - ",$A108&amp;" - ")-1)&amp;" - *")</f>
        <v>2</v>
      </c>
    </row>
    <row r="109" customFormat="false" ht="15" hidden="false" customHeight="false" outlineLevel="0" collapsed="false">
      <c r="A109" s="0" t="s">
        <v>294</v>
      </c>
      <c r="B109" s="0" t="s">
        <v>1891</v>
      </c>
      <c r="C109" s="0" t="s">
        <v>41</v>
      </c>
      <c r="D109" s="0" t="s">
        <v>1835</v>
      </c>
      <c r="F109" s="0" t="n">
        <f aca="false">COUNTIF('All Claims - Draft'!$BB:$BB,"*"&amp;LEFT($A109,FIND(" - ",$A109&amp;" - ")-1)&amp;" - *")</f>
        <v>1</v>
      </c>
    </row>
    <row r="110" customFormat="false" ht="15" hidden="false" customHeight="false" outlineLevel="0" collapsed="false">
      <c r="A110" s="0" t="s">
        <v>1911</v>
      </c>
      <c r="B110" s="0" t="s">
        <v>1891</v>
      </c>
      <c r="C110" s="0" t="s">
        <v>38</v>
      </c>
      <c r="D110" s="0" t="s">
        <v>1837</v>
      </c>
      <c r="F110" s="0" t="n">
        <f aca="false">COUNTIF('All Claims - Draft'!$BB:$BB,"*"&amp;LEFT($A110,FIND(" - ",$A110&amp;" - ")-1)&amp;" - *")</f>
        <v>0</v>
      </c>
    </row>
    <row r="111" customFormat="false" ht="15" hidden="false" customHeight="false" outlineLevel="0" collapsed="false">
      <c r="A111" s="0" t="s">
        <v>1912</v>
      </c>
      <c r="B111" s="0" t="s">
        <v>1891</v>
      </c>
      <c r="C111" s="0" t="s">
        <v>55</v>
      </c>
      <c r="D111" s="0" t="s">
        <v>1913</v>
      </c>
      <c r="F111" s="0" t="n">
        <f aca="false">COUNTIF('All Claims - Draft'!$BB:$BB,"*"&amp;LEFT($A111,FIND(" - ",$A111&amp;" - ")-1)&amp;" - *")</f>
        <v>0</v>
      </c>
    </row>
    <row r="112" customFormat="false" ht="15" hidden="false" customHeight="false" outlineLevel="0" collapsed="false">
      <c r="A112" s="0" t="s">
        <v>1914</v>
      </c>
      <c r="B112" s="0" t="s">
        <v>1915</v>
      </c>
      <c r="C112" s="0" t="s">
        <v>44</v>
      </c>
      <c r="D112" s="0" t="s">
        <v>1852</v>
      </c>
      <c r="E112" s="0" t="n">
        <v>2</v>
      </c>
      <c r="F112" s="0" t="n">
        <f aca="false">COUNTIF('All Claims - Draft'!$BB:$BB,"*"&amp;LEFT($A112,FIND(" - ",$A112&amp;" - ")-1)&amp;" - *")</f>
        <v>2</v>
      </c>
    </row>
    <row r="113" customFormat="false" ht="15" hidden="false" customHeight="false" outlineLevel="0" collapsed="false">
      <c r="A113" s="0" t="s">
        <v>1099</v>
      </c>
      <c r="B113" s="0" t="s">
        <v>1915</v>
      </c>
      <c r="C113" s="0" t="s">
        <v>48</v>
      </c>
      <c r="D113" s="0" t="s">
        <v>1875</v>
      </c>
      <c r="E113" s="0" t="n">
        <v>1</v>
      </c>
      <c r="F113" s="0" t="n">
        <f aca="false">COUNTIF('All Claims - Draft'!$BB:$BB,"*"&amp;LEFT($A113,FIND(" - ",$A113&amp;" - ")-1)&amp;" - *")</f>
        <v>2</v>
      </c>
    </row>
    <row r="114" customFormat="false" ht="15" hidden="false" customHeight="false" outlineLevel="0" collapsed="false">
      <c r="A114" s="0" t="s">
        <v>1140</v>
      </c>
      <c r="B114" s="0" t="s">
        <v>1915</v>
      </c>
      <c r="C114" s="0" t="s">
        <v>37</v>
      </c>
      <c r="D114" s="0" t="s">
        <v>1863</v>
      </c>
      <c r="E114" s="0" t="n">
        <v>1</v>
      </c>
      <c r="F114" s="0" t="n">
        <f aca="false">COUNTIF('All Claims - Draft'!$BB:$BB,"*"&amp;LEFT($A114,FIND(" - ",$A114&amp;" - ")-1)&amp;" - *")</f>
        <v>1</v>
      </c>
    </row>
    <row r="115" customFormat="false" ht="15" hidden="false" customHeight="false" outlineLevel="0" collapsed="false">
      <c r="A115" s="0" t="s">
        <v>1036</v>
      </c>
      <c r="B115" s="0" t="s">
        <v>1834</v>
      </c>
      <c r="C115" s="0" t="s">
        <v>47</v>
      </c>
      <c r="D115" s="0" t="s">
        <v>1872</v>
      </c>
      <c r="F115" s="0" t="n">
        <f aca="false">COUNTIF('All Claims - Draft'!$BB:$BB,"*"&amp;LEFT($A115,FIND(" - ",$A115&amp;" - ")-1)&amp;" - *")</f>
        <v>1</v>
      </c>
    </row>
    <row r="116" customFormat="false" ht="15" hidden="false" customHeight="false" outlineLevel="0" collapsed="false">
      <c r="A116" s="0" t="s">
        <v>1134</v>
      </c>
      <c r="B116" s="0" t="s">
        <v>1891</v>
      </c>
      <c r="F116" s="0" t="n">
        <f aca="false">COUNTIF('All Claims - Draft'!$BB:$BB,"*"&amp;LEFT($A116,FIND(" - ",$A116&amp;" - ")-1)&amp;" - *")</f>
        <v>1</v>
      </c>
    </row>
    <row r="117" customFormat="false" ht="15" hidden="false" customHeight="false" outlineLevel="0" collapsed="false">
      <c r="A117" s="0" t="s">
        <v>1401</v>
      </c>
      <c r="B117" s="0" t="s">
        <v>1891</v>
      </c>
      <c r="C117" s="0" t="s">
        <v>40</v>
      </c>
      <c r="D117" s="0" t="s">
        <v>1840</v>
      </c>
      <c r="F117" s="0" t="n">
        <f aca="false">COUNTIF('All Claims - Draft'!$BB:$BB,"*"&amp;LEFT($A117,FIND(" - ",$A117&amp;" - ")-1)&amp;" - *")</f>
        <v>1</v>
      </c>
    </row>
    <row r="118" customFormat="false" ht="15" hidden="false" customHeight="false" outlineLevel="0" collapsed="false">
      <c r="A118" s="0" t="s">
        <v>1269</v>
      </c>
      <c r="B118" s="0" t="s">
        <v>1891</v>
      </c>
      <c r="C118" s="0" t="s">
        <v>48</v>
      </c>
      <c r="D118" s="0" t="s">
        <v>1875</v>
      </c>
      <c r="F118" s="0" t="n">
        <f aca="false">COUNTIF('All Claims - Draft'!$BB:$BB,"*"&amp;LEFT($A118,FIND(" - ",$A118&amp;" - ")-1)&amp;" - *")</f>
        <v>4</v>
      </c>
    </row>
    <row r="119" customFormat="false" ht="15" hidden="false" customHeight="false" outlineLevel="0" collapsed="false">
      <c r="A119" s="0" t="s">
        <v>853</v>
      </c>
      <c r="B119" s="0" t="s">
        <v>1891</v>
      </c>
      <c r="C119" s="0" t="s">
        <v>37</v>
      </c>
      <c r="D119" s="0" t="s">
        <v>1863</v>
      </c>
      <c r="F119" s="0" t="n">
        <f aca="false">COUNTIF('All Claims - Draft'!$BB:$BB,"*"&amp;LEFT($A119,FIND(" - ",$A119&amp;" - ")-1)&amp;" - *")</f>
        <v>2</v>
      </c>
    </row>
    <row r="120" customFormat="false" ht="15" hidden="false" customHeight="false" outlineLevel="0" collapsed="false">
      <c r="A120" s="0" t="s">
        <v>1042</v>
      </c>
      <c r="B120" s="0" t="s">
        <v>1891</v>
      </c>
      <c r="C120" s="0" t="s">
        <v>39</v>
      </c>
      <c r="D120" s="0" t="s">
        <v>1843</v>
      </c>
      <c r="F120" s="0" t="n">
        <f aca="false">COUNTIF('All Claims - Draft'!$BB:$BB,"*"&amp;LEFT($A120,FIND(" - ",$A120&amp;" - ")-1)&amp;" - *")</f>
        <v>2</v>
      </c>
    </row>
    <row r="121" customFormat="false" ht="15" hidden="false" customHeight="false" outlineLevel="0" collapsed="false">
      <c r="A121" s="0" t="s">
        <v>490</v>
      </c>
      <c r="B121" s="0" t="s">
        <v>1834</v>
      </c>
      <c r="C121" s="0" t="s">
        <v>55</v>
      </c>
      <c r="D121" s="0" t="s">
        <v>1859</v>
      </c>
      <c r="F121" s="0" t="n">
        <f aca="false">COUNTIF('All Claims - Draft'!$BB:$BB,"*"&amp;LEFT($A121,FIND(" - ",$A121&amp;" - ")-1)&amp;" - *")</f>
        <v>1</v>
      </c>
    </row>
    <row r="122" customFormat="false" ht="15" hidden="false" customHeight="false" outlineLevel="0" collapsed="false">
      <c r="A122" s="0" t="s">
        <v>743</v>
      </c>
      <c r="B122" s="0" t="s">
        <v>1834</v>
      </c>
      <c r="C122" s="0" t="s">
        <v>41</v>
      </c>
      <c r="D122" s="0" t="s">
        <v>1835</v>
      </c>
      <c r="F122" s="0" t="n">
        <f aca="false">COUNTIF('All Claims - Draft'!$BB:$BB,"*"&amp;LEFT($A122,FIND(" - ",$A122&amp;" - ")-1)&amp;" - *")</f>
        <v>1</v>
      </c>
    </row>
  </sheetData>
  <autoFilter ref="A1:F1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5" activeCellId="0" sqref="A15"/>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 collapsed="false" customWidth="true" hidden="false" outlineLevel="0" max="3" min="3" style="0" width="27.29"/>
    <col collapsed="false" customWidth="true" hidden="false" outlineLevel="0" max="5" min="5" style="0" width="16"/>
  </cols>
  <sheetData>
    <row r="1" customFormat="false" ht="15" hidden="false" customHeight="false" outlineLevel="0" collapsed="false">
      <c r="A1" s="16" t="s">
        <v>28</v>
      </c>
      <c r="B1" s="16" t="s">
        <v>1830</v>
      </c>
      <c r="C1" s="16" t="s">
        <v>27</v>
      </c>
      <c r="E1" s="16" t="s">
        <v>15</v>
      </c>
    </row>
    <row r="2" customFormat="false" ht="15" hidden="false" customHeight="false" outlineLevel="0" collapsed="false">
      <c r="A2" s="0" t="s">
        <v>34</v>
      </c>
      <c r="B2" s="0" t="s">
        <v>1845</v>
      </c>
      <c r="C2" s="0" t="s">
        <v>159</v>
      </c>
      <c r="E2" s="0" t="s">
        <v>16</v>
      </c>
    </row>
    <row r="3" customFormat="false" ht="15" hidden="false" customHeight="false" outlineLevel="0" collapsed="false">
      <c r="A3" s="0" t="s">
        <v>35</v>
      </c>
      <c r="B3" s="0" t="s">
        <v>1857</v>
      </c>
      <c r="C3" s="0" t="s">
        <v>354</v>
      </c>
      <c r="E3" s="0" t="s">
        <v>17</v>
      </c>
    </row>
    <row r="4" customFormat="false" ht="15" hidden="false" customHeight="false" outlineLevel="0" collapsed="false">
      <c r="A4" s="0" t="s">
        <v>36</v>
      </c>
      <c r="B4" s="0" t="s">
        <v>1869</v>
      </c>
      <c r="C4" s="0" t="s">
        <v>520</v>
      </c>
      <c r="E4" s="0" t="s">
        <v>18</v>
      </c>
    </row>
    <row r="5" customFormat="false" ht="15" hidden="false" customHeight="false" outlineLevel="0" collapsed="false">
      <c r="A5" s="0" t="s">
        <v>37</v>
      </c>
      <c r="B5" s="0" t="s">
        <v>1863</v>
      </c>
      <c r="C5" s="0" t="s">
        <v>328</v>
      </c>
      <c r="E5" s="0" t="s">
        <v>19</v>
      </c>
    </row>
    <row r="6" customFormat="false" ht="15" hidden="false" customHeight="false" outlineLevel="0" collapsed="false">
      <c r="A6" s="0" t="s">
        <v>38</v>
      </c>
      <c r="B6" s="0" t="s">
        <v>1837</v>
      </c>
      <c r="C6" s="0" t="s">
        <v>769</v>
      </c>
      <c r="E6" s="0" t="s">
        <v>20</v>
      </c>
    </row>
    <row r="7" customFormat="false" ht="15" hidden="false" customHeight="false" outlineLevel="0" collapsed="false">
      <c r="A7" s="0" t="s">
        <v>39</v>
      </c>
      <c r="B7" s="0" t="s">
        <v>1843</v>
      </c>
      <c r="C7" s="0" t="s">
        <v>203</v>
      </c>
      <c r="E7" s="0" t="s">
        <v>21</v>
      </c>
    </row>
    <row r="8" customFormat="false" ht="15" hidden="false" customHeight="false" outlineLevel="0" collapsed="false">
      <c r="A8" s="0" t="s">
        <v>40</v>
      </c>
      <c r="B8" s="0" t="s">
        <v>1840</v>
      </c>
      <c r="C8" s="0" t="s">
        <v>465</v>
      </c>
      <c r="E8" s="0" t="s">
        <v>22</v>
      </c>
    </row>
    <row r="9" customFormat="false" ht="15" hidden="false" customHeight="false" outlineLevel="0" collapsed="false">
      <c r="A9" s="0" t="s">
        <v>41</v>
      </c>
      <c r="B9" s="0" t="s">
        <v>1835</v>
      </c>
      <c r="C9" s="0" t="s">
        <v>411</v>
      </c>
      <c r="E9" s="0" t="s">
        <v>23</v>
      </c>
    </row>
    <row r="10" customFormat="false" ht="15" hidden="false" customHeight="false" outlineLevel="0" collapsed="false">
      <c r="A10" s="0" t="s">
        <v>42</v>
      </c>
      <c r="C10" s="0" t="s">
        <v>233</v>
      </c>
    </row>
    <row r="11" customFormat="false" ht="15" hidden="false" customHeight="false" outlineLevel="0" collapsed="false">
      <c r="A11" s="0" t="s">
        <v>43</v>
      </c>
      <c r="B11" s="0" t="s">
        <v>1861</v>
      </c>
      <c r="C11" s="0" t="s">
        <v>1916</v>
      </c>
    </row>
    <row r="12" customFormat="false" ht="15" hidden="false" customHeight="false" outlineLevel="0" collapsed="false">
      <c r="A12" s="0" t="s">
        <v>44</v>
      </c>
      <c r="B12" s="0" t="s">
        <v>1852</v>
      </c>
      <c r="C12" s="0" t="s">
        <v>363</v>
      </c>
    </row>
    <row r="13" customFormat="false" ht="15" hidden="false" customHeight="false" outlineLevel="0" collapsed="false">
      <c r="A13" s="0" t="s">
        <v>45</v>
      </c>
      <c r="B13" s="0" t="s">
        <v>1850</v>
      </c>
    </row>
    <row r="14" customFormat="false" ht="15" hidden="false" customHeight="false" outlineLevel="0" collapsed="false">
      <c r="A14" s="0" t="s">
        <v>46</v>
      </c>
      <c r="B14" s="0" t="s">
        <v>1854</v>
      </c>
    </row>
    <row r="15" customFormat="false" ht="15" hidden="false" customHeight="false" outlineLevel="0" collapsed="false">
      <c r="A15" s="0" t="s">
        <v>47</v>
      </c>
      <c r="B15" s="0" t="s">
        <v>1872</v>
      </c>
    </row>
    <row r="16" customFormat="false" ht="15" hidden="false" customHeight="false" outlineLevel="0" collapsed="false">
      <c r="A16" s="0" t="s">
        <v>48</v>
      </c>
      <c r="B16" s="0" t="s">
        <v>1875</v>
      </c>
    </row>
    <row r="17" customFormat="false" ht="15" hidden="false" customHeight="false" outlineLevel="0" collapsed="false">
      <c r="A17" s="0" t="s">
        <v>49</v>
      </c>
      <c r="B17" s="0" t="s">
        <v>1892</v>
      </c>
    </row>
    <row r="18" customFormat="false" ht="15" hidden="false" customHeight="false" outlineLevel="0" collapsed="false">
      <c r="A18" s="0" t="s">
        <v>50</v>
      </c>
      <c r="B18" s="0" t="s">
        <v>1838</v>
      </c>
    </row>
    <row r="19" customFormat="false" ht="15" hidden="false" customHeight="false" outlineLevel="0" collapsed="false">
      <c r="A19" s="0" t="s">
        <v>51</v>
      </c>
      <c r="B19" s="0" t="s">
        <v>1849</v>
      </c>
    </row>
    <row r="20" customFormat="false" ht="15" hidden="false" customHeight="false" outlineLevel="0" collapsed="false">
      <c r="A20" s="0" t="s">
        <v>52</v>
      </c>
      <c r="B20" s="0" t="s">
        <v>1847</v>
      </c>
    </row>
    <row r="21" customFormat="false" ht="15" hidden="false" customHeight="false" outlineLevel="0" collapsed="false">
      <c r="A21" s="0" t="s">
        <v>53</v>
      </c>
    </row>
    <row r="22" customFormat="false" ht="15" hidden="false" customHeight="false" outlineLevel="0" collapsed="false">
      <c r="A22" s="0" t="s">
        <v>54</v>
      </c>
    </row>
    <row r="23" customFormat="false" ht="15" hidden="false" customHeight="false" outlineLevel="0" collapsed="false">
      <c r="A23" s="0"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
    <col collapsed="false" customWidth="true" hidden="false" outlineLevel="0" max="3" min="3" style="0" width="140"/>
  </cols>
  <sheetData>
    <row r="1" customFormat="false" ht="15" hidden="false" customHeight="false" outlineLevel="0" collapsed="false">
      <c r="A1" s="2" t="s">
        <v>1917</v>
      </c>
      <c r="B1" s="2" t="s">
        <v>1918</v>
      </c>
      <c r="C1" s="2" t="s">
        <v>1919</v>
      </c>
    </row>
    <row r="2" customFormat="false" ht="15" hidden="false" customHeight="false" outlineLevel="0" collapsed="false">
      <c r="A2" s="0" t="s">
        <v>1920</v>
      </c>
      <c r="B2" s="0" t="s">
        <v>1921</v>
      </c>
      <c r="C2" s="0" t="s">
        <v>1922</v>
      </c>
    </row>
    <row r="3" customFormat="false" ht="15" hidden="false" customHeight="false" outlineLevel="0" collapsed="false">
      <c r="A3" s="0" t="s">
        <v>1920</v>
      </c>
      <c r="B3" s="0" t="s">
        <v>1923</v>
      </c>
      <c r="C3" s="0" t="s">
        <v>1924</v>
      </c>
    </row>
    <row r="4" customFormat="false" ht="15" hidden="false" customHeight="false" outlineLevel="0" collapsed="false">
      <c r="A4" s="0" t="s">
        <v>1920</v>
      </c>
      <c r="B4" s="0" t="s">
        <v>1925</v>
      </c>
      <c r="C4" s="0" t="s">
        <v>1926</v>
      </c>
    </row>
    <row r="5" customFormat="false" ht="15" hidden="false" customHeight="false" outlineLevel="0" collapsed="false">
      <c r="A5" s="0" t="s">
        <v>1920</v>
      </c>
      <c r="B5" s="0" t="s">
        <v>1927</v>
      </c>
      <c r="C5" s="0" t="s">
        <v>1928</v>
      </c>
    </row>
    <row r="6" customFormat="false" ht="15" hidden="false" customHeight="false" outlineLevel="0" collapsed="false">
      <c r="A6" s="0" t="s">
        <v>1920</v>
      </c>
      <c r="B6" s="0" t="s">
        <v>1929</v>
      </c>
      <c r="C6" s="0" t="s">
        <v>1930</v>
      </c>
    </row>
    <row r="7" customFormat="false" ht="15" hidden="false" customHeight="false" outlineLevel="0" collapsed="false">
      <c r="A7" s="0" t="s">
        <v>1920</v>
      </c>
      <c r="B7" s="0" t="s">
        <v>1931</v>
      </c>
      <c r="C7" s="0" t="s">
        <v>1932</v>
      </c>
    </row>
    <row r="8" customFormat="false" ht="15" hidden="false" customHeight="false" outlineLevel="0" collapsed="false">
      <c r="A8" s="0" t="s">
        <v>1920</v>
      </c>
      <c r="B8" s="0" t="s">
        <v>1933</v>
      </c>
      <c r="C8" s="0" t="s">
        <v>1934</v>
      </c>
    </row>
    <row r="9" customFormat="false" ht="15" hidden="false" customHeight="false" outlineLevel="0" collapsed="false">
      <c r="A9" s="0" t="s">
        <v>1920</v>
      </c>
      <c r="B9" s="0" t="s">
        <v>1935</v>
      </c>
      <c r="C9" s="0" t="s">
        <v>1936</v>
      </c>
    </row>
    <row r="10" customFormat="false" ht="15" hidden="false" customHeight="false" outlineLevel="0" collapsed="false">
      <c r="A10" s="0" t="s">
        <v>1920</v>
      </c>
      <c r="B10" s="0" t="s">
        <v>1937</v>
      </c>
      <c r="C10" s="0" t="s">
        <v>1938</v>
      </c>
    </row>
    <row r="11" customFormat="false" ht="15" hidden="false" customHeight="false" outlineLevel="0" collapsed="false">
      <c r="A11" s="0" t="s">
        <v>1920</v>
      </c>
      <c r="B11" s="0" t="s">
        <v>1939</v>
      </c>
      <c r="C11" s="0" t="s">
        <v>1940</v>
      </c>
    </row>
    <row r="12" customFormat="false" ht="15" hidden="false" customHeight="false" outlineLevel="0" collapsed="false">
      <c r="A12" s="0" t="s">
        <v>1920</v>
      </c>
      <c r="B12" s="0" t="s">
        <v>1941</v>
      </c>
      <c r="C12" s="0" t="s">
        <v>1942</v>
      </c>
    </row>
    <row r="13" customFormat="false" ht="15" hidden="false" customHeight="false" outlineLevel="0" collapsed="false">
      <c r="A13" s="0" t="s">
        <v>1920</v>
      </c>
      <c r="B13" s="0" t="s">
        <v>1943</v>
      </c>
      <c r="C13" s="0" t="s">
        <v>1944</v>
      </c>
    </row>
    <row r="14" customFormat="false" ht="15" hidden="false" customHeight="false" outlineLevel="0" collapsed="false">
      <c r="A14" s="0" t="s">
        <v>1920</v>
      </c>
      <c r="B14" s="0" t="s">
        <v>1941</v>
      </c>
      <c r="C14" s="0" t="s">
        <v>1945</v>
      </c>
    </row>
    <row r="15" customFormat="false" ht="15" hidden="false" customHeight="false" outlineLevel="0" collapsed="false">
      <c r="A15" s="0" t="s">
        <v>1920</v>
      </c>
      <c r="B15" s="0" t="s">
        <v>1943</v>
      </c>
      <c r="C15" s="0" t="s">
        <v>1946</v>
      </c>
    </row>
    <row r="16" customFormat="false" ht="15" hidden="false" customHeight="false" outlineLevel="0" collapsed="false">
      <c r="A16" s="0" t="s">
        <v>1920</v>
      </c>
      <c r="B16" s="0" t="s">
        <v>1947</v>
      </c>
      <c r="C16" s="0" t="s">
        <v>1948</v>
      </c>
    </row>
    <row r="17" customFormat="false" ht="15" hidden="false" customHeight="false" outlineLevel="0" collapsed="false">
      <c r="A17" s="0" t="s">
        <v>1920</v>
      </c>
      <c r="B17" s="0" t="s">
        <v>1949</v>
      </c>
      <c r="C17" s="0" t="s">
        <v>1950</v>
      </c>
    </row>
    <row r="18" customFormat="false" ht="15" hidden="false" customHeight="false" outlineLevel="0" collapsed="false">
      <c r="A18" s="0" t="s">
        <v>1920</v>
      </c>
      <c r="B18" s="0" t="s">
        <v>1951</v>
      </c>
      <c r="C18" s="0" t="s">
        <v>1952</v>
      </c>
    </row>
    <row r="19" customFormat="false" ht="15" hidden="false" customHeight="false" outlineLevel="0" collapsed="false">
      <c r="A19" s="0" t="s">
        <v>1953</v>
      </c>
      <c r="B19" s="0" t="s">
        <v>1954</v>
      </c>
      <c r="C19" s="0" t="s">
        <v>1955</v>
      </c>
    </row>
    <row r="20" customFormat="false" ht="15" hidden="false" customHeight="false" outlineLevel="0" collapsed="false">
      <c r="A20" s="0" t="s">
        <v>1953</v>
      </c>
      <c r="B20" s="0" t="s">
        <v>1956</v>
      </c>
      <c r="C20" s="0" t="s">
        <v>1957</v>
      </c>
    </row>
    <row r="21" customFormat="false" ht="15" hidden="false" customHeight="false" outlineLevel="0" collapsed="false">
      <c r="A21" s="0" t="s">
        <v>1953</v>
      </c>
      <c r="B21" s="0" t="s">
        <v>1958</v>
      </c>
      <c r="C21" s="0" t="s">
        <v>1959</v>
      </c>
    </row>
    <row r="22" customFormat="false" ht="15" hidden="false" customHeight="false" outlineLevel="0" collapsed="false">
      <c r="A22" s="0" t="s">
        <v>1953</v>
      </c>
      <c r="B22" s="0" t="s">
        <v>1960</v>
      </c>
      <c r="C22" s="0" t="s">
        <v>1961</v>
      </c>
    </row>
    <row r="23" customFormat="false" ht="15" hidden="false" customHeight="false" outlineLevel="0" collapsed="false">
      <c r="A23" s="0" t="s">
        <v>1953</v>
      </c>
      <c r="B23" s="0" t="s">
        <v>1962</v>
      </c>
      <c r="C23" s="0" t="s">
        <v>1963</v>
      </c>
    </row>
    <row r="24" customFormat="false" ht="15" hidden="false" customHeight="false" outlineLevel="0" collapsed="false">
      <c r="A24" s="0" t="s">
        <v>1953</v>
      </c>
      <c r="B24" s="0" t="s">
        <v>1964</v>
      </c>
      <c r="C24" s="0" t="s">
        <v>1965</v>
      </c>
    </row>
    <row r="25" customFormat="false" ht="15" hidden="false" customHeight="false" outlineLevel="0" collapsed="false">
      <c r="A25" s="0" t="s">
        <v>1953</v>
      </c>
      <c r="B25" s="0" t="s">
        <v>1966</v>
      </c>
      <c r="C25" s="0" t="s">
        <v>1959</v>
      </c>
    </row>
    <row r="26" customFormat="false" ht="15" hidden="false" customHeight="false" outlineLevel="0" collapsed="false">
      <c r="A26" s="0" t="s">
        <v>1953</v>
      </c>
      <c r="B26" s="0" t="s">
        <v>1967</v>
      </c>
      <c r="C26" s="0" t="s">
        <v>1961</v>
      </c>
    </row>
    <row r="27" customFormat="false" ht="15" hidden="false" customHeight="false" outlineLevel="0" collapsed="false">
      <c r="A27" s="0" t="s">
        <v>1953</v>
      </c>
      <c r="B27" s="0" t="s">
        <v>1968</v>
      </c>
      <c r="C27" s="0" t="s">
        <v>1961</v>
      </c>
    </row>
    <row r="28" customFormat="false" ht="15" hidden="false" customHeight="false" outlineLevel="0" collapsed="false">
      <c r="A28" s="0" t="s">
        <v>1953</v>
      </c>
      <c r="B28" s="0" t="s">
        <v>1969</v>
      </c>
      <c r="C28" s="0" t="s">
        <v>1961</v>
      </c>
    </row>
    <row r="29" customFormat="false" ht="15" hidden="false" customHeight="false" outlineLevel="0" collapsed="false">
      <c r="A29" s="0" t="s">
        <v>1953</v>
      </c>
      <c r="B29" s="0" t="s">
        <v>1970</v>
      </c>
      <c r="C29" s="0" t="s">
        <v>1971</v>
      </c>
    </row>
    <row r="30" customFormat="false" ht="15" hidden="false" customHeight="false" outlineLevel="0" collapsed="false">
      <c r="A30" s="0" t="s">
        <v>1953</v>
      </c>
      <c r="B30" s="0" t="s">
        <v>1972</v>
      </c>
      <c r="C30" s="0" t="s">
        <v>1973</v>
      </c>
    </row>
    <row r="31" customFormat="false" ht="15" hidden="false" customHeight="false" outlineLevel="0" collapsed="false">
      <c r="A31" s="0" t="s">
        <v>1953</v>
      </c>
      <c r="B31" s="0" t="s">
        <v>1974</v>
      </c>
      <c r="C31" s="0" t="s">
        <v>1975</v>
      </c>
    </row>
    <row r="32" customFormat="false" ht="15" hidden="false" customHeight="false" outlineLevel="0" collapsed="false">
      <c r="A32" s="0" t="s">
        <v>1953</v>
      </c>
      <c r="B32" s="0" t="s">
        <v>1976</v>
      </c>
      <c r="C32" s="0" t="s">
        <v>1977</v>
      </c>
    </row>
    <row r="33" customFormat="false" ht="15" hidden="false" customHeight="false" outlineLevel="0" collapsed="false">
      <c r="A33" s="0" t="s">
        <v>1953</v>
      </c>
      <c r="B33" s="0" t="s">
        <v>1978</v>
      </c>
      <c r="C33" s="0" t="s">
        <v>1977</v>
      </c>
    </row>
    <row r="34" customFormat="false" ht="15" hidden="false" customHeight="false" outlineLevel="0" collapsed="false">
      <c r="A34" s="0" t="s">
        <v>1953</v>
      </c>
      <c r="B34" s="0" t="s">
        <v>1979</v>
      </c>
      <c r="C34" s="0" t="s">
        <v>1977</v>
      </c>
    </row>
    <row r="35" customFormat="false" ht="15" hidden="false" customHeight="false" outlineLevel="0" collapsed="false">
      <c r="A35" s="0" t="s">
        <v>1953</v>
      </c>
      <c r="B35" s="0" t="s">
        <v>1980</v>
      </c>
      <c r="C35" s="0" t="s">
        <v>1977</v>
      </c>
    </row>
    <row r="36" customFormat="false" ht="15" hidden="false" customHeight="false" outlineLevel="0" collapsed="false">
      <c r="A36" s="0" t="s">
        <v>1953</v>
      </c>
      <c r="B36" s="0" t="s">
        <v>1981</v>
      </c>
      <c r="C36" s="0" t="s">
        <v>1982</v>
      </c>
    </row>
    <row r="37" customFormat="false" ht="15" hidden="false" customHeight="false" outlineLevel="0" collapsed="false">
      <c r="A37" s="0" t="s">
        <v>1953</v>
      </c>
      <c r="B37" s="0" t="s">
        <v>1983</v>
      </c>
      <c r="C37" s="0" t="s">
        <v>1984</v>
      </c>
    </row>
    <row r="38" customFormat="false" ht="15" hidden="false" customHeight="false" outlineLevel="0" collapsed="false">
      <c r="A38" s="0" t="s">
        <v>1953</v>
      </c>
      <c r="B38" s="0" t="s">
        <v>1985</v>
      </c>
      <c r="C38" s="0" t="s">
        <v>1984</v>
      </c>
    </row>
    <row r="39" customFormat="false" ht="15" hidden="false" customHeight="false" outlineLevel="0" collapsed="false">
      <c r="A39" s="0" t="s">
        <v>1953</v>
      </c>
      <c r="B39" s="0" t="s">
        <v>1986</v>
      </c>
      <c r="C39" s="0" t="s">
        <v>1987</v>
      </c>
    </row>
    <row r="40" customFormat="false" ht="15" hidden="false" customHeight="false" outlineLevel="0" collapsed="false">
      <c r="A40" s="0" t="s">
        <v>1953</v>
      </c>
      <c r="B40" s="0" t="s">
        <v>1988</v>
      </c>
      <c r="C40" s="0" t="s">
        <v>1989</v>
      </c>
    </row>
    <row r="41" customFormat="false" ht="15" hidden="false" customHeight="false" outlineLevel="0" collapsed="false">
      <c r="A41" s="0" t="s">
        <v>1953</v>
      </c>
      <c r="B41" s="0" t="s">
        <v>1990</v>
      </c>
      <c r="C41" s="0" t="s">
        <v>1991</v>
      </c>
    </row>
    <row r="42" customFormat="false" ht="15" hidden="false" customHeight="false" outlineLevel="0" collapsed="false">
      <c r="A42" s="0" t="s">
        <v>1953</v>
      </c>
      <c r="B42" s="0" t="s">
        <v>1992</v>
      </c>
      <c r="C42" s="0" t="s">
        <v>1991</v>
      </c>
    </row>
    <row r="43" customFormat="false" ht="15" hidden="false" customHeight="false" outlineLevel="0" collapsed="false">
      <c r="A43" s="0" t="s">
        <v>1953</v>
      </c>
      <c r="B43" s="0" t="s">
        <v>1993</v>
      </c>
      <c r="C43" s="0" t="s">
        <v>1994</v>
      </c>
    </row>
    <row r="44" customFormat="false" ht="15" hidden="false" customHeight="false" outlineLevel="0" collapsed="false">
      <c r="A44" s="0" t="s">
        <v>1953</v>
      </c>
      <c r="B44" s="0" t="s">
        <v>1995</v>
      </c>
      <c r="C44" s="0" t="s">
        <v>1994</v>
      </c>
    </row>
    <row r="45" customFormat="false" ht="15" hidden="false" customHeight="false" outlineLevel="0" collapsed="false">
      <c r="A45" s="0" t="s">
        <v>1953</v>
      </c>
      <c r="B45" s="0" t="s">
        <v>1996</v>
      </c>
      <c r="C45" s="0" t="s">
        <v>1994</v>
      </c>
    </row>
    <row r="46" customFormat="false" ht="15" hidden="false" customHeight="false" outlineLevel="0" collapsed="false">
      <c r="A46" s="0" t="s">
        <v>1953</v>
      </c>
      <c r="B46" s="0" t="s">
        <v>1997</v>
      </c>
      <c r="C46" s="0" t="s">
        <v>1998</v>
      </c>
    </row>
    <row r="47" customFormat="false" ht="15" hidden="false" customHeight="false" outlineLevel="0" collapsed="false">
      <c r="A47" s="0" t="s">
        <v>1953</v>
      </c>
      <c r="B47" s="0" t="s">
        <v>1999</v>
      </c>
      <c r="C47" s="0" t="s">
        <v>1959</v>
      </c>
    </row>
    <row r="48" customFormat="false" ht="15" hidden="false" customHeight="false" outlineLevel="0" collapsed="false">
      <c r="A48" s="0" t="s">
        <v>1953</v>
      </c>
      <c r="B48" s="0" t="s">
        <v>2000</v>
      </c>
      <c r="C48" s="0" t="s">
        <v>1959</v>
      </c>
    </row>
    <row r="49" customFormat="false" ht="15" hidden="false" customHeight="false" outlineLevel="0" collapsed="false">
      <c r="A49" s="0" t="s">
        <v>1953</v>
      </c>
      <c r="B49" s="0" t="s">
        <v>2001</v>
      </c>
      <c r="C49" s="0" t="s">
        <v>1959</v>
      </c>
    </row>
    <row r="50" customFormat="false" ht="15" hidden="false" customHeight="false" outlineLevel="0" collapsed="false">
      <c r="A50" s="0" t="s">
        <v>1953</v>
      </c>
      <c r="B50" s="0" t="s">
        <v>2002</v>
      </c>
      <c r="C50" s="0" t="s">
        <v>2003</v>
      </c>
    </row>
    <row r="51" customFormat="false" ht="15" hidden="false" customHeight="false" outlineLevel="0" collapsed="false">
      <c r="A51" s="0" t="s">
        <v>1953</v>
      </c>
      <c r="B51" s="0" t="s">
        <v>2004</v>
      </c>
      <c r="C51" s="0" t="s">
        <v>1961</v>
      </c>
    </row>
    <row r="52" customFormat="false" ht="15" hidden="false" customHeight="false" outlineLevel="0" collapsed="false">
      <c r="A52" s="0" t="s">
        <v>1953</v>
      </c>
      <c r="B52" s="0" t="s">
        <v>2005</v>
      </c>
      <c r="C52" s="0" t="s">
        <v>1959</v>
      </c>
    </row>
    <row r="53" customFormat="false" ht="15" hidden="false" customHeight="false" outlineLevel="0" collapsed="false">
      <c r="A53" s="0" t="s">
        <v>1953</v>
      </c>
      <c r="B53" s="0" t="s">
        <v>2006</v>
      </c>
      <c r="C53" s="0" t="s">
        <v>1959</v>
      </c>
    </row>
    <row r="54" customFormat="false" ht="15" hidden="false" customHeight="false" outlineLevel="0" collapsed="false">
      <c r="A54" s="0" t="s">
        <v>1953</v>
      </c>
      <c r="B54" s="0" t="s">
        <v>2007</v>
      </c>
      <c r="C54" s="0" t="s">
        <v>1959</v>
      </c>
    </row>
    <row r="55" customFormat="false" ht="15" hidden="false" customHeight="false" outlineLevel="0" collapsed="false">
      <c r="A55" s="0" t="s">
        <v>1953</v>
      </c>
      <c r="B55" s="0" t="s">
        <v>2008</v>
      </c>
      <c r="C55" s="0" t="s">
        <v>1959</v>
      </c>
    </row>
    <row r="56" customFormat="false" ht="15" hidden="false" customHeight="false" outlineLevel="0" collapsed="false">
      <c r="A56" s="0" t="s">
        <v>1953</v>
      </c>
      <c r="B56" s="0" t="s">
        <v>2009</v>
      </c>
      <c r="C56" s="0" t="s">
        <v>1963</v>
      </c>
    </row>
    <row r="57" customFormat="false" ht="15" hidden="false" customHeight="false" outlineLevel="0" collapsed="false">
      <c r="A57" s="0" t="s">
        <v>1953</v>
      </c>
      <c r="B57" s="0" t="s">
        <v>2010</v>
      </c>
      <c r="C57" s="0" t="s">
        <v>1959</v>
      </c>
    </row>
    <row r="58" customFormat="false" ht="15" hidden="false" customHeight="false" outlineLevel="0" collapsed="false">
      <c r="A58" s="0" t="s">
        <v>1953</v>
      </c>
      <c r="B58" s="0" t="s">
        <v>2011</v>
      </c>
      <c r="C58" s="0" t="s">
        <v>2012</v>
      </c>
    </row>
    <row r="59" customFormat="false" ht="15" hidden="false" customHeight="false" outlineLevel="0" collapsed="false">
      <c r="A59" s="0" t="s">
        <v>1953</v>
      </c>
      <c r="B59" s="0" t="s">
        <v>2013</v>
      </c>
      <c r="C59" s="0" t="s">
        <v>1959</v>
      </c>
    </row>
    <row r="60" customFormat="false" ht="15" hidden="false" customHeight="false" outlineLevel="0" collapsed="false">
      <c r="A60" s="0" t="s">
        <v>1953</v>
      </c>
      <c r="B60" s="0" t="s">
        <v>2014</v>
      </c>
      <c r="C60" s="0" t="s">
        <v>1963</v>
      </c>
    </row>
    <row r="61" customFormat="false" ht="15" hidden="false" customHeight="false" outlineLevel="0" collapsed="false">
      <c r="A61" s="0" t="s">
        <v>1953</v>
      </c>
      <c r="B61" s="0" t="s">
        <v>2015</v>
      </c>
      <c r="C61" s="0" t="s">
        <v>1959</v>
      </c>
    </row>
    <row r="62" customFormat="false" ht="15" hidden="false" customHeight="false" outlineLevel="0" collapsed="false">
      <c r="A62" s="0" t="s">
        <v>1953</v>
      </c>
      <c r="B62" s="0" t="s">
        <v>2016</v>
      </c>
      <c r="C62" s="0" t="s">
        <v>1959</v>
      </c>
    </row>
    <row r="63" customFormat="false" ht="15" hidden="false" customHeight="false" outlineLevel="0" collapsed="false">
      <c r="A63" s="0" t="s">
        <v>1953</v>
      </c>
      <c r="B63" s="0" t="s">
        <v>2017</v>
      </c>
      <c r="C63" s="0" t="s">
        <v>1959</v>
      </c>
    </row>
    <row r="64" customFormat="false" ht="15" hidden="false" customHeight="false" outlineLevel="0" collapsed="false">
      <c r="A64" s="0" t="s">
        <v>1953</v>
      </c>
      <c r="B64" s="0" t="s">
        <v>2018</v>
      </c>
      <c r="C64" s="0" t="s">
        <v>1959</v>
      </c>
    </row>
    <row r="65" customFormat="false" ht="15" hidden="false" customHeight="false" outlineLevel="0" collapsed="false">
      <c r="A65" s="0" t="s">
        <v>1953</v>
      </c>
      <c r="B65" s="0" t="s">
        <v>2019</v>
      </c>
      <c r="C65" s="0" t="s">
        <v>2020</v>
      </c>
    </row>
    <row r="66" customFormat="false" ht="15" hidden="false" customHeight="false" outlineLevel="0" collapsed="false">
      <c r="A66" s="0" t="s">
        <v>1953</v>
      </c>
      <c r="B66" s="0" t="s">
        <v>2021</v>
      </c>
      <c r="C66" s="0" t="s">
        <v>1959</v>
      </c>
    </row>
    <row r="67" customFormat="false" ht="15" hidden="false" customHeight="false" outlineLevel="0" collapsed="false">
      <c r="A67" s="0" t="s">
        <v>1953</v>
      </c>
      <c r="B67" s="0" t="s">
        <v>2022</v>
      </c>
      <c r="C67" s="0" t="s">
        <v>2023</v>
      </c>
    </row>
    <row r="68" customFormat="false" ht="15" hidden="false" customHeight="false" outlineLevel="0" collapsed="false">
      <c r="A68" s="0" t="s">
        <v>1953</v>
      </c>
      <c r="B68" s="0" t="s">
        <v>2024</v>
      </c>
      <c r="C68" s="0" t="s">
        <v>1959</v>
      </c>
    </row>
    <row r="69" customFormat="false" ht="15" hidden="false" customHeight="false" outlineLevel="0" collapsed="false">
      <c r="A69" s="0" t="s">
        <v>1953</v>
      </c>
      <c r="B69" s="0" t="s">
        <v>2025</v>
      </c>
      <c r="C69" s="0" t="s">
        <v>2026</v>
      </c>
    </row>
    <row r="70" customFormat="false" ht="15" hidden="false" customHeight="false" outlineLevel="0" collapsed="false">
      <c r="A70" s="0" t="s">
        <v>1953</v>
      </c>
      <c r="B70" s="0" t="s">
        <v>2027</v>
      </c>
      <c r="C70" s="0" t="s">
        <v>2028</v>
      </c>
    </row>
    <row r="71" customFormat="false" ht="15" hidden="false" customHeight="false" outlineLevel="0" collapsed="false">
      <c r="A71" s="0" t="s">
        <v>1953</v>
      </c>
      <c r="B71" s="0" t="s">
        <v>2029</v>
      </c>
      <c r="C71" s="0" t="s">
        <v>1959</v>
      </c>
    </row>
    <row r="72" customFormat="false" ht="15" hidden="false" customHeight="false" outlineLevel="0" collapsed="false">
      <c r="A72" s="0" t="s">
        <v>1953</v>
      </c>
      <c r="B72" s="0" t="s">
        <v>2030</v>
      </c>
      <c r="C72" s="0" t="s">
        <v>1998</v>
      </c>
    </row>
    <row r="73" customFormat="false" ht="15" hidden="false" customHeight="false" outlineLevel="0" collapsed="false">
      <c r="A73" s="0" t="s">
        <v>1953</v>
      </c>
      <c r="B73" s="0" t="s">
        <v>2031</v>
      </c>
      <c r="C73" s="0" t="s">
        <v>1998</v>
      </c>
    </row>
    <row r="74" customFormat="false" ht="15" hidden="false" customHeight="false" outlineLevel="0" collapsed="false">
      <c r="A74" s="0" t="s">
        <v>1953</v>
      </c>
      <c r="B74" s="0" t="s">
        <v>2032</v>
      </c>
      <c r="C74" s="0" t="s">
        <v>2033</v>
      </c>
    </row>
    <row r="75" customFormat="false" ht="15" hidden="false" customHeight="false" outlineLevel="0" collapsed="false">
      <c r="A75" s="0" t="s">
        <v>1953</v>
      </c>
      <c r="B75" s="0" t="s">
        <v>2034</v>
      </c>
      <c r="C75" s="0" t="s">
        <v>1959</v>
      </c>
    </row>
    <row r="76" customFormat="false" ht="15" hidden="false" customHeight="false" outlineLevel="0" collapsed="false">
      <c r="A76" s="0" t="s">
        <v>1953</v>
      </c>
      <c r="B76" s="0" t="s">
        <v>2035</v>
      </c>
      <c r="C76" s="0" t="s">
        <v>1959</v>
      </c>
    </row>
    <row r="77" customFormat="false" ht="15" hidden="false" customHeight="false" outlineLevel="0" collapsed="false">
      <c r="A77" s="0" t="s">
        <v>1953</v>
      </c>
      <c r="B77" s="0" t="s">
        <v>2036</v>
      </c>
      <c r="C77" s="0" t="s">
        <v>1961</v>
      </c>
    </row>
    <row r="78" customFormat="false" ht="15" hidden="false" customHeight="false" outlineLevel="0" collapsed="false">
      <c r="A78" s="0" t="s">
        <v>1953</v>
      </c>
      <c r="B78" s="0" t="s">
        <v>2037</v>
      </c>
      <c r="C78" s="0" t="s">
        <v>1959</v>
      </c>
    </row>
    <row r="79" customFormat="false" ht="15" hidden="false" customHeight="false" outlineLevel="0" collapsed="false">
      <c r="A79" s="0" t="s">
        <v>1953</v>
      </c>
      <c r="B79" s="0" t="s">
        <v>2038</v>
      </c>
      <c r="C79" s="0" t="s">
        <v>1959</v>
      </c>
    </row>
    <row r="80" customFormat="false" ht="15" hidden="false" customHeight="false" outlineLevel="0" collapsed="false">
      <c r="A80" s="0" t="s">
        <v>1953</v>
      </c>
      <c r="B80" s="0" t="s">
        <v>2039</v>
      </c>
      <c r="C80" s="0" t="s">
        <v>2040</v>
      </c>
    </row>
    <row r="81" customFormat="false" ht="15" hidden="false" customHeight="false" outlineLevel="0" collapsed="false">
      <c r="A81" s="0" t="s">
        <v>1953</v>
      </c>
      <c r="B81" s="0" t="s">
        <v>2041</v>
      </c>
      <c r="C81" s="0" t="s">
        <v>2042</v>
      </c>
    </row>
    <row r="82" customFormat="false" ht="15" hidden="false" customHeight="false" outlineLevel="0" collapsed="false">
      <c r="A82" s="0" t="s">
        <v>1953</v>
      </c>
      <c r="B82" s="0" t="s">
        <v>2043</v>
      </c>
      <c r="C82" s="0" t="s">
        <v>1959</v>
      </c>
    </row>
    <row r="83" customFormat="false" ht="15" hidden="false" customHeight="false" outlineLevel="0" collapsed="false">
      <c r="A83" s="0" t="s">
        <v>1953</v>
      </c>
      <c r="B83" s="0" t="s">
        <v>2044</v>
      </c>
      <c r="C83" s="0" t="s">
        <v>1959</v>
      </c>
    </row>
    <row r="84" customFormat="false" ht="15" hidden="false" customHeight="false" outlineLevel="0" collapsed="false">
      <c r="A84" s="0" t="s">
        <v>1953</v>
      </c>
      <c r="B84" s="0" t="s">
        <v>2045</v>
      </c>
      <c r="C84" s="0" t="s">
        <v>1955</v>
      </c>
    </row>
    <row r="85" customFormat="false" ht="15" hidden="false" customHeight="false" outlineLevel="0" collapsed="false">
      <c r="A85" s="0" t="s">
        <v>1953</v>
      </c>
      <c r="B85" s="0" t="s">
        <v>2046</v>
      </c>
      <c r="C85" s="0" t="s">
        <v>2028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2026-10-16T19:58:40Z</dcterms:created>
  <dc:creator>Linda Mora</dc:creator>
  <dc:description/>
  <dc:language>en-US</dc:language>
  <cp:lastModifiedBy>Linda Mora</cp:lastModifiedBy>
  <dcterms:modified xsi:type="dcterms:W3CDTF">2026-10-16T20:52:56Z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0x0101000A8A7B2E618BA84C8467F25C60CC618D</vt:lpwstr>
  </property>
</Properties>
</file>